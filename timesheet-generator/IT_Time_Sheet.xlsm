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hidePivotFieldList="1" defaultThemeVersion="124226"/>
  <mc:AlternateContent xmlns:mc="http://schemas.openxmlformats.org/markup-compatibility/2006">
    <mc:Choice Requires="x15">
      <x15ac:absPath xmlns:x15ac="http://schemas.microsoft.com/office/spreadsheetml/2010/11/ac" url="D:\Git\jira-timesheet-generator\timesheet-generator\"/>
    </mc:Choice>
  </mc:AlternateContent>
  <bookViews>
    <workbookView xWindow="23100" yWindow="0" windowWidth="13080" windowHeight="795" tabRatio="703"/>
  </bookViews>
  <sheets>
    <sheet name="Home Page" sheetId="29" r:id="rId1"/>
    <sheet name="Summary-Full" sheetId="18" state="hidden" r:id="rId2"/>
    <sheet name="Summary-Daily" sheetId="28" r:id="rId3"/>
    <sheet name="raw data" sheetId="12" r:id="rId4"/>
    <sheet name="time target" sheetId="14" r:id="rId5"/>
    <sheet name="IT Structure" sheetId="19" r:id="rId6"/>
    <sheet name="Leave" sheetId="21" r:id="rId7"/>
  </sheets>
  <functionGroups builtInGroupCount="18"/>
  <definedNames>
    <definedName name="_xlnm._FilterDatabase" localSheetId="5" hidden="1">'IT Structure'!$A$1:$C$38</definedName>
    <definedName name="_xlnm._FilterDatabase" localSheetId="3" hidden="1">'raw data'!$A$1:$I$8546</definedName>
    <definedName name="timesheet_1" localSheetId="3">'raw data'!$A$1:$G$80</definedName>
    <definedName name="timesheet_2" localSheetId="3">'raw data'!$A$1:$G$80</definedName>
    <definedName name="timesheet_3" localSheetId="3">'raw data'!$A$1:$G$80</definedName>
    <definedName name="timesheet_4" localSheetId="3">'raw data'!$A$1:$G$64</definedName>
    <definedName name="timesheet_5" localSheetId="3">'raw data'!$A$1:$G$15</definedName>
  </definedNames>
  <calcPr calcId="162913"/>
  <pivotCaches>
    <pivotCache cacheId="0" r:id="rId8"/>
    <pivotCache cacheId="1" r:id="rId9"/>
    <pivotCache cacheId="2" r:id="rId10"/>
  </pivotCaches>
</workbook>
</file>

<file path=xl/calcChain.xml><?xml version="1.0" encoding="utf-8"?>
<calcChain xmlns="http://schemas.openxmlformats.org/spreadsheetml/2006/main">
  <c r="L3" i="12" l="1"/>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302" i="12"/>
  <c r="L303" i="12"/>
  <c r="L304" i="12"/>
  <c r="L305" i="12"/>
  <c r="L306" i="12"/>
  <c r="L307" i="12"/>
  <c r="L308" i="12"/>
  <c r="L309" i="12"/>
  <c r="L310" i="12"/>
  <c r="L311" i="12"/>
  <c r="L312" i="12"/>
  <c r="L313" i="12"/>
  <c r="L314" i="12"/>
  <c r="L315" i="12"/>
  <c r="L316" i="12"/>
  <c r="L317" i="12"/>
  <c r="L318" i="12"/>
  <c r="L319" i="12"/>
  <c r="L320" i="12"/>
  <c r="L321" i="12"/>
  <c r="L322" i="12"/>
  <c r="L323" i="12"/>
  <c r="L324" i="12"/>
  <c r="L325" i="12"/>
  <c r="L326" i="12"/>
  <c r="L327" i="12"/>
  <c r="L328" i="12"/>
  <c r="L329" i="12"/>
  <c r="L330" i="12"/>
  <c r="L331" i="12"/>
  <c r="L332" i="12"/>
  <c r="L333" i="12"/>
  <c r="L334" i="12"/>
  <c r="L335" i="12"/>
  <c r="L336" i="12"/>
  <c r="L337" i="12"/>
  <c r="L338" i="12"/>
  <c r="L339" i="12"/>
  <c r="L340" i="12"/>
  <c r="L341" i="12"/>
  <c r="L342" i="12"/>
  <c r="L343" i="12"/>
  <c r="L344" i="12"/>
  <c r="L345" i="12"/>
  <c r="L346" i="12"/>
  <c r="L347" i="12"/>
  <c r="L348" i="12"/>
  <c r="L349" i="12"/>
  <c r="L350" i="12"/>
  <c r="L351" i="12"/>
  <c r="L352" i="12"/>
  <c r="L353" i="12"/>
  <c r="L354" i="12"/>
  <c r="L355" i="12"/>
  <c r="L356" i="12"/>
  <c r="L357" i="12"/>
  <c r="L358" i="12"/>
  <c r="L359" i="12"/>
  <c r="L360" i="12"/>
  <c r="L361" i="12"/>
  <c r="L362" i="12"/>
  <c r="L363" i="12"/>
  <c r="L364" i="12"/>
  <c r="L365" i="12"/>
  <c r="L366" i="12"/>
  <c r="L367" i="12"/>
  <c r="L368" i="12"/>
  <c r="L369" i="12"/>
  <c r="L370" i="12"/>
  <c r="L371" i="12"/>
  <c r="L372" i="12"/>
  <c r="L373" i="12"/>
  <c r="L374" i="12"/>
  <c r="L375" i="12"/>
  <c r="L376" i="12"/>
  <c r="L377" i="12"/>
  <c r="L378" i="12"/>
  <c r="L379" i="12"/>
  <c r="L380" i="12"/>
  <c r="L381" i="12"/>
  <c r="L382" i="12"/>
  <c r="L383" i="12"/>
  <c r="L384" i="12"/>
  <c r="L385" i="12"/>
  <c r="L386" i="12"/>
  <c r="L387" i="12"/>
  <c r="L388" i="12"/>
  <c r="L389" i="12"/>
  <c r="L390" i="12"/>
  <c r="L391" i="12"/>
  <c r="L392" i="12"/>
  <c r="L393" i="12"/>
  <c r="L394" i="12"/>
  <c r="L395" i="12"/>
  <c r="L396" i="12"/>
  <c r="L397" i="12"/>
  <c r="L398" i="12"/>
  <c r="L399" i="12"/>
  <c r="L400" i="12"/>
  <c r="L401" i="12"/>
  <c r="L402" i="12"/>
  <c r="L403" i="12"/>
  <c r="L404" i="12"/>
  <c r="L405" i="12"/>
  <c r="L406" i="12"/>
  <c r="L407" i="12"/>
  <c r="L408" i="12"/>
  <c r="L409" i="12"/>
  <c r="L410" i="12"/>
  <c r="L411" i="12"/>
  <c r="L412" i="12"/>
  <c r="L413" i="12"/>
  <c r="L414" i="12"/>
  <c r="L415" i="12"/>
  <c r="L416" i="12"/>
  <c r="L417" i="12"/>
  <c r="L418" i="12"/>
  <c r="L419" i="12"/>
  <c r="L420" i="12"/>
  <c r="L421" i="12"/>
  <c r="L422" i="12"/>
  <c r="L423" i="12"/>
  <c r="L424" i="12"/>
  <c r="L425" i="12"/>
  <c r="L426" i="12"/>
  <c r="L427" i="12"/>
  <c r="L428" i="12"/>
  <c r="L429" i="12"/>
  <c r="L430" i="12"/>
  <c r="L431" i="12"/>
  <c r="L432" i="12"/>
  <c r="L433" i="12"/>
  <c r="L434" i="12"/>
  <c r="L435" i="12"/>
  <c r="L436" i="12"/>
  <c r="L437" i="12"/>
  <c r="L438" i="12"/>
  <c r="L439" i="12"/>
  <c r="L440" i="12"/>
  <c r="L441" i="12"/>
  <c r="L442" i="12"/>
  <c r="L443" i="12"/>
  <c r="L444" i="12"/>
  <c r="L445" i="12"/>
  <c r="L446" i="12"/>
  <c r="L447" i="12"/>
  <c r="L448" i="12"/>
  <c r="L449" i="12"/>
  <c r="L450" i="12"/>
  <c r="L451" i="12"/>
  <c r="L452" i="12"/>
  <c r="L453" i="12"/>
  <c r="L454" i="12"/>
  <c r="L455" i="12"/>
  <c r="L456" i="12"/>
  <c r="L457" i="12"/>
  <c r="L458" i="12"/>
  <c r="L459" i="12"/>
  <c r="L460" i="12"/>
  <c r="L461" i="12"/>
  <c r="L462" i="12"/>
  <c r="L463" i="12"/>
  <c r="L464" i="12"/>
  <c r="L465" i="12"/>
  <c r="L466" i="12"/>
  <c r="L467" i="12"/>
  <c r="L468" i="12"/>
  <c r="L469" i="12"/>
  <c r="L470" i="12"/>
  <c r="L471" i="12"/>
  <c r="L472" i="12"/>
  <c r="L473" i="12"/>
  <c r="L474" i="12"/>
  <c r="L475" i="12"/>
  <c r="L476" i="12"/>
  <c r="L477" i="12"/>
  <c r="L478" i="12"/>
  <c r="L479" i="12"/>
  <c r="L480" i="12"/>
  <c r="L481" i="12"/>
  <c r="L482" i="12"/>
  <c r="L483" i="12"/>
  <c r="L484" i="12"/>
  <c r="L485" i="12"/>
  <c r="L486" i="12"/>
  <c r="L487" i="12"/>
  <c r="L488" i="12"/>
  <c r="L489" i="12"/>
  <c r="L490" i="12"/>
  <c r="L491" i="12"/>
  <c r="L492" i="12"/>
  <c r="L493" i="12"/>
  <c r="L494" i="12"/>
  <c r="L495" i="12"/>
  <c r="L496" i="12"/>
  <c r="L497" i="12"/>
  <c r="L498" i="12"/>
  <c r="L499" i="12"/>
  <c r="L500" i="12"/>
  <c r="L501" i="12"/>
  <c r="L502" i="12"/>
  <c r="L503" i="12"/>
  <c r="L504" i="12"/>
  <c r="L505" i="12"/>
  <c r="L506" i="12"/>
  <c r="L507" i="12"/>
  <c r="L508" i="12"/>
  <c r="L509" i="12"/>
  <c r="L510" i="12"/>
  <c r="L511" i="12"/>
  <c r="L512" i="12"/>
  <c r="L513" i="12"/>
  <c r="L514" i="12"/>
  <c r="L515" i="12"/>
  <c r="L516" i="12"/>
  <c r="L517" i="12"/>
  <c r="L518" i="12"/>
  <c r="L519" i="12"/>
  <c r="L520" i="12"/>
  <c r="L521" i="12"/>
  <c r="L522" i="12"/>
  <c r="L523" i="12"/>
  <c r="L524" i="12"/>
  <c r="L525" i="12"/>
  <c r="L526" i="12"/>
  <c r="L527" i="12"/>
  <c r="L528" i="12"/>
  <c r="L529" i="12"/>
  <c r="L530" i="12"/>
  <c r="L531" i="12"/>
  <c r="L532" i="12"/>
  <c r="L533" i="12"/>
  <c r="L534" i="12"/>
  <c r="L535" i="12"/>
  <c r="L536" i="12"/>
  <c r="L537" i="12"/>
  <c r="L538" i="12"/>
  <c r="L539" i="12"/>
  <c r="L540" i="12"/>
  <c r="L541" i="12"/>
  <c r="L542" i="12"/>
  <c r="L543" i="12"/>
  <c r="L544" i="12"/>
  <c r="L545" i="12"/>
  <c r="L546" i="12"/>
  <c r="L547" i="12"/>
  <c r="L548" i="12"/>
  <c r="L549" i="12"/>
  <c r="L550" i="12"/>
  <c r="L551" i="12"/>
  <c r="L552" i="12"/>
  <c r="L553" i="12"/>
  <c r="L554" i="12"/>
  <c r="L555" i="12"/>
  <c r="L556" i="12"/>
  <c r="L557" i="12"/>
  <c r="L558" i="12"/>
  <c r="L559" i="12"/>
  <c r="L560" i="12"/>
  <c r="L561" i="12"/>
  <c r="L562" i="12"/>
  <c r="L563" i="12"/>
  <c r="L2" i="12"/>
  <c r="K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2" i="12"/>
  <c r="I3" i="12"/>
  <c r="J3" i="12"/>
  <c r="I4" i="12"/>
  <c r="J4" i="12"/>
  <c r="I5" i="12"/>
  <c r="J5" i="12"/>
  <c r="I6" i="12"/>
  <c r="J6" i="12"/>
  <c r="I7" i="12"/>
  <c r="J7" i="12"/>
  <c r="I8" i="12"/>
  <c r="J8" i="12"/>
  <c r="I9" i="12"/>
  <c r="J9" i="12"/>
  <c r="I10" i="12"/>
  <c r="J10" i="12"/>
  <c r="I11" i="12"/>
  <c r="J11" i="12"/>
  <c r="I12" i="12"/>
  <c r="J12" i="12"/>
  <c r="I13" i="12"/>
  <c r="J13" i="12"/>
  <c r="I14" i="12"/>
  <c r="J14" i="12"/>
  <c r="I15" i="12"/>
  <c r="J15" i="12"/>
  <c r="I16" i="12"/>
  <c r="J16" i="12"/>
  <c r="I17" i="12"/>
  <c r="J17" i="12"/>
  <c r="I18" i="12"/>
  <c r="J18" i="12"/>
  <c r="I19" i="12"/>
  <c r="J19" i="12"/>
  <c r="I20" i="12"/>
  <c r="J20" i="12"/>
  <c r="I21" i="12"/>
  <c r="J21" i="12"/>
  <c r="I22" i="12"/>
  <c r="J22" i="12"/>
  <c r="I23" i="12"/>
  <c r="J23" i="12"/>
  <c r="I24" i="12"/>
  <c r="J24" i="12"/>
  <c r="I25" i="12"/>
  <c r="J25" i="12"/>
  <c r="I26" i="12"/>
  <c r="J26" i="12"/>
  <c r="I27" i="12"/>
  <c r="J27" i="12"/>
  <c r="I28" i="12"/>
  <c r="J28" i="12"/>
  <c r="I29" i="12"/>
  <c r="J29" i="12"/>
  <c r="I30" i="12"/>
  <c r="J30" i="12"/>
  <c r="I31" i="12"/>
  <c r="J31" i="12"/>
  <c r="I32" i="12"/>
  <c r="J32" i="12"/>
  <c r="I33" i="12"/>
  <c r="J33" i="12"/>
  <c r="I34" i="12"/>
  <c r="J34" i="12"/>
  <c r="I35" i="12"/>
  <c r="J35" i="12"/>
  <c r="I36" i="12"/>
  <c r="J36" i="12"/>
  <c r="I37" i="12"/>
  <c r="J37" i="12"/>
  <c r="I38" i="12"/>
  <c r="J38" i="12"/>
  <c r="I39" i="12"/>
  <c r="J39" i="12"/>
  <c r="I40" i="12"/>
  <c r="J40" i="12"/>
  <c r="I41" i="12"/>
  <c r="J41" i="12"/>
  <c r="I42" i="12"/>
  <c r="J42" i="12"/>
  <c r="I43" i="12"/>
  <c r="J43" i="12"/>
  <c r="I44" i="12"/>
  <c r="J44" i="12"/>
  <c r="I45" i="12"/>
  <c r="J45" i="12"/>
  <c r="I46" i="12"/>
  <c r="J46" i="12"/>
  <c r="I47" i="12"/>
  <c r="J47" i="12"/>
  <c r="I48" i="12"/>
  <c r="J48" i="12"/>
  <c r="I49" i="12"/>
  <c r="J49" i="12"/>
  <c r="I50" i="12"/>
  <c r="J50" i="12"/>
  <c r="I51" i="12"/>
  <c r="J51" i="12"/>
  <c r="I52" i="12"/>
  <c r="J52" i="12"/>
  <c r="I53" i="12"/>
  <c r="J53" i="12"/>
  <c r="I54" i="12"/>
  <c r="J54" i="12"/>
  <c r="I55" i="12"/>
  <c r="J55" i="12"/>
  <c r="I56" i="12"/>
  <c r="J56" i="12"/>
  <c r="I57" i="12"/>
  <c r="J57" i="12"/>
  <c r="I58" i="12"/>
  <c r="J58" i="12"/>
  <c r="I59" i="12"/>
  <c r="J59" i="12"/>
  <c r="I60" i="12"/>
  <c r="J60" i="12"/>
  <c r="I61" i="12"/>
  <c r="J61" i="12"/>
  <c r="I62" i="12"/>
  <c r="J62" i="12"/>
  <c r="I63" i="12"/>
  <c r="J63" i="12"/>
  <c r="I64" i="12"/>
  <c r="J64" i="12"/>
  <c r="I65" i="12"/>
  <c r="J65" i="12"/>
  <c r="I66" i="12"/>
  <c r="J66" i="12"/>
  <c r="I67" i="12"/>
  <c r="J67" i="12"/>
  <c r="I68" i="12"/>
  <c r="J68" i="12"/>
  <c r="I69" i="12"/>
  <c r="J69" i="12"/>
  <c r="I70" i="12"/>
  <c r="J70" i="12"/>
  <c r="I71" i="12"/>
  <c r="J71" i="12"/>
  <c r="I72" i="12"/>
  <c r="J72" i="12"/>
  <c r="I73" i="12"/>
  <c r="J73" i="12"/>
  <c r="I74" i="12"/>
  <c r="J74" i="12"/>
  <c r="I75" i="12"/>
  <c r="J75" i="12"/>
  <c r="I76" i="12"/>
  <c r="J76" i="12"/>
  <c r="I77" i="12"/>
  <c r="J77" i="12"/>
  <c r="I78" i="12"/>
  <c r="J78" i="12"/>
  <c r="I79" i="12"/>
  <c r="J79" i="12"/>
  <c r="I80" i="12"/>
  <c r="J80" i="12"/>
  <c r="I81" i="12"/>
  <c r="J81" i="12"/>
  <c r="I82" i="12"/>
  <c r="J82" i="12"/>
  <c r="I83" i="12"/>
  <c r="J83" i="12"/>
  <c r="I84" i="12"/>
  <c r="J84" i="12"/>
  <c r="I85" i="12"/>
  <c r="J85" i="12"/>
  <c r="I86" i="12"/>
  <c r="J86" i="12"/>
  <c r="I87" i="12"/>
  <c r="J87" i="12"/>
  <c r="I88" i="12"/>
  <c r="J88" i="12"/>
  <c r="I89" i="12"/>
  <c r="J89" i="12"/>
  <c r="I90" i="12"/>
  <c r="J90" i="12"/>
  <c r="I91" i="12"/>
  <c r="J91" i="12"/>
  <c r="I92" i="12"/>
  <c r="J92" i="12"/>
  <c r="I93" i="12"/>
  <c r="J93" i="12"/>
  <c r="I94" i="12"/>
  <c r="J94" i="12"/>
  <c r="I95" i="12"/>
  <c r="J95" i="12"/>
  <c r="I96" i="12"/>
  <c r="J96" i="12"/>
  <c r="I97" i="12"/>
  <c r="J97" i="12"/>
  <c r="I98" i="12"/>
  <c r="J98" i="12"/>
  <c r="I99" i="12"/>
  <c r="J99" i="12"/>
  <c r="I100" i="12"/>
  <c r="J100" i="12"/>
  <c r="I101" i="12"/>
  <c r="J101" i="12"/>
  <c r="I102" i="12"/>
  <c r="J102" i="12"/>
  <c r="I103" i="12"/>
  <c r="J103" i="12"/>
  <c r="I104" i="12"/>
  <c r="J104" i="12"/>
  <c r="I105" i="12"/>
  <c r="J105" i="12"/>
  <c r="I106" i="12"/>
  <c r="J106" i="12"/>
  <c r="I107" i="12"/>
  <c r="J107" i="12"/>
  <c r="I108" i="12"/>
  <c r="J108" i="12"/>
  <c r="I109" i="12"/>
  <c r="J109" i="12"/>
  <c r="I110" i="12"/>
  <c r="J110" i="12"/>
  <c r="I111" i="12"/>
  <c r="J111" i="12"/>
  <c r="I112" i="12"/>
  <c r="J112" i="12"/>
  <c r="I113" i="12"/>
  <c r="J113" i="12"/>
  <c r="I114" i="12"/>
  <c r="J114" i="12"/>
  <c r="I115" i="12"/>
  <c r="J115" i="12"/>
  <c r="I116" i="12"/>
  <c r="J116" i="12"/>
  <c r="I117" i="12"/>
  <c r="J117" i="12"/>
  <c r="I118" i="12"/>
  <c r="J118" i="12"/>
  <c r="I119" i="12"/>
  <c r="J119" i="12"/>
  <c r="I120" i="12"/>
  <c r="J120" i="12"/>
  <c r="I121" i="12"/>
  <c r="J121" i="12"/>
  <c r="I122" i="12"/>
  <c r="J122" i="12"/>
  <c r="I123" i="12"/>
  <c r="J123" i="12"/>
  <c r="I124" i="12"/>
  <c r="J124" i="12"/>
  <c r="I125" i="12"/>
  <c r="J125" i="12"/>
  <c r="I126" i="12"/>
  <c r="J126" i="12"/>
  <c r="I127" i="12"/>
  <c r="J127" i="12"/>
  <c r="I128" i="12"/>
  <c r="J128" i="12"/>
  <c r="I129" i="12"/>
  <c r="J129" i="12"/>
  <c r="I130" i="12"/>
  <c r="J130" i="12"/>
  <c r="I131" i="12"/>
  <c r="J131" i="12"/>
  <c r="I132" i="12"/>
  <c r="J132" i="12"/>
  <c r="I133" i="12"/>
  <c r="J133" i="12"/>
  <c r="I134" i="12"/>
  <c r="J134" i="12"/>
  <c r="I135" i="12"/>
  <c r="J135" i="12"/>
  <c r="I136" i="12"/>
  <c r="J136" i="12"/>
  <c r="I137" i="12"/>
  <c r="J137" i="12"/>
  <c r="I138" i="12"/>
  <c r="J138" i="12"/>
  <c r="I139" i="12"/>
  <c r="J139" i="12"/>
  <c r="I140" i="12"/>
  <c r="J140" i="12"/>
  <c r="I141" i="12"/>
  <c r="J141" i="12"/>
  <c r="I142" i="12"/>
  <c r="J142" i="12"/>
  <c r="I143" i="12"/>
  <c r="J143" i="12"/>
  <c r="I144" i="12"/>
  <c r="J144" i="12"/>
  <c r="I145" i="12"/>
  <c r="J145" i="12"/>
  <c r="I146" i="12"/>
  <c r="J146" i="12"/>
  <c r="I147" i="12"/>
  <c r="J147" i="12"/>
  <c r="I148" i="12"/>
  <c r="J148" i="12"/>
  <c r="I149" i="12"/>
  <c r="J149" i="12"/>
  <c r="I150" i="12"/>
  <c r="J150" i="12"/>
  <c r="I151" i="12"/>
  <c r="J151" i="12"/>
  <c r="I152" i="12"/>
  <c r="J152" i="12"/>
  <c r="I153" i="12"/>
  <c r="J153" i="12"/>
  <c r="I154" i="12"/>
  <c r="J154" i="12"/>
  <c r="I155" i="12"/>
  <c r="J155" i="12"/>
  <c r="I156" i="12"/>
  <c r="J156" i="12"/>
  <c r="I157" i="12"/>
  <c r="J157" i="12"/>
  <c r="I158" i="12"/>
  <c r="J158" i="12"/>
  <c r="I159" i="12"/>
  <c r="J159" i="12"/>
  <c r="I160" i="12"/>
  <c r="J160" i="12"/>
  <c r="I161" i="12"/>
  <c r="J161" i="12"/>
  <c r="I162" i="12"/>
  <c r="J162" i="12"/>
  <c r="I163" i="12"/>
  <c r="J163" i="12"/>
  <c r="I164" i="12"/>
  <c r="J164" i="12"/>
  <c r="I165" i="12"/>
  <c r="J165" i="12"/>
  <c r="I166" i="12"/>
  <c r="J166" i="12"/>
  <c r="I167" i="12"/>
  <c r="J167" i="12"/>
  <c r="I168" i="12"/>
  <c r="J168" i="12"/>
  <c r="I169" i="12"/>
  <c r="J169" i="12"/>
  <c r="I170" i="12"/>
  <c r="J170" i="12"/>
  <c r="I171" i="12"/>
  <c r="J171" i="12"/>
  <c r="I172" i="12"/>
  <c r="J172" i="12"/>
  <c r="I173" i="12"/>
  <c r="J173" i="12"/>
  <c r="I174" i="12"/>
  <c r="J174" i="12"/>
  <c r="I175" i="12"/>
  <c r="J175" i="12"/>
  <c r="I176" i="12"/>
  <c r="J176" i="12"/>
  <c r="I177" i="12"/>
  <c r="J177" i="12"/>
  <c r="I178" i="12"/>
  <c r="J178" i="12"/>
  <c r="I179" i="12"/>
  <c r="J179" i="12"/>
  <c r="I180" i="12"/>
  <c r="J180" i="12"/>
  <c r="I181" i="12"/>
  <c r="J181" i="12"/>
  <c r="I182" i="12"/>
  <c r="J182" i="12"/>
  <c r="I183" i="12"/>
  <c r="J183" i="12"/>
  <c r="I184" i="12"/>
  <c r="J184" i="12"/>
  <c r="I185" i="12"/>
  <c r="J185" i="12"/>
  <c r="I186" i="12"/>
  <c r="J186" i="12"/>
  <c r="I187" i="12"/>
  <c r="J187" i="12"/>
  <c r="I188" i="12"/>
  <c r="J188" i="12"/>
  <c r="I189" i="12"/>
  <c r="J189" i="12"/>
  <c r="I190" i="12"/>
  <c r="J190" i="12"/>
  <c r="I191" i="12"/>
  <c r="J191" i="12"/>
  <c r="I192" i="12"/>
  <c r="J192" i="12"/>
  <c r="I193" i="12"/>
  <c r="J193" i="12"/>
  <c r="I194" i="12"/>
  <c r="J194" i="12"/>
  <c r="I195" i="12"/>
  <c r="J195" i="12"/>
  <c r="I196" i="12"/>
  <c r="J196" i="12"/>
  <c r="I197" i="12"/>
  <c r="J197" i="12"/>
  <c r="I198" i="12"/>
  <c r="J198" i="12"/>
  <c r="I199" i="12"/>
  <c r="J199" i="12"/>
  <c r="I200" i="12"/>
  <c r="J200" i="12"/>
  <c r="I201" i="12"/>
  <c r="J201" i="12"/>
  <c r="I202" i="12"/>
  <c r="J202" i="12"/>
  <c r="I203" i="12"/>
  <c r="J203" i="12"/>
  <c r="I204" i="12"/>
  <c r="J204" i="12"/>
  <c r="I205" i="12"/>
  <c r="J205" i="12"/>
  <c r="I206" i="12"/>
  <c r="J206" i="12"/>
  <c r="I207" i="12"/>
  <c r="J207" i="12"/>
  <c r="I208" i="12"/>
  <c r="J208" i="12"/>
  <c r="I209" i="12"/>
  <c r="J209" i="12"/>
  <c r="I210" i="12"/>
  <c r="J210" i="12"/>
  <c r="I211" i="12"/>
  <c r="J211" i="12"/>
  <c r="I212" i="12"/>
  <c r="J212" i="12"/>
  <c r="I213" i="12"/>
  <c r="J213" i="12"/>
  <c r="I214" i="12"/>
  <c r="J214" i="12"/>
  <c r="I215" i="12"/>
  <c r="J215" i="12"/>
  <c r="I216" i="12"/>
  <c r="J216" i="12"/>
  <c r="I217" i="12"/>
  <c r="J217" i="12"/>
  <c r="I218" i="12"/>
  <c r="J218" i="12"/>
  <c r="I219" i="12"/>
  <c r="J219" i="12"/>
  <c r="I220" i="12"/>
  <c r="J220" i="12"/>
  <c r="I221" i="12"/>
  <c r="J221" i="12"/>
  <c r="I222" i="12"/>
  <c r="J222" i="12"/>
  <c r="I223" i="12"/>
  <c r="J223" i="12"/>
  <c r="I224" i="12"/>
  <c r="J224" i="12"/>
  <c r="I225" i="12"/>
  <c r="J225" i="12"/>
  <c r="I226" i="12"/>
  <c r="J226" i="12"/>
  <c r="I227" i="12"/>
  <c r="J227" i="12"/>
  <c r="I228" i="12"/>
  <c r="J228" i="12"/>
  <c r="I229" i="12"/>
  <c r="J229" i="12"/>
  <c r="I230" i="12"/>
  <c r="J230" i="12"/>
  <c r="I231" i="12"/>
  <c r="J231" i="12"/>
  <c r="I232" i="12"/>
  <c r="J232" i="12"/>
  <c r="I233" i="12"/>
  <c r="J233" i="12"/>
  <c r="I234" i="12"/>
  <c r="J234" i="12"/>
  <c r="I235" i="12"/>
  <c r="J235" i="12"/>
  <c r="I236" i="12"/>
  <c r="J236" i="12"/>
  <c r="I237" i="12"/>
  <c r="J237" i="12"/>
  <c r="I238" i="12"/>
  <c r="J238" i="12"/>
  <c r="I239" i="12"/>
  <c r="J239" i="12"/>
  <c r="I240" i="12"/>
  <c r="J240" i="12"/>
  <c r="I241" i="12"/>
  <c r="J241" i="12"/>
  <c r="I242" i="12"/>
  <c r="J242" i="12"/>
  <c r="I243" i="12"/>
  <c r="J243" i="12"/>
  <c r="I244" i="12"/>
  <c r="J244" i="12"/>
  <c r="I245" i="12"/>
  <c r="J245" i="12"/>
  <c r="I246" i="12"/>
  <c r="J246" i="12"/>
  <c r="I247" i="12"/>
  <c r="J247" i="12"/>
  <c r="I248" i="12"/>
  <c r="J248" i="12"/>
  <c r="I249" i="12"/>
  <c r="J249" i="12"/>
  <c r="I250" i="12"/>
  <c r="J250" i="12"/>
  <c r="I251" i="12"/>
  <c r="J251" i="12"/>
  <c r="I252" i="12"/>
  <c r="J252" i="12"/>
  <c r="I253" i="12"/>
  <c r="J253" i="12"/>
  <c r="I254" i="12"/>
  <c r="J254" i="12"/>
  <c r="I255" i="12"/>
  <c r="J255" i="12"/>
  <c r="I256" i="12"/>
  <c r="J256" i="12"/>
  <c r="I257" i="12"/>
  <c r="J257" i="12"/>
  <c r="I258" i="12"/>
  <c r="J258" i="12"/>
  <c r="I259" i="12"/>
  <c r="J259" i="12"/>
  <c r="I260" i="12"/>
  <c r="J260" i="12"/>
  <c r="I261" i="12"/>
  <c r="J261" i="12"/>
  <c r="I262" i="12"/>
  <c r="J262" i="12"/>
  <c r="I263" i="12"/>
  <c r="J263" i="12"/>
  <c r="I264" i="12"/>
  <c r="J264" i="12"/>
  <c r="I265" i="12"/>
  <c r="J265" i="12"/>
  <c r="I266" i="12"/>
  <c r="J266" i="12"/>
  <c r="I267" i="12"/>
  <c r="J267" i="12"/>
  <c r="I268" i="12"/>
  <c r="J268" i="12"/>
  <c r="I269" i="12"/>
  <c r="J269" i="12"/>
  <c r="I270" i="12"/>
  <c r="J270" i="12"/>
  <c r="I271" i="12"/>
  <c r="J271" i="12"/>
  <c r="I272" i="12"/>
  <c r="J272" i="12"/>
  <c r="I273" i="12"/>
  <c r="J273" i="12"/>
  <c r="I274" i="12"/>
  <c r="J274" i="12"/>
  <c r="I275" i="12"/>
  <c r="J275" i="12"/>
  <c r="I276" i="12"/>
  <c r="J276" i="12"/>
  <c r="I277" i="12"/>
  <c r="J277" i="12"/>
  <c r="I278" i="12"/>
  <c r="J278" i="12"/>
  <c r="I279" i="12"/>
  <c r="J279" i="12"/>
  <c r="I280" i="12"/>
  <c r="J280" i="12"/>
  <c r="I281" i="12"/>
  <c r="J281" i="12"/>
  <c r="I282" i="12"/>
  <c r="J282" i="12"/>
  <c r="I283" i="12"/>
  <c r="J283" i="12"/>
  <c r="I284" i="12"/>
  <c r="J284" i="12"/>
  <c r="I285" i="12"/>
  <c r="J285" i="12"/>
  <c r="I286" i="12"/>
  <c r="J286" i="12"/>
  <c r="I287" i="12"/>
  <c r="J287" i="12"/>
  <c r="I288" i="12"/>
  <c r="J288" i="12"/>
  <c r="I289" i="12"/>
  <c r="J289" i="12"/>
  <c r="I290" i="12"/>
  <c r="J290" i="12"/>
  <c r="I291" i="12"/>
  <c r="J291" i="12"/>
  <c r="I292" i="12"/>
  <c r="J292" i="12"/>
  <c r="I293" i="12"/>
  <c r="J293" i="12"/>
  <c r="I294" i="12"/>
  <c r="J294" i="12"/>
  <c r="I295" i="12"/>
  <c r="J295" i="12"/>
  <c r="I296" i="12"/>
  <c r="J296" i="12"/>
  <c r="I297" i="12"/>
  <c r="J297" i="12"/>
  <c r="I298" i="12"/>
  <c r="J298" i="12"/>
  <c r="I299" i="12"/>
  <c r="J299" i="12"/>
  <c r="I300" i="12"/>
  <c r="J300" i="12"/>
  <c r="I301" i="12"/>
  <c r="J301" i="12"/>
  <c r="I302" i="12"/>
  <c r="J302" i="12"/>
  <c r="I303" i="12"/>
  <c r="J303" i="12"/>
  <c r="I304" i="12"/>
  <c r="J304" i="12"/>
  <c r="I305" i="12"/>
  <c r="J305" i="12"/>
  <c r="I306" i="12"/>
  <c r="J306" i="12"/>
  <c r="I307" i="12"/>
  <c r="J307" i="12"/>
  <c r="I308" i="12"/>
  <c r="J308" i="12"/>
  <c r="I309" i="12"/>
  <c r="J309" i="12"/>
  <c r="I310" i="12"/>
  <c r="J310" i="12"/>
  <c r="I311" i="12"/>
  <c r="J311" i="12"/>
  <c r="I312" i="12"/>
  <c r="J312" i="12"/>
  <c r="I313" i="12"/>
  <c r="J313" i="12"/>
  <c r="I314" i="12"/>
  <c r="J314" i="12"/>
  <c r="I315" i="12"/>
  <c r="J315" i="12"/>
  <c r="I316" i="12"/>
  <c r="J316" i="12"/>
  <c r="I317" i="12"/>
  <c r="J317" i="12"/>
  <c r="I318" i="12"/>
  <c r="J318" i="12"/>
  <c r="I319" i="12"/>
  <c r="J319" i="12"/>
  <c r="I320" i="12"/>
  <c r="J320" i="12"/>
  <c r="I321" i="12"/>
  <c r="J321" i="12"/>
  <c r="I322" i="12"/>
  <c r="J322" i="12"/>
  <c r="I323" i="12"/>
  <c r="J323" i="12"/>
  <c r="I324" i="12"/>
  <c r="J324" i="12"/>
  <c r="I325" i="12"/>
  <c r="J325" i="12"/>
  <c r="I326" i="12"/>
  <c r="J326" i="12"/>
  <c r="I327" i="12"/>
  <c r="J327" i="12"/>
  <c r="I328" i="12"/>
  <c r="J328" i="12"/>
  <c r="I329" i="12"/>
  <c r="J329" i="12"/>
  <c r="I330" i="12"/>
  <c r="J330" i="12"/>
  <c r="I331" i="12"/>
  <c r="J331" i="12"/>
  <c r="I332" i="12"/>
  <c r="J332" i="12"/>
  <c r="I333" i="12"/>
  <c r="J333" i="12"/>
  <c r="I334" i="12"/>
  <c r="J334" i="12"/>
  <c r="I335" i="12"/>
  <c r="J335" i="12"/>
  <c r="I336" i="12"/>
  <c r="J336" i="12"/>
  <c r="I337" i="12"/>
  <c r="J337" i="12"/>
  <c r="I338" i="12"/>
  <c r="J338" i="12"/>
  <c r="I339" i="12"/>
  <c r="J339" i="12"/>
  <c r="I340" i="12"/>
  <c r="J340" i="12"/>
  <c r="I341" i="12"/>
  <c r="J341" i="12"/>
  <c r="I342" i="12"/>
  <c r="J342" i="12"/>
  <c r="I343" i="12"/>
  <c r="J343" i="12"/>
  <c r="I344" i="12"/>
  <c r="J344" i="12"/>
  <c r="I345" i="12"/>
  <c r="J345" i="12"/>
  <c r="I346" i="12"/>
  <c r="J346" i="12"/>
  <c r="I347" i="12"/>
  <c r="J347" i="12"/>
  <c r="I348" i="12"/>
  <c r="J348" i="12"/>
  <c r="I349" i="12"/>
  <c r="J349" i="12"/>
  <c r="I350" i="12"/>
  <c r="J350" i="12"/>
  <c r="I351" i="12"/>
  <c r="J351" i="12"/>
  <c r="I352" i="12"/>
  <c r="J352" i="12"/>
  <c r="I353" i="12"/>
  <c r="J353" i="12"/>
  <c r="I354" i="12"/>
  <c r="J354" i="12"/>
  <c r="I355" i="12"/>
  <c r="J355" i="12"/>
  <c r="I356" i="12"/>
  <c r="J356" i="12"/>
  <c r="I357" i="12"/>
  <c r="J357" i="12"/>
  <c r="I358" i="12"/>
  <c r="J358" i="12"/>
  <c r="I359" i="12"/>
  <c r="J359" i="12"/>
  <c r="I360" i="12"/>
  <c r="J360" i="12"/>
  <c r="I361" i="12"/>
  <c r="J361" i="12"/>
  <c r="I362" i="12"/>
  <c r="J362" i="12"/>
  <c r="I363" i="12"/>
  <c r="J363" i="12"/>
  <c r="I364" i="12"/>
  <c r="J364" i="12"/>
  <c r="I365" i="12"/>
  <c r="J365" i="12"/>
  <c r="I366" i="12"/>
  <c r="J366" i="12"/>
  <c r="I367" i="12"/>
  <c r="J367" i="12"/>
  <c r="I368" i="12"/>
  <c r="J368" i="12"/>
  <c r="I369" i="12"/>
  <c r="J369" i="12"/>
  <c r="I370" i="12"/>
  <c r="J370" i="12"/>
  <c r="I371" i="12"/>
  <c r="J371" i="12"/>
  <c r="I372" i="12"/>
  <c r="J372" i="12"/>
  <c r="I373" i="12"/>
  <c r="J373" i="12"/>
  <c r="I374" i="12"/>
  <c r="J374" i="12"/>
  <c r="I375" i="12"/>
  <c r="J375" i="12"/>
  <c r="I376" i="12"/>
  <c r="J376" i="12"/>
  <c r="I377" i="12"/>
  <c r="J377" i="12"/>
  <c r="I378" i="12"/>
  <c r="J378" i="12"/>
  <c r="I379" i="12"/>
  <c r="J379" i="12"/>
  <c r="I380" i="12"/>
  <c r="J380" i="12"/>
  <c r="I381" i="12"/>
  <c r="J381" i="12"/>
  <c r="I382" i="12"/>
  <c r="J382" i="12"/>
  <c r="I383" i="12"/>
  <c r="J383" i="12"/>
  <c r="I384" i="12"/>
  <c r="J384" i="12"/>
  <c r="I385" i="12"/>
  <c r="J385" i="12"/>
  <c r="I386" i="12"/>
  <c r="J386" i="12"/>
  <c r="I387" i="12"/>
  <c r="J387" i="12"/>
  <c r="I388" i="12"/>
  <c r="J388" i="12"/>
  <c r="I389" i="12"/>
  <c r="J389" i="12"/>
  <c r="I390" i="12"/>
  <c r="J390" i="12"/>
  <c r="I391" i="12"/>
  <c r="J391" i="12"/>
  <c r="I392" i="12"/>
  <c r="J392" i="12"/>
  <c r="I393" i="12"/>
  <c r="J393" i="12"/>
  <c r="I394" i="12"/>
  <c r="J394" i="12"/>
  <c r="I395" i="12"/>
  <c r="J395" i="12"/>
  <c r="I396" i="12"/>
  <c r="J396" i="12"/>
  <c r="I397" i="12"/>
  <c r="J397" i="12"/>
  <c r="I398" i="12"/>
  <c r="J398" i="12"/>
  <c r="I399" i="12"/>
  <c r="J399" i="12"/>
  <c r="I400" i="12"/>
  <c r="J400" i="12"/>
  <c r="I401" i="12"/>
  <c r="J401" i="12"/>
  <c r="I402" i="12"/>
  <c r="J402" i="12"/>
  <c r="I403" i="12"/>
  <c r="J403" i="12"/>
  <c r="I404" i="12"/>
  <c r="J404" i="12"/>
  <c r="I405" i="12"/>
  <c r="J405" i="12"/>
  <c r="I406" i="12"/>
  <c r="J406" i="12"/>
  <c r="I407" i="12"/>
  <c r="J407" i="12"/>
  <c r="I408" i="12"/>
  <c r="J408" i="12"/>
  <c r="I409" i="12"/>
  <c r="J409" i="12"/>
  <c r="I410" i="12"/>
  <c r="J410" i="12"/>
  <c r="I411" i="12"/>
  <c r="J411" i="12"/>
  <c r="I412" i="12"/>
  <c r="J412" i="12"/>
  <c r="I413" i="12"/>
  <c r="J413" i="12"/>
  <c r="I414" i="12"/>
  <c r="J414" i="12"/>
  <c r="I415" i="12"/>
  <c r="J415" i="12"/>
  <c r="I416" i="12"/>
  <c r="J416" i="12"/>
  <c r="I417" i="12"/>
  <c r="J417" i="12"/>
  <c r="I418" i="12"/>
  <c r="J418" i="12"/>
  <c r="I419" i="12"/>
  <c r="J419" i="12"/>
  <c r="I420" i="12"/>
  <c r="J420" i="12"/>
  <c r="I421" i="12"/>
  <c r="J421" i="12"/>
  <c r="I422" i="12"/>
  <c r="J422" i="12"/>
  <c r="I423" i="12"/>
  <c r="J423" i="12"/>
  <c r="I424" i="12"/>
  <c r="J424" i="12"/>
  <c r="I425" i="12"/>
  <c r="J425" i="12"/>
  <c r="I426" i="12"/>
  <c r="J426" i="12"/>
  <c r="I427" i="12"/>
  <c r="J427" i="12"/>
  <c r="I428" i="12"/>
  <c r="J428" i="12"/>
  <c r="I429" i="12"/>
  <c r="J429" i="12"/>
  <c r="I430" i="12"/>
  <c r="J430" i="12"/>
  <c r="I431" i="12"/>
  <c r="J431" i="12"/>
  <c r="I432" i="12"/>
  <c r="J432" i="12"/>
  <c r="I433" i="12"/>
  <c r="J433" i="12"/>
  <c r="I434" i="12"/>
  <c r="J434" i="12"/>
  <c r="I435" i="12"/>
  <c r="J435" i="12"/>
  <c r="I436" i="12"/>
  <c r="J436" i="12"/>
  <c r="I437" i="12"/>
  <c r="J437" i="12"/>
  <c r="I438" i="12"/>
  <c r="J438" i="12"/>
  <c r="I439" i="12"/>
  <c r="J439" i="12"/>
  <c r="I440" i="12"/>
  <c r="J440" i="12"/>
  <c r="I441" i="12"/>
  <c r="J441" i="12"/>
  <c r="I442" i="12"/>
  <c r="J442" i="12"/>
  <c r="I443" i="12"/>
  <c r="J443" i="12"/>
  <c r="I444" i="12"/>
  <c r="J444" i="12"/>
  <c r="I445" i="12"/>
  <c r="J445" i="12"/>
  <c r="I446" i="12"/>
  <c r="J446" i="12"/>
  <c r="I447" i="12"/>
  <c r="J447" i="12"/>
  <c r="I448" i="12"/>
  <c r="J448" i="12"/>
  <c r="I449" i="12"/>
  <c r="J449" i="12"/>
  <c r="I450" i="12"/>
  <c r="J450" i="12"/>
  <c r="I451" i="12"/>
  <c r="J451" i="12"/>
  <c r="I452" i="12"/>
  <c r="J452" i="12"/>
  <c r="I453" i="12"/>
  <c r="J453" i="12"/>
  <c r="I454" i="12"/>
  <c r="J454" i="12"/>
  <c r="I455" i="12"/>
  <c r="J455" i="12"/>
  <c r="I456" i="12"/>
  <c r="J456" i="12"/>
  <c r="I457" i="12"/>
  <c r="J457" i="12"/>
  <c r="I458" i="12"/>
  <c r="J458" i="12"/>
  <c r="I459" i="12"/>
  <c r="J459" i="12"/>
  <c r="I460" i="12"/>
  <c r="J460" i="12"/>
  <c r="I461" i="12"/>
  <c r="J461" i="12"/>
  <c r="I462" i="12"/>
  <c r="J462" i="12"/>
  <c r="I463" i="12"/>
  <c r="J463" i="12"/>
  <c r="I464" i="12"/>
  <c r="J464" i="12"/>
  <c r="I465" i="12"/>
  <c r="J465" i="12"/>
  <c r="I466" i="12"/>
  <c r="J466" i="12"/>
  <c r="I467" i="12"/>
  <c r="J467" i="12"/>
  <c r="I468" i="12"/>
  <c r="J468" i="12"/>
  <c r="I469" i="12"/>
  <c r="J469" i="12"/>
  <c r="I470" i="12"/>
  <c r="J470" i="12"/>
  <c r="I471" i="12"/>
  <c r="J471" i="12"/>
  <c r="I472" i="12"/>
  <c r="J472" i="12"/>
  <c r="I473" i="12"/>
  <c r="J473" i="12"/>
  <c r="I474" i="12"/>
  <c r="J474" i="12"/>
  <c r="I475" i="12"/>
  <c r="J475" i="12"/>
  <c r="I476" i="12"/>
  <c r="J476" i="12"/>
  <c r="I477" i="12"/>
  <c r="J477" i="12"/>
  <c r="I478" i="12"/>
  <c r="J478" i="12"/>
  <c r="I479" i="12"/>
  <c r="J479" i="12"/>
  <c r="I480" i="12"/>
  <c r="J480" i="12"/>
  <c r="I481" i="12"/>
  <c r="J481" i="12"/>
  <c r="I482" i="12"/>
  <c r="J482" i="12"/>
  <c r="I483" i="12"/>
  <c r="J483" i="12"/>
  <c r="I484" i="12"/>
  <c r="J484" i="12"/>
  <c r="I485" i="12"/>
  <c r="J485" i="12"/>
  <c r="I486" i="12"/>
  <c r="J486" i="12"/>
  <c r="I487" i="12"/>
  <c r="J487" i="12"/>
  <c r="I488" i="12"/>
  <c r="J488" i="12"/>
  <c r="I489" i="12"/>
  <c r="J489" i="12"/>
  <c r="I490" i="12"/>
  <c r="J490" i="12"/>
  <c r="I491" i="12"/>
  <c r="J491" i="12"/>
  <c r="I492" i="12"/>
  <c r="J492" i="12"/>
  <c r="I493" i="12"/>
  <c r="J493" i="12"/>
  <c r="I494" i="12"/>
  <c r="J494" i="12"/>
  <c r="I495" i="12"/>
  <c r="J495" i="12"/>
  <c r="I496" i="12"/>
  <c r="J496" i="12"/>
  <c r="I497" i="12"/>
  <c r="J497" i="12"/>
  <c r="I498" i="12"/>
  <c r="J498" i="12"/>
  <c r="I499" i="12"/>
  <c r="J499" i="12"/>
  <c r="I500" i="12"/>
  <c r="J500" i="12"/>
  <c r="I501" i="12"/>
  <c r="J501" i="12"/>
  <c r="I502" i="12"/>
  <c r="J502" i="12"/>
  <c r="I503" i="12"/>
  <c r="J503" i="12"/>
  <c r="I504" i="12"/>
  <c r="J504" i="12"/>
  <c r="I505" i="12"/>
  <c r="J505" i="12"/>
  <c r="I506" i="12"/>
  <c r="J506" i="12"/>
  <c r="I507" i="12"/>
  <c r="J507" i="12"/>
  <c r="I508" i="12"/>
  <c r="J508" i="12"/>
  <c r="I509" i="12"/>
  <c r="J509" i="12"/>
  <c r="I510" i="12"/>
  <c r="J510" i="12"/>
  <c r="I511" i="12"/>
  <c r="J511" i="12"/>
  <c r="I512" i="12"/>
  <c r="J512" i="12"/>
  <c r="I513" i="12"/>
  <c r="J513" i="12"/>
  <c r="I514" i="12"/>
  <c r="J514" i="12"/>
  <c r="I515" i="12"/>
  <c r="J515" i="12"/>
  <c r="I516" i="12"/>
  <c r="J516" i="12"/>
  <c r="I517" i="12"/>
  <c r="J517" i="12"/>
  <c r="I518" i="12"/>
  <c r="J518" i="12"/>
  <c r="I519" i="12"/>
  <c r="J519" i="12"/>
  <c r="I520" i="12"/>
  <c r="J520" i="12"/>
  <c r="I521" i="12"/>
  <c r="J521" i="12"/>
  <c r="I522" i="12"/>
  <c r="J522" i="12"/>
  <c r="I523" i="12"/>
  <c r="J523" i="12"/>
  <c r="I524" i="12"/>
  <c r="J524" i="12"/>
  <c r="I525" i="12"/>
  <c r="J525" i="12"/>
  <c r="I526" i="12"/>
  <c r="J526" i="12"/>
  <c r="I527" i="12"/>
  <c r="J527" i="12"/>
  <c r="I528" i="12"/>
  <c r="J528" i="12"/>
  <c r="I529" i="12"/>
  <c r="J529" i="12"/>
  <c r="I530" i="12"/>
  <c r="J530" i="12"/>
  <c r="I531" i="12"/>
  <c r="J531" i="12"/>
  <c r="I532" i="12"/>
  <c r="J532" i="12"/>
  <c r="I533" i="12"/>
  <c r="J533" i="12"/>
  <c r="I534" i="12"/>
  <c r="J534" i="12"/>
  <c r="I535" i="12"/>
  <c r="J535" i="12"/>
  <c r="I536" i="12"/>
  <c r="J536" i="12"/>
  <c r="I537" i="12"/>
  <c r="J537" i="12"/>
  <c r="I538" i="12"/>
  <c r="J538" i="12"/>
  <c r="I539" i="12"/>
  <c r="J539" i="12"/>
  <c r="I540" i="12"/>
  <c r="J540" i="12"/>
  <c r="I541" i="12"/>
  <c r="J541" i="12"/>
  <c r="I542" i="12"/>
  <c r="J542" i="12"/>
  <c r="I543" i="12"/>
  <c r="J543" i="12"/>
  <c r="I544" i="12"/>
  <c r="J544" i="12"/>
  <c r="I545" i="12"/>
  <c r="J545" i="12"/>
  <c r="I546" i="12"/>
  <c r="J546" i="12"/>
  <c r="I547" i="12"/>
  <c r="J547" i="12"/>
  <c r="I548" i="12"/>
  <c r="J548" i="12"/>
  <c r="I549" i="12"/>
  <c r="J549" i="12"/>
  <c r="I550" i="12"/>
  <c r="J550" i="12"/>
  <c r="I551" i="12"/>
  <c r="J551" i="12"/>
  <c r="I552" i="12"/>
  <c r="J552" i="12"/>
  <c r="I553" i="12"/>
  <c r="J553" i="12"/>
  <c r="I554" i="12"/>
  <c r="J554" i="12"/>
  <c r="I555" i="12"/>
  <c r="J555" i="12"/>
  <c r="I556" i="12"/>
  <c r="J556" i="12"/>
  <c r="I557" i="12"/>
  <c r="J557" i="12"/>
  <c r="I558" i="12"/>
  <c r="J558" i="12"/>
  <c r="I559" i="12"/>
  <c r="J559" i="12"/>
  <c r="I560" i="12"/>
  <c r="J560" i="12"/>
  <c r="I561" i="12"/>
  <c r="J561" i="12"/>
  <c r="I562" i="12"/>
  <c r="J562" i="12"/>
  <c r="I563" i="12"/>
  <c r="J563" i="12"/>
  <c r="J2" i="12"/>
  <c r="I2" i="12"/>
  <c r="H3" i="12"/>
  <c r="H4" i="12"/>
  <c r="H5" i="12"/>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2" i="12"/>
  <c r="D9" i="29" l="1"/>
  <c r="E8" i="29" s="1"/>
  <c r="H62" i="18" l="1"/>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D40" i="19" l="1"/>
  <c r="D39" i="19"/>
  <c r="D3" i="19" l="1"/>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2" i="19"/>
  <c r="I185" i="18" l="1"/>
  <c r="I189" i="18"/>
  <c r="I193" i="18"/>
  <c r="I182" i="18"/>
  <c r="I186" i="18"/>
  <c r="I190" i="18"/>
  <c r="I183" i="18"/>
  <c r="I187" i="18"/>
  <c r="I191" i="18"/>
  <c r="I188" i="18"/>
  <c r="I192" i="18"/>
  <c r="I184" i="18"/>
  <c r="I157" i="18"/>
  <c r="I158" i="18"/>
  <c r="I159" i="18"/>
  <c r="I156" i="18"/>
  <c r="I117" i="18"/>
  <c r="I121" i="18"/>
  <c r="I125" i="18"/>
  <c r="I118" i="18"/>
  <c r="I122" i="18"/>
  <c r="I126" i="18"/>
  <c r="I119" i="18"/>
  <c r="I123" i="18"/>
  <c r="I127" i="18"/>
  <c r="I124" i="18"/>
  <c r="I120" i="18"/>
  <c r="I65" i="18"/>
  <c r="I62" i="18"/>
  <c r="I63" i="18"/>
  <c r="I64" i="18"/>
  <c r="I247" i="18"/>
  <c r="I248" i="18"/>
  <c r="I285" i="18"/>
  <c r="I286" i="18"/>
  <c r="I283" i="18"/>
  <c r="I287" i="18"/>
  <c r="I284" i="18"/>
  <c r="I288" i="18"/>
  <c r="I249" i="18"/>
  <c r="I253" i="18"/>
  <c r="I257" i="18"/>
  <c r="I250" i="18"/>
  <c r="I254" i="18"/>
  <c r="I258" i="18"/>
  <c r="I251" i="18"/>
  <c r="I255" i="18"/>
  <c r="I252" i="18"/>
  <c r="I256" i="18"/>
  <c r="I221" i="18"/>
  <c r="I225" i="18"/>
  <c r="I222" i="18"/>
  <c r="I226" i="18"/>
  <c r="I223" i="18"/>
  <c r="I227" i="18"/>
  <c r="I224" i="18"/>
  <c r="I173" i="18"/>
  <c r="I177" i="18"/>
  <c r="I181" i="18"/>
  <c r="I170" i="18"/>
  <c r="I174" i="18"/>
  <c r="I178" i="18"/>
  <c r="I171" i="18"/>
  <c r="I175" i="18"/>
  <c r="I179" i="18"/>
  <c r="I172" i="18"/>
  <c r="I176" i="18"/>
  <c r="I180" i="18"/>
  <c r="I153" i="18"/>
  <c r="I154" i="18"/>
  <c r="I155" i="18"/>
  <c r="I152" i="18"/>
  <c r="I114" i="18"/>
  <c r="I115" i="18"/>
  <c r="I116" i="18"/>
  <c r="I77" i="18"/>
  <c r="I81" i="18"/>
  <c r="I85" i="18"/>
  <c r="I78" i="18"/>
  <c r="I82" i="18"/>
  <c r="I79" i="18"/>
  <c r="I83" i="18"/>
  <c r="I80" i="18"/>
  <c r="I84" i="18"/>
  <c r="I229" i="18"/>
  <c r="I233" i="18"/>
  <c r="I230" i="18"/>
  <c r="I234" i="18"/>
  <c r="I231" i="18"/>
  <c r="I235" i="18"/>
  <c r="I232" i="18"/>
  <c r="I228" i="18"/>
  <c r="I273" i="18"/>
  <c r="I277" i="18"/>
  <c r="I281" i="18"/>
  <c r="I274" i="18"/>
  <c r="I278" i="18"/>
  <c r="I282" i="18"/>
  <c r="I271" i="18"/>
  <c r="I275" i="18"/>
  <c r="I279" i="18"/>
  <c r="I272" i="18"/>
  <c r="I280" i="18"/>
  <c r="I276" i="18"/>
  <c r="I237" i="18"/>
  <c r="I241" i="18"/>
  <c r="I245" i="18"/>
  <c r="I238" i="18"/>
  <c r="I242" i="18"/>
  <c r="I246" i="18"/>
  <c r="I239" i="18"/>
  <c r="I243" i="18"/>
  <c r="I236" i="18"/>
  <c r="I240" i="18"/>
  <c r="I244" i="18"/>
  <c r="I209" i="18"/>
  <c r="I213" i="18"/>
  <c r="I217" i="18"/>
  <c r="I210" i="18"/>
  <c r="I214" i="18"/>
  <c r="I211" i="18"/>
  <c r="I215" i="18"/>
  <c r="I216" i="18"/>
  <c r="I212" i="18"/>
  <c r="I161" i="18"/>
  <c r="I165" i="18"/>
  <c r="I169" i="18"/>
  <c r="I162" i="18"/>
  <c r="I166" i="18"/>
  <c r="I163" i="18"/>
  <c r="I167" i="18"/>
  <c r="I168" i="18"/>
  <c r="I160" i="18"/>
  <c r="I164" i="18"/>
  <c r="I141" i="18"/>
  <c r="I145" i="18"/>
  <c r="I149" i="18"/>
  <c r="I142" i="18"/>
  <c r="I146" i="18"/>
  <c r="I150" i="18"/>
  <c r="I143" i="18"/>
  <c r="I147" i="18"/>
  <c r="I151" i="18"/>
  <c r="I140" i="18"/>
  <c r="I144" i="18"/>
  <c r="I148" i="18"/>
  <c r="I105" i="18"/>
  <c r="I109" i="18"/>
  <c r="I113" i="18"/>
  <c r="I102" i="18"/>
  <c r="I106" i="18"/>
  <c r="I110" i="18"/>
  <c r="I103" i="18"/>
  <c r="I107" i="18"/>
  <c r="I111" i="18"/>
  <c r="I108" i="18"/>
  <c r="I112" i="18"/>
  <c r="I104" i="18"/>
  <c r="I73" i="18"/>
  <c r="I74" i="18"/>
  <c r="I75" i="18"/>
  <c r="I76" i="18"/>
  <c r="I218" i="18"/>
  <c r="I219" i="18"/>
  <c r="I220" i="18"/>
  <c r="I205" i="18"/>
  <c r="I206" i="18"/>
  <c r="I203" i="18"/>
  <c r="I207" i="18"/>
  <c r="I204" i="18"/>
  <c r="I208" i="18"/>
  <c r="I129" i="18"/>
  <c r="I133" i="18"/>
  <c r="I137" i="18"/>
  <c r="I130" i="18"/>
  <c r="I134" i="18"/>
  <c r="I138" i="18"/>
  <c r="I131" i="18"/>
  <c r="I135" i="18"/>
  <c r="I139" i="18"/>
  <c r="I128" i="18"/>
  <c r="I136" i="18"/>
  <c r="I132" i="18"/>
  <c r="I93" i="18"/>
  <c r="I97" i="18"/>
  <c r="I101" i="18"/>
  <c r="I94" i="18"/>
  <c r="I98" i="18"/>
  <c r="I95" i="18"/>
  <c r="I99" i="18"/>
  <c r="I92" i="18"/>
  <c r="I96" i="18"/>
  <c r="I100" i="18"/>
  <c r="I69" i="18"/>
  <c r="I66" i="18"/>
  <c r="I70" i="18"/>
  <c r="I67" i="18"/>
  <c r="I71" i="18"/>
  <c r="I68" i="18"/>
  <c r="I72" i="18"/>
  <c r="I269" i="18"/>
  <c r="I270" i="18"/>
  <c r="I267" i="18"/>
  <c r="I268" i="18"/>
  <c r="I261" i="18"/>
  <c r="I265" i="18"/>
  <c r="I262" i="18"/>
  <c r="I266" i="18"/>
  <c r="I259" i="18"/>
  <c r="I263" i="18"/>
  <c r="I264" i="18"/>
  <c r="I260" i="18"/>
  <c r="I197" i="18"/>
  <c r="I201" i="18"/>
  <c r="I194" i="18"/>
  <c r="I198" i="18"/>
  <c r="I202" i="18"/>
  <c r="I195" i="18"/>
  <c r="I199" i="18"/>
  <c r="I196" i="18"/>
  <c r="I200" i="18"/>
  <c r="I89" i="18"/>
  <c r="I86" i="18"/>
  <c r="I90" i="18"/>
  <c r="I87" i="18"/>
  <c r="I91" i="18"/>
  <c r="I88" i="18"/>
  <c r="G298" i="18"/>
  <c r="G299" i="18"/>
  <c r="G300" i="18"/>
  <c r="G297" i="18"/>
  <c r="L9" i="18"/>
  <c r="L10" i="18"/>
  <c r="L11" i="18"/>
  <c r="L12" i="18"/>
  <c r="L13" i="18"/>
  <c r="L14" i="18"/>
  <c r="L15" i="18"/>
  <c r="L16" i="18"/>
  <c r="L17" i="18"/>
  <c r="L18" i="18"/>
  <c r="L19" i="18"/>
  <c r="L20" i="18"/>
  <c r="L21" i="18"/>
  <c r="L22" i="18"/>
  <c r="L23" i="18"/>
  <c r="L24" i="18"/>
  <c r="L25" i="18"/>
  <c r="L26" i="18"/>
  <c r="L27" i="18"/>
  <c r="L28" i="18"/>
  <c r="L29" i="18"/>
  <c r="L30" i="18"/>
  <c r="L31" i="18"/>
  <c r="L32" i="18"/>
  <c r="L33" i="18"/>
  <c r="L34" i="18"/>
  <c r="L35" i="18"/>
  <c r="L36" i="18"/>
  <c r="L37" i="18"/>
  <c r="L38" i="18"/>
  <c r="L39" i="18"/>
  <c r="L40" i="18"/>
  <c r="L41" i="18"/>
  <c r="L42" i="18"/>
  <c r="L43" i="18"/>
  <c r="L44" i="18"/>
  <c r="L45" i="18"/>
  <c r="L46" i="18"/>
  <c r="L47" i="18"/>
  <c r="L48" i="18"/>
  <c r="L49" i="18"/>
  <c r="L50" i="18"/>
  <c r="L51" i="18"/>
  <c r="L52" i="18"/>
  <c r="L53" i="18"/>
  <c r="L54" i="18"/>
  <c r="L55" i="18"/>
  <c r="L56" i="18"/>
  <c r="L57" i="18"/>
  <c r="L58" i="18"/>
  <c r="L59" i="18"/>
  <c r="L60" i="18"/>
  <c r="L61" i="18"/>
  <c r="L62" i="18"/>
  <c r="L63" i="18"/>
  <c r="L64" i="18"/>
  <c r="L65" i="18"/>
  <c r="L66" i="18"/>
  <c r="L67" i="18"/>
  <c r="L68" i="18"/>
  <c r="L69" i="18"/>
  <c r="L70" i="18"/>
  <c r="L71" i="18"/>
  <c r="L72" i="18"/>
  <c r="L73" i="18"/>
  <c r="L74" i="18"/>
  <c r="L75" i="18"/>
  <c r="L76" i="18"/>
  <c r="L77" i="18"/>
  <c r="L78" i="18"/>
  <c r="L79" i="18"/>
  <c r="L80" i="18"/>
  <c r="L81" i="18"/>
  <c r="L82" i="18"/>
  <c r="L83" i="18"/>
  <c r="L84" i="18"/>
  <c r="L85" i="18"/>
  <c r="L86" i="18"/>
  <c r="L87" i="18"/>
  <c r="L88" i="18"/>
  <c r="L89" i="18"/>
  <c r="L90" i="18"/>
  <c r="L91" i="18"/>
  <c r="L92" i="18"/>
  <c r="L93" i="18"/>
  <c r="L94" i="18"/>
  <c r="L95" i="18"/>
  <c r="L96" i="18"/>
  <c r="L97" i="18"/>
  <c r="L98" i="18"/>
  <c r="L99" i="18"/>
  <c r="L100" i="18"/>
  <c r="L101" i="18"/>
  <c r="L102" i="18"/>
  <c r="L103" i="18"/>
  <c r="L104" i="18"/>
  <c r="L105" i="18"/>
  <c r="L106" i="18"/>
  <c r="L107" i="18"/>
  <c r="L108" i="18"/>
  <c r="L109" i="18"/>
  <c r="L110" i="18"/>
  <c r="L111" i="18"/>
  <c r="L112" i="18"/>
  <c r="L113"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1" i="18"/>
  <c r="L172" i="18"/>
  <c r="L173" i="18"/>
  <c r="L174" i="18"/>
  <c r="L175" i="18"/>
  <c r="L176" i="18"/>
  <c r="L177" i="18"/>
  <c r="L178" i="18"/>
  <c r="L179" i="18"/>
  <c r="L180" i="18"/>
  <c r="L181" i="18"/>
  <c r="L182" i="18"/>
  <c r="L183" i="18"/>
  <c r="L184" i="18"/>
  <c r="L185" i="18"/>
  <c r="L186" i="18"/>
  <c r="L187" i="18"/>
  <c r="L188" i="18"/>
  <c r="L189" i="18"/>
  <c r="L190" i="18"/>
  <c r="L191" i="18"/>
  <c r="L192" i="18"/>
  <c r="L193" i="18"/>
  <c r="L194" i="18"/>
  <c r="L195" i="18"/>
  <c r="L196" i="18"/>
  <c r="L197" i="18"/>
  <c r="L198" i="18"/>
  <c r="L199" i="18"/>
  <c r="L200" i="18"/>
  <c r="L201" i="18"/>
  <c r="L202" i="18"/>
  <c r="L203" i="18"/>
  <c r="L204" i="18"/>
  <c r="L205" i="18"/>
  <c r="L206" i="18"/>
  <c r="L207" i="18"/>
  <c r="L208" i="18"/>
  <c r="L209" i="18"/>
  <c r="L210" i="18"/>
  <c r="L211" i="18"/>
  <c r="L212" i="18"/>
  <c r="L213" i="18"/>
  <c r="L214" i="18"/>
  <c r="L215" i="18"/>
  <c r="L216" i="18"/>
  <c r="L217" i="18"/>
  <c r="L218" i="18"/>
  <c r="L219" i="18"/>
  <c r="L220" i="18"/>
  <c r="L221" i="18"/>
  <c r="L222" i="18"/>
  <c r="L223" i="18"/>
  <c r="L224" i="18"/>
  <c r="L225" i="18"/>
  <c r="L226" i="18"/>
  <c r="L227" i="18"/>
  <c r="L228" i="18"/>
  <c r="L229" i="18"/>
  <c r="L230" i="18"/>
  <c r="L231" i="18"/>
  <c r="L232" i="18"/>
  <c r="L233" i="18"/>
  <c r="L234" i="18"/>
  <c r="L235" i="18"/>
  <c r="L236" i="18"/>
  <c r="L237" i="18"/>
  <c r="L238" i="18"/>
  <c r="L239" i="18"/>
  <c r="L240" i="18"/>
  <c r="L241" i="18"/>
  <c r="L242" i="18"/>
  <c r="L243" i="18"/>
  <c r="L244" i="18"/>
  <c r="L245" i="18"/>
  <c r="L246" i="18"/>
  <c r="L247" i="18"/>
  <c r="L248" i="18"/>
  <c r="L249" i="18"/>
  <c r="L250" i="18"/>
  <c r="L251" i="18"/>
  <c r="L252" i="18"/>
  <c r="L253" i="18"/>
  <c r="L254" i="18"/>
  <c r="L255" i="18"/>
  <c r="L256" i="18"/>
  <c r="L257" i="18"/>
  <c r="L258" i="18"/>
  <c r="L259" i="18"/>
  <c r="L260" i="18"/>
  <c r="L261" i="18"/>
  <c r="L262" i="18"/>
  <c r="L263" i="18"/>
  <c r="L264" i="18"/>
  <c r="L265" i="18"/>
  <c r="L266" i="18"/>
  <c r="L267" i="18"/>
  <c r="L268" i="18"/>
  <c r="L269" i="18"/>
  <c r="L270" i="18"/>
  <c r="L271" i="18"/>
  <c r="L272" i="18"/>
  <c r="L273" i="18"/>
  <c r="L274" i="18"/>
  <c r="L275" i="18"/>
  <c r="L276" i="18"/>
  <c r="L277" i="18"/>
  <c r="L278" i="18"/>
  <c r="L279" i="18"/>
  <c r="L280" i="18"/>
  <c r="L281" i="18"/>
  <c r="L282" i="18"/>
  <c r="L283" i="18"/>
  <c r="L284" i="18"/>
  <c r="L285" i="18"/>
  <c r="L286" i="18"/>
  <c r="L287" i="18"/>
  <c r="L288" i="18"/>
  <c r="L8" i="18" l="1"/>
  <c r="D13" i="14" l="1"/>
  <c r="D6" i="14"/>
  <c r="B12" i="14"/>
  <c r="D12" i="14" s="1"/>
  <c r="D11" i="14"/>
  <c r="D10" i="14"/>
  <c r="D9" i="14"/>
  <c r="D8" i="14"/>
  <c r="D7" i="14"/>
  <c r="D5" i="14"/>
  <c r="D4" i="14"/>
  <c r="D3" i="14"/>
  <c r="D2" i="14"/>
  <c r="H61" i="18" l="1"/>
  <c r="H55" i="18"/>
  <c r="H59" i="18"/>
  <c r="H53" i="18"/>
  <c r="J53" i="18" s="1"/>
  <c r="H57" i="18"/>
  <c r="H38" i="18"/>
  <c r="H23" i="18"/>
  <c r="J23" i="18" s="1"/>
  <c r="H50" i="18"/>
  <c r="J50" i="18" s="1"/>
  <c r="H26" i="18"/>
  <c r="H31" i="18"/>
  <c r="H11" i="18"/>
  <c r="J11" i="18" s="1"/>
  <c r="I53" i="18"/>
  <c r="K53" i="18" s="1"/>
  <c r="I38" i="18"/>
  <c r="I8" i="18"/>
  <c r="I23" i="18"/>
  <c r="K23" i="18" s="1"/>
  <c r="H35" i="18"/>
  <c r="J35" i="18" s="1"/>
  <c r="H45" i="18"/>
  <c r="H29" i="18"/>
  <c r="H8" i="18"/>
  <c r="I57" i="18"/>
  <c r="K57" i="18" s="1"/>
  <c r="I48" i="18"/>
  <c r="I42" i="18"/>
  <c r="I32" i="18"/>
  <c r="I27" i="18"/>
  <c r="K27" i="18" s="1"/>
  <c r="H32" i="18"/>
  <c r="H21" i="18"/>
  <c r="H14" i="18"/>
  <c r="I59" i="18"/>
  <c r="I50" i="18"/>
  <c r="I9" i="18"/>
  <c r="K9" i="18" s="1"/>
  <c r="I14" i="18"/>
  <c r="K14" i="18" s="1"/>
  <c r="I21" i="18"/>
  <c r="K21" i="18" s="1"/>
  <c r="I26" i="18"/>
  <c r="I16" i="18"/>
  <c r="H40" i="18"/>
  <c r="H19" i="18"/>
  <c r="J19" i="18" s="1"/>
  <c r="H42" i="18"/>
  <c r="H16" i="18"/>
  <c r="H48" i="18"/>
  <c r="H27" i="18"/>
  <c r="J27" i="18" s="1"/>
  <c r="H9" i="18"/>
  <c r="I61" i="18"/>
  <c r="I55" i="18"/>
  <c r="I45" i="18"/>
  <c r="K45" i="18" s="1"/>
  <c r="I35" i="18"/>
  <c r="I40" i="18"/>
  <c r="I29" i="18"/>
  <c r="I31" i="18"/>
  <c r="I11" i="18"/>
  <c r="I19" i="18"/>
  <c r="H17" i="18"/>
  <c r="J17" i="18" s="1"/>
  <c r="I17" i="18"/>
  <c r="K17" i="18" s="1"/>
  <c r="H46" i="18"/>
  <c r="I46" i="18"/>
  <c r="I36" i="18"/>
  <c r="I47" i="18"/>
  <c r="K47" i="18" s="1"/>
  <c r="H47" i="18"/>
  <c r="H36" i="18"/>
  <c r="H54" i="18"/>
  <c r="H58" i="18"/>
  <c r="J58" i="18" s="1"/>
  <c r="H52" i="18"/>
  <c r="H56" i="18"/>
  <c r="H60" i="18"/>
  <c r="H34" i="18"/>
  <c r="J34" i="18" s="1"/>
  <c r="H33" i="18"/>
  <c r="H44" i="18"/>
  <c r="I60" i="18"/>
  <c r="I58" i="18"/>
  <c r="K58" i="18" s="1"/>
  <c r="I56" i="18"/>
  <c r="I39" i="18"/>
  <c r="I33" i="18"/>
  <c r="I28" i="18"/>
  <c r="K28" i="18" s="1"/>
  <c r="I15" i="18"/>
  <c r="I24" i="18"/>
  <c r="H37" i="18"/>
  <c r="H24" i="18"/>
  <c r="H20" i="18"/>
  <c r="H43" i="18"/>
  <c r="H15" i="18"/>
  <c r="J15" i="18" s="1"/>
  <c r="H49" i="18"/>
  <c r="J49" i="18" s="1"/>
  <c r="H30" i="18"/>
  <c r="I37" i="18"/>
  <c r="I43" i="18"/>
  <c r="I30" i="18"/>
  <c r="K30" i="18" s="1"/>
  <c r="I10" i="18"/>
  <c r="K10" i="18" s="1"/>
  <c r="I12" i="18"/>
  <c r="K12" i="18" s="1"/>
  <c r="I22" i="18"/>
  <c r="K22" i="18" s="1"/>
  <c r="H39" i="18"/>
  <c r="J39" i="18" s="1"/>
  <c r="H22" i="18"/>
  <c r="H13" i="18"/>
  <c r="H25" i="18"/>
  <c r="J25" i="18" s="1"/>
  <c r="H28" i="18"/>
  <c r="J28" i="18" s="1"/>
  <c r="H12" i="18"/>
  <c r="I52" i="18"/>
  <c r="I41" i="18"/>
  <c r="I44" i="18"/>
  <c r="K44" i="18" s="1"/>
  <c r="I34" i="18"/>
  <c r="H41" i="18"/>
  <c r="H10" i="18"/>
  <c r="J10" i="18" s="1"/>
  <c r="I49" i="18"/>
  <c r="K49" i="18" s="1"/>
  <c r="I54" i="18"/>
  <c r="I13" i="18"/>
  <c r="K13" i="18" s="1"/>
  <c r="I25" i="18"/>
  <c r="K25" i="18" s="1"/>
  <c r="I20" i="18"/>
  <c r="K20" i="18" s="1"/>
  <c r="I18" i="18"/>
  <c r="H51" i="18"/>
  <c r="I51" i="18"/>
  <c r="H18" i="18"/>
  <c r="J18" i="18" s="1"/>
  <c r="K62" i="18"/>
  <c r="J73" i="18"/>
  <c r="K82" i="18"/>
  <c r="K98" i="18"/>
  <c r="K110" i="18"/>
  <c r="K166" i="18"/>
  <c r="J12" i="18"/>
  <c r="J24" i="18"/>
  <c r="K73" i="18"/>
  <c r="J124" i="18"/>
  <c r="J136" i="18"/>
  <c r="J148" i="18"/>
  <c r="K24" i="18"/>
  <c r="J31" i="18"/>
  <c r="J43" i="18"/>
  <c r="J55" i="18"/>
  <c r="K124" i="18"/>
  <c r="K136" i="18"/>
  <c r="K148" i="18"/>
  <c r="J190" i="18"/>
  <c r="K199" i="18"/>
  <c r="K243" i="18"/>
  <c r="K255" i="18"/>
  <c r="K263" i="18"/>
  <c r="K279" i="18"/>
  <c r="J285" i="18"/>
  <c r="K31" i="18"/>
  <c r="K55" i="18"/>
  <c r="J82" i="18"/>
  <c r="J98" i="18"/>
  <c r="J178" i="18"/>
  <c r="K190" i="18"/>
  <c r="J217" i="18"/>
  <c r="K178" i="18"/>
  <c r="K217" i="18"/>
  <c r="J224" i="18"/>
  <c r="J232" i="18"/>
  <c r="K285" i="18"/>
  <c r="K43" i="18"/>
  <c r="J62" i="18"/>
  <c r="J110" i="18"/>
  <c r="J263" i="18"/>
  <c r="J279" i="18"/>
  <c r="K224" i="18"/>
  <c r="K232" i="18"/>
  <c r="J243" i="18"/>
  <c r="J166" i="18"/>
  <c r="J199" i="18"/>
  <c r="J255" i="18"/>
  <c r="K194" i="18"/>
  <c r="J194" i="18"/>
  <c r="K38" i="18"/>
  <c r="K50" i="18"/>
  <c r="J69" i="18"/>
  <c r="J77" i="18"/>
  <c r="J89" i="18"/>
  <c r="J93" i="18"/>
  <c r="J105" i="18"/>
  <c r="J161" i="18"/>
  <c r="J173" i="18"/>
  <c r="K69" i="18"/>
  <c r="K77" i="18"/>
  <c r="K89" i="18"/>
  <c r="K93" i="18"/>
  <c r="K105" i="18"/>
  <c r="K161" i="18"/>
  <c r="J119" i="18"/>
  <c r="J131" i="18"/>
  <c r="J143" i="18"/>
  <c r="J155" i="18"/>
  <c r="J159" i="18"/>
  <c r="J238" i="18"/>
  <c r="J250" i="18"/>
  <c r="J270" i="18"/>
  <c r="J274" i="18"/>
  <c r="K238" i="18"/>
  <c r="K250" i="18"/>
  <c r="K274" i="18"/>
  <c r="K119" i="18"/>
  <c r="K143" i="18"/>
  <c r="K159" i="18"/>
  <c r="J185" i="18"/>
  <c r="J205" i="18"/>
  <c r="K270" i="18"/>
  <c r="K173" i="18"/>
  <c r="K185" i="18"/>
  <c r="K205" i="18"/>
  <c r="J212" i="18"/>
  <c r="K19" i="18"/>
  <c r="J38" i="18"/>
  <c r="K131" i="18"/>
  <c r="K212" i="18"/>
  <c r="K155" i="18"/>
  <c r="K228" i="18"/>
  <c r="J259" i="18"/>
  <c r="J228" i="18"/>
  <c r="K259" i="18"/>
  <c r="K8" i="18"/>
  <c r="K70" i="18"/>
  <c r="K78" i="18"/>
  <c r="K90" i="18"/>
  <c r="K94" i="18"/>
  <c r="K106" i="18"/>
  <c r="K162" i="18"/>
  <c r="K174" i="18"/>
  <c r="J20" i="18"/>
  <c r="J120" i="18"/>
  <c r="J132" i="18"/>
  <c r="J144" i="18"/>
  <c r="J51" i="18"/>
  <c r="K120" i="18"/>
  <c r="K132" i="18"/>
  <c r="K144" i="18"/>
  <c r="J174" i="18"/>
  <c r="J186" i="18"/>
  <c r="K195" i="18"/>
  <c r="J206" i="18"/>
  <c r="K239" i="18"/>
  <c r="K251" i="18"/>
  <c r="K275" i="18"/>
  <c r="K39" i="18"/>
  <c r="J90" i="18"/>
  <c r="J106" i="18"/>
  <c r="J162" i="18"/>
  <c r="K186" i="18"/>
  <c r="K206" i="18"/>
  <c r="J213" i="18"/>
  <c r="K213" i="18"/>
  <c r="J70" i="18"/>
  <c r="J78" i="18"/>
  <c r="J94" i="18"/>
  <c r="K51" i="18"/>
  <c r="J239" i="18"/>
  <c r="J195" i="18"/>
  <c r="J251" i="18"/>
  <c r="J275" i="18"/>
  <c r="K66" i="18"/>
  <c r="K86" i="18"/>
  <c r="K102" i="18"/>
  <c r="K170" i="18"/>
  <c r="J128" i="18"/>
  <c r="J140" i="18"/>
  <c r="J152" i="18"/>
  <c r="J156" i="18"/>
  <c r="K16" i="18"/>
  <c r="K128" i="18"/>
  <c r="K140" i="18"/>
  <c r="K152" i="18"/>
  <c r="K156" i="18"/>
  <c r="K267" i="18"/>
  <c r="K271" i="18"/>
  <c r="J66" i="18"/>
  <c r="J170" i="18"/>
  <c r="K182" i="18"/>
  <c r="J209" i="18"/>
  <c r="K209" i="18"/>
  <c r="K35" i="18"/>
  <c r="J86" i="18"/>
  <c r="J102" i="18"/>
  <c r="J267" i="18"/>
  <c r="J271" i="18"/>
  <c r="J9" i="18"/>
  <c r="J21" i="18"/>
  <c r="J121" i="18"/>
  <c r="J133" i="18"/>
  <c r="J145" i="18"/>
  <c r="J40" i="18"/>
  <c r="J52" i="18"/>
  <c r="K121" i="18"/>
  <c r="K133" i="18"/>
  <c r="K145" i="18"/>
  <c r="K40" i="18"/>
  <c r="K52" i="18"/>
  <c r="J71" i="18"/>
  <c r="J79" i="18"/>
  <c r="J91" i="18"/>
  <c r="J95" i="18"/>
  <c r="J107" i="18"/>
  <c r="J163" i="18"/>
  <c r="J175" i="18"/>
  <c r="K187" i="18"/>
  <c r="K207" i="18"/>
  <c r="J214" i="18"/>
  <c r="J229" i="18"/>
  <c r="K71" i="18"/>
  <c r="K79" i="18"/>
  <c r="K95" i="18"/>
  <c r="K214" i="18"/>
  <c r="J221" i="18"/>
  <c r="K175" i="18"/>
  <c r="J196" i="18"/>
  <c r="K221" i="18"/>
  <c r="K229" i="18"/>
  <c r="J240" i="18"/>
  <c r="J252" i="18"/>
  <c r="J260" i="18"/>
  <c r="J276" i="18"/>
  <c r="K107" i="18"/>
  <c r="K91" i="18"/>
  <c r="K196" i="18"/>
  <c r="J207" i="18"/>
  <c r="K252" i="18"/>
  <c r="J187" i="18"/>
  <c r="K240" i="18"/>
  <c r="K163" i="18"/>
  <c r="K260" i="18"/>
  <c r="K276" i="18"/>
  <c r="J13" i="18"/>
  <c r="K74" i="18"/>
  <c r="K114" i="18"/>
  <c r="J125" i="18"/>
  <c r="J137" i="18"/>
  <c r="J149" i="18"/>
  <c r="J32" i="18"/>
  <c r="J44" i="18"/>
  <c r="J56" i="18"/>
  <c r="K125" i="18"/>
  <c r="K137" i="18"/>
  <c r="K149" i="18"/>
  <c r="K32" i="18"/>
  <c r="K56" i="18"/>
  <c r="J63" i="18"/>
  <c r="J83" i="18"/>
  <c r="J99" i="18"/>
  <c r="J111" i="18"/>
  <c r="J167" i="18"/>
  <c r="J179" i="18"/>
  <c r="K179" i="18"/>
  <c r="K191" i="18"/>
  <c r="J218" i="18"/>
  <c r="J286" i="18"/>
  <c r="K63" i="18"/>
  <c r="J74" i="18"/>
  <c r="K111" i="18"/>
  <c r="J114" i="18"/>
  <c r="K167" i="18"/>
  <c r="K218" i="18"/>
  <c r="J225" i="18"/>
  <c r="J233" i="18"/>
  <c r="K286" i="18"/>
  <c r="J200" i="18"/>
  <c r="K225" i="18"/>
  <c r="K233" i="18"/>
  <c r="J244" i="18"/>
  <c r="J256" i="18"/>
  <c r="J264" i="18"/>
  <c r="J280" i="18"/>
  <c r="K83" i="18"/>
  <c r="K99" i="18"/>
  <c r="J191" i="18"/>
  <c r="K200" i="18"/>
  <c r="K256" i="18"/>
  <c r="K264" i="18"/>
  <c r="K280" i="18"/>
  <c r="K244" i="18"/>
  <c r="J236" i="18"/>
  <c r="K236" i="18"/>
  <c r="J117" i="18"/>
  <c r="J129" i="18"/>
  <c r="J141" i="18"/>
  <c r="J153" i="18"/>
  <c r="J157" i="18"/>
  <c r="J36" i="18"/>
  <c r="J48" i="18"/>
  <c r="K117" i="18"/>
  <c r="K129" i="18"/>
  <c r="K141" i="18"/>
  <c r="K153" i="18"/>
  <c r="K157" i="18"/>
  <c r="K36" i="18"/>
  <c r="K48" i="18"/>
  <c r="J67" i="18"/>
  <c r="J87" i="18"/>
  <c r="J103" i="18"/>
  <c r="J171" i="18"/>
  <c r="K183" i="18"/>
  <c r="K203" i="18"/>
  <c r="J210" i="18"/>
  <c r="K87" i="18"/>
  <c r="K103" i="18"/>
  <c r="K210" i="18"/>
  <c r="J268" i="18"/>
  <c r="J272" i="18"/>
  <c r="K67" i="18"/>
  <c r="K268" i="18"/>
  <c r="K171" i="18"/>
  <c r="J203" i="18"/>
  <c r="K272" i="18"/>
  <c r="J183" i="18"/>
  <c r="K283" i="18"/>
  <c r="J283" i="18"/>
  <c r="J29" i="18"/>
  <c r="J41" i="18"/>
  <c r="K122" i="18"/>
  <c r="K134" i="18"/>
  <c r="K146" i="18"/>
  <c r="K29" i="18"/>
  <c r="K41" i="18"/>
  <c r="J60" i="18"/>
  <c r="J72" i="18"/>
  <c r="J80" i="18"/>
  <c r="J96" i="18"/>
  <c r="J108" i="18"/>
  <c r="J164" i="18"/>
  <c r="K60" i="18"/>
  <c r="K72" i="18"/>
  <c r="K80" i="18"/>
  <c r="K96" i="18"/>
  <c r="K108" i="18"/>
  <c r="K164" i="18"/>
  <c r="K176" i="18"/>
  <c r="J176" i="18"/>
  <c r="K215" i="18"/>
  <c r="J222" i="18"/>
  <c r="J230" i="18"/>
  <c r="J241" i="18"/>
  <c r="J261" i="18"/>
  <c r="J277" i="18"/>
  <c r="J122" i="18"/>
  <c r="J146" i="18"/>
  <c r="J197" i="18"/>
  <c r="K222" i="18"/>
  <c r="K230" i="18"/>
  <c r="J253" i="18"/>
  <c r="J188" i="18"/>
  <c r="K197" i="18"/>
  <c r="J208" i="18"/>
  <c r="K241" i="18"/>
  <c r="K253" i="18"/>
  <c r="K261" i="18"/>
  <c r="K277" i="18"/>
  <c r="J22" i="18"/>
  <c r="J134" i="18"/>
  <c r="K208" i="18"/>
  <c r="K188" i="18"/>
  <c r="J215" i="18"/>
  <c r="K249" i="18"/>
  <c r="K160" i="18"/>
  <c r="J92" i="18"/>
  <c r="J249" i="18"/>
  <c r="J160" i="18"/>
  <c r="K92" i="18"/>
  <c r="K18" i="18"/>
  <c r="J37" i="18"/>
  <c r="K118" i="18"/>
  <c r="K130" i="18"/>
  <c r="K142" i="18"/>
  <c r="K154" i="18"/>
  <c r="K158" i="18"/>
  <c r="K37" i="18"/>
  <c r="J68" i="18"/>
  <c r="J88" i="18"/>
  <c r="J104" i="18"/>
  <c r="J172" i="18"/>
  <c r="K68" i="18"/>
  <c r="K88" i="18"/>
  <c r="K104" i="18"/>
  <c r="K172" i="18"/>
  <c r="K211" i="18"/>
  <c r="J269" i="18"/>
  <c r="J130" i="18"/>
  <c r="J154" i="18"/>
  <c r="J237" i="18"/>
  <c r="J273" i="18"/>
  <c r="J184" i="18"/>
  <c r="J204" i="18"/>
  <c r="K237" i="18"/>
  <c r="K269" i="18"/>
  <c r="K273" i="18"/>
  <c r="J118" i="18"/>
  <c r="J142" i="18"/>
  <c r="J158" i="18"/>
  <c r="K184" i="18"/>
  <c r="J211" i="18"/>
  <c r="K204" i="18"/>
  <c r="K42" i="18"/>
  <c r="K54" i="18"/>
  <c r="J61" i="18"/>
  <c r="J81" i="18"/>
  <c r="J97" i="18"/>
  <c r="J109" i="18"/>
  <c r="J165" i="18"/>
  <c r="K61" i="18"/>
  <c r="K81" i="18"/>
  <c r="K97" i="18"/>
  <c r="K109" i="18"/>
  <c r="K165" i="18"/>
  <c r="J123" i="18"/>
  <c r="J135" i="18"/>
  <c r="J147" i="18"/>
  <c r="J198" i="18"/>
  <c r="K223" i="18"/>
  <c r="K231" i="18"/>
  <c r="J242" i="18"/>
  <c r="J254" i="18"/>
  <c r="J262" i="18"/>
  <c r="J278" i="18"/>
  <c r="K254" i="18"/>
  <c r="J42" i="18"/>
  <c r="K135" i="18"/>
  <c r="J189" i="18"/>
  <c r="K198" i="18"/>
  <c r="K242" i="18"/>
  <c r="K262" i="18"/>
  <c r="K278" i="18"/>
  <c r="J177" i="18"/>
  <c r="K189" i="18"/>
  <c r="J216" i="18"/>
  <c r="J284" i="18"/>
  <c r="K11" i="18"/>
  <c r="J30" i="18"/>
  <c r="J54" i="18"/>
  <c r="K123" i="18"/>
  <c r="K147" i="18"/>
  <c r="K177" i="18"/>
  <c r="J223" i="18"/>
  <c r="J231" i="18"/>
  <c r="K284" i="18"/>
  <c r="K216" i="18"/>
  <c r="K245" i="18"/>
  <c r="J245" i="18"/>
  <c r="J226" i="18"/>
  <c r="J192" i="18"/>
  <c r="J168" i="18"/>
  <c r="J126" i="18"/>
  <c r="J112" i="18"/>
  <c r="J75" i="18"/>
  <c r="J45" i="18"/>
  <c r="J14" i="18"/>
  <c r="J281" i="18"/>
  <c r="J257" i="18"/>
  <c r="J265" i="18"/>
  <c r="K192" i="18"/>
  <c r="K112" i="18"/>
  <c r="K234" i="18"/>
  <c r="K201" i="18"/>
  <c r="K180" i="18"/>
  <c r="K138" i="18"/>
  <c r="K115" i="18"/>
  <c r="K100" i="18"/>
  <c r="K26" i="18"/>
  <c r="K287" i="18"/>
  <c r="K247" i="18"/>
  <c r="J247" i="18"/>
  <c r="K168" i="18"/>
  <c r="K75" i="18"/>
  <c r="K281" i="18"/>
  <c r="J234" i="18"/>
  <c r="J201" i="18"/>
  <c r="J180" i="18"/>
  <c r="J138" i="18"/>
  <c r="J115" i="18"/>
  <c r="J100" i="18"/>
  <c r="J57" i="18"/>
  <c r="J26" i="18"/>
  <c r="J287" i="18"/>
  <c r="K226" i="18"/>
  <c r="K126" i="18"/>
  <c r="K257" i="18"/>
  <c r="J33" i="18"/>
  <c r="K150" i="18"/>
  <c r="K33" i="18"/>
  <c r="J64" i="18"/>
  <c r="J84" i="18"/>
  <c r="K64" i="18"/>
  <c r="K84" i="18"/>
  <c r="K219" i="18"/>
  <c r="J150" i="18"/>
  <c r="K265" i="18"/>
  <c r="J219" i="18"/>
  <c r="J113" i="18"/>
  <c r="K113" i="18"/>
  <c r="K266" i="18"/>
  <c r="K34" i="18"/>
  <c r="K46" i="18"/>
  <c r="J65" i="18"/>
  <c r="J85" i="18"/>
  <c r="J101" i="18"/>
  <c r="J169" i="18"/>
  <c r="K65" i="18"/>
  <c r="J76" i="18"/>
  <c r="K85" i="18"/>
  <c r="K101" i="18"/>
  <c r="J116" i="18"/>
  <c r="K169" i="18"/>
  <c r="K76" i="18"/>
  <c r="K116" i="18"/>
  <c r="J127" i="18"/>
  <c r="J139" i="18"/>
  <c r="J151" i="18"/>
  <c r="J202" i="18"/>
  <c r="K227" i="18"/>
  <c r="K235" i="18"/>
  <c r="J246" i="18"/>
  <c r="J258" i="18"/>
  <c r="J266" i="18"/>
  <c r="J282" i="18"/>
  <c r="K258" i="18"/>
  <c r="K15" i="18"/>
  <c r="K127" i="18"/>
  <c r="K151" i="18"/>
  <c r="J181" i="18"/>
  <c r="J193" i="18"/>
  <c r="K202" i="18"/>
  <c r="K246" i="18"/>
  <c r="K282" i="18"/>
  <c r="K181" i="18"/>
  <c r="K193" i="18"/>
  <c r="J220" i="18"/>
  <c r="J248" i="18"/>
  <c r="J288" i="18"/>
  <c r="J46" i="18"/>
  <c r="K139" i="18"/>
  <c r="J235" i="18"/>
  <c r="J227" i="18"/>
  <c r="K248" i="18"/>
  <c r="K220" i="18"/>
  <c r="K288" i="18"/>
  <c r="F299" i="18" l="1"/>
  <c r="H299" i="18" s="1"/>
  <c r="F297" i="18"/>
  <c r="H297" i="18" s="1"/>
  <c r="F301" i="18"/>
  <c r="H301" i="18" s="1"/>
  <c r="J47" i="18"/>
  <c r="E297" i="18"/>
  <c r="J8" i="18"/>
  <c r="E301" i="18"/>
  <c r="G301" i="18" s="1"/>
  <c r="G302" i="18" s="1"/>
  <c r="J59" i="18"/>
  <c r="E298" i="18"/>
  <c r="F300" i="18"/>
  <c r="K59" i="18"/>
  <c r="F298" i="18"/>
  <c r="H298" i="18" s="1"/>
  <c r="J182" i="18"/>
  <c r="E299" i="18"/>
  <c r="J16" i="18"/>
  <c r="E300" i="18"/>
  <c r="J299" i="18" l="1"/>
  <c r="J298" i="18"/>
  <c r="J297" i="18"/>
  <c r="I297" i="18"/>
  <c r="L297" i="18" s="1"/>
  <c r="I300" i="18"/>
  <c r="L300" i="18" s="1"/>
  <c r="I301" i="18"/>
  <c r="L301" i="18" s="1"/>
  <c r="I298" i="18"/>
  <c r="L298" i="18" s="1"/>
  <c r="J300" i="18"/>
  <c r="J301" i="18"/>
  <c r="F302" i="18"/>
  <c r="E302" i="18"/>
  <c r="I299" i="18"/>
  <c r="L299" i="18" s="1"/>
  <c r="H300" i="18"/>
  <c r="H302" i="18" s="1"/>
  <c r="J302" i="18" l="1"/>
  <c r="I302" i="18"/>
  <c r="K302" i="18"/>
</calcChain>
</file>

<file path=xl/connections.xml><?xml version="1.0" encoding="utf-8"?>
<connections xmlns="http://schemas.openxmlformats.org/spreadsheetml/2006/main">
  <connection id="1" name="timesheet" type="6" refreshedVersion="6" background="1" saveData="1">
    <textPr prompt="0" codePage="936" sourceFile="D:\Git\jira-timesheet-generator\timesheet-generator/timesheet.txt">
      <textFields>
        <textField/>
      </textFields>
    </textPr>
  </connection>
  <connection id="2" name="timesheet1" type="6" refreshedVersion="6" background="1" saveData="1">
    <textPr prompt="0" codePage="936" sourceFile="D:\Git\jira-timesheet-generator\timesheet-generator/timesheet.txt">
      <textFields>
        <textField/>
      </textFields>
    </textPr>
  </connection>
  <connection id="3" name="timesheet2" type="6" refreshedVersion="6" background="1" saveData="1">
    <textPr prompt="0" codePage="936" sourceFile="D:\Git\jira-timesheet-generator\timesheet-generator/timesheet.txt">
      <textFields>
        <textField/>
      </textFields>
    </textPr>
  </connection>
  <connection id="4" name="timesheet3" type="6" refreshedVersion="6" background="1" saveData="1">
    <textPr prompt="0" codePage="936" sourceFile="D:\Git\jira-timesheet-generator\timesheet-generator/timesheet.txt">
      <textFields>
        <textField/>
      </textFields>
    </textPr>
  </connection>
  <connection id="5" name="timesheet4" type="6" refreshedVersion="6" background="1" saveData="1">
    <textPr prompt="0" codePage="936" sourceFile="D:\Git\jira-timesheet-generator\timesheet-generator/timesheet.txt">
      <textFields>
        <textField/>
      </textFields>
    </textPr>
  </connection>
</connections>
</file>

<file path=xl/sharedStrings.xml><?xml version="1.0" encoding="utf-8"?>
<sst xmlns="http://schemas.openxmlformats.org/spreadsheetml/2006/main" count="348" uniqueCount="164">
  <si>
    <t>Project</t>
  </si>
  <si>
    <t>Type</t>
  </si>
  <si>
    <t>Key</t>
  </si>
  <si>
    <t>Title</t>
  </si>
  <si>
    <t>Date</t>
  </si>
  <si>
    <t>Username</t>
  </si>
  <si>
    <t>New Feature</t>
  </si>
  <si>
    <t>Gordon Wang</t>
  </si>
  <si>
    <t>ilya</t>
  </si>
  <si>
    <t>Allen</t>
  </si>
  <si>
    <t>troy.chen</t>
  </si>
  <si>
    <t>Leo</t>
  </si>
  <si>
    <t>Tim.zhao</t>
  </si>
  <si>
    <t>sharly.xing</t>
  </si>
  <si>
    <t>Frank.liu</t>
  </si>
  <si>
    <t>Task</t>
  </si>
  <si>
    <t>Improvement</t>
  </si>
  <si>
    <t>Hank</t>
  </si>
  <si>
    <t>Erik Shang</t>
  </si>
  <si>
    <t>Candy Gan (QA)</t>
  </si>
  <si>
    <t>Bug</t>
  </si>
  <si>
    <t>Quiz</t>
  </si>
  <si>
    <t>Candy Yan (Design)</t>
  </si>
  <si>
    <t>Technical task</t>
  </si>
  <si>
    <t>Alex</t>
  </si>
  <si>
    <t>Henry</t>
  </si>
  <si>
    <t>Bugs</t>
  </si>
  <si>
    <t>Irene Rao</t>
  </si>
  <si>
    <t>Dace</t>
  </si>
  <si>
    <t>Jacky Zhou</t>
  </si>
  <si>
    <t>Nancy Chen</t>
  </si>
  <si>
    <t>Tiny</t>
  </si>
  <si>
    <t>ailor.yu</t>
  </si>
  <si>
    <t>Sub-task</t>
  </si>
  <si>
    <t>Wayne Chen</t>
  </si>
  <si>
    <t>Leon</t>
  </si>
  <si>
    <t>Category</t>
  </si>
  <si>
    <t>Month</t>
  </si>
  <si>
    <t>Karen Xu</t>
  </si>
  <si>
    <t>Samuel Bultez</t>
  </si>
  <si>
    <t>Gabriel WU (QA)</t>
  </si>
  <si>
    <t>John</t>
  </si>
  <si>
    <t>Peter Yang</t>
  </si>
  <si>
    <t>Lee (Li Fei)</t>
  </si>
  <si>
    <t>Emily Lu</t>
  </si>
  <si>
    <t>William Wang</t>
  </si>
  <si>
    <t>Maxim Muryy</t>
  </si>
  <si>
    <t>Nerl</t>
  </si>
  <si>
    <t>May</t>
  </si>
  <si>
    <t>YJ Cai</t>
  </si>
  <si>
    <t>Development</t>
  </si>
  <si>
    <t>peter.chen</t>
  </si>
  <si>
    <t>Year</t>
  </si>
  <si>
    <t>Working days</t>
  </si>
  <si>
    <t>Hours</t>
  </si>
  <si>
    <t>Total hours</t>
  </si>
  <si>
    <t>Maintenance</t>
  </si>
  <si>
    <t>Apr</t>
  </si>
  <si>
    <t>Jan</t>
  </si>
  <si>
    <t>Jun</t>
  </si>
  <si>
    <t>Jul</t>
  </si>
  <si>
    <t>Aug</t>
  </si>
  <si>
    <t>Sep</t>
  </si>
  <si>
    <t>Oct</t>
  </si>
  <si>
    <t>Nov</t>
  </si>
  <si>
    <t>Dec</t>
  </si>
  <si>
    <t>Feb</t>
  </si>
  <si>
    <t>Develop</t>
  </si>
  <si>
    <t>Grand Total</t>
  </si>
  <si>
    <t xml:space="preserve">Time Spent (h) </t>
  </si>
  <si>
    <t>IT Hour Spent on Projects Summary</t>
  </si>
  <si>
    <t>Target (Dev)</t>
  </si>
  <si>
    <t>Target (Mt)</t>
  </si>
  <si>
    <t>Delta (Dev)</t>
  </si>
  <si>
    <t>Delta (Mt)</t>
  </si>
  <si>
    <t>Team Leader</t>
  </si>
  <si>
    <t>Wayne</t>
  </si>
  <si>
    <t>YJ</t>
  </si>
  <si>
    <t>Max</t>
  </si>
  <si>
    <t>August</t>
  </si>
  <si>
    <t>User</t>
  </si>
  <si>
    <t>Yuri mezin</t>
  </si>
  <si>
    <t>Department</t>
  </si>
  <si>
    <t>Backend</t>
  </si>
  <si>
    <t>Frontend</t>
  </si>
  <si>
    <t>QA</t>
  </si>
  <si>
    <t>Design</t>
  </si>
  <si>
    <t>Product Manager</t>
  </si>
  <si>
    <t>(All)</t>
  </si>
  <si>
    <t>Variance</t>
  </si>
  <si>
    <t>Development % Actuals</t>
  </si>
  <si>
    <t>Development % Target</t>
  </si>
  <si>
    <t>Mar</t>
  </si>
  <si>
    <t>2015 Apr - 2016 Mar</t>
  </si>
  <si>
    <t>Maintenance % Actuals</t>
  </si>
  <si>
    <t>Ilya Fadin</t>
  </si>
  <si>
    <t>Feb 7th, 2012</t>
  </si>
  <si>
    <t>July 16th, 2012</t>
  </si>
  <si>
    <t>Nov 27th, 2012</t>
  </si>
  <si>
    <t>August 1st, 2013</t>
  </si>
  <si>
    <t>Hank Sun</t>
  </si>
  <si>
    <t>Sharly Xing</t>
  </si>
  <si>
    <t>Quiz Lim</t>
  </si>
  <si>
    <t>Henry Zheng</t>
  </si>
  <si>
    <t>Name</t>
  </si>
  <si>
    <t>Start Date</t>
  </si>
  <si>
    <t>Sum of Total</t>
  </si>
  <si>
    <t>Ailor Yu(Yu Daxue)</t>
  </si>
  <si>
    <t>Albert Peng(Peng Yutao)</t>
  </si>
  <si>
    <t>Alex Yu (Yu Jingjing)</t>
  </si>
  <si>
    <t>Candy Gan(Gan Tian)</t>
  </si>
  <si>
    <t>Candy Yan(Yan Meimei)</t>
  </si>
  <si>
    <t>Erik Shang(Shang Shang)</t>
  </si>
  <si>
    <t>Gordon Wang (Wang Xin)</t>
  </si>
  <si>
    <t>Irene Rao (Rao Xin Xin)</t>
  </si>
  <si>
    <t>Jacky Zou(Zou Wenjun)</t>
  </si>
  <si>
    <t>Leo Wu(WU Xiaoying)</t>
  </si>
  <si>
    <t>Leon Zhang(Zhang Yi)</t>
  </si>
  <si>
    <t>Maxim Murry</t>
  </si>
  <si>
    <t>Michael Zhao</t>
  </si>
  <si>
    <t>Peter Chen(Chen Qi)</t>
  </si>
  <si>
    <t>Tim Zhao(Zhao Kong Dong)</t>
  </si>
  <si>
    <t>Tiny Lin(Lin Jiameng)</t>
  </si>
  <si>
    <t>Troy Chen (Chen Yunwei)</t>
  </si>
  <si>
    <t>YJ Cai(Cai Yong Jun)</t>
  </si>
  <si>
    <t>Yuri Mezin(Iurii)</t>
  </si>
  <si>
    <t>%</t>
  </si>
  <si>
    <t>Infrastructure</t>
  </si>
  <si>
    <t>Jack.zhong</t>
  </si>
  <si>
    <t>Time Spent</t>
  </si>
  <si>
    <t>Day</t>
  </si>
  <si>
    <t>GO!</t>
  </si>
  <si>
    <t>JIRA Time Sheet Tool</t>
  </si>
  <si>
    <t>From Date:</t>
  </si>
  <si>
    <t>To Date:</t>
  </si>
  <si>
    <t>列1</t>
  </si>
  <si>
    <t>Team</t>
  </si>
  <si>
    <t>Percentage</t>
  </si>
  <si>
    <t>Query user(s):</t>
  </si>
  <si>
    <t>Sum of Time Spent</t>
  </si>
  <si>
    <t>SBG - Desktop</t>
  </si>
  <si>
    <t>DESK-3045</t>
  </si>
  <si>
    <t>Checkout 5.0</t>
  </si>
  <si>
    <t>SBG - Mobile</t>
  </si>
  <si>
    <t>Or, if you have the timesheet.txt data ready</t>
  </si>
  <si>
    <t>Estimated Finish in Seconds:</t>
  </si>
  <si>
    <t>allen</t>
  </si>
  <si>
    <t>Executing.. java -jar "D:/Git/jira-timesheet-generator/timesheet-generator/timesheet-generator.jar" Plugin ******* 2016-05-01 "allen" 2016-06-03     ......</t>
  </si>
  <si>
    <t>MOBL-916</t>
  </si>
  <si>
    <t>Adding packaging images on mobile - all countries</t>
  </si>
  <si>
    <t>DESK-8050</t>
  </si>
  <si>
    <t>Clean up languages folder</t>
  </si>
  <si>
    <t>DESK-8037</t>
  </si>
  <si>
    <t>Dolce &amp; Gabbana banners not loading - AU,US,CA, HK - desktop</t>
  </si>
  <si>
    <t>DESK-8035</t>
  </si>
  <si>
    <t>OMNI -- Remove all 8  'iContact' stores</t>
  </si>
  <si>
    <t>DESK-8034</t>
  </si>
  <si>
    <t>e-mail not being accepted - checkout page - all countries</t>
  </si>
  <si>
    <t>DESK-8008</t>
  </si>
  <si>
    <t>Cart  5.0</t>
  </si>
  <si>
    <t>DESK-8000</t>
  </si>
  <si>
    <t>Membership Password cannot be reset</t>
  </si>
  <si>
    <t>DESK-2759</t>
  </si>
  <si>
    <t>Materials Filter- Reactivate and Add New Materials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</si>
</sst>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 #,##0.00_ ;_ * \-#,##0.00_ ;_ * &quot;-&quot;??_ ;_ @_ "/>
    <numFmt numFmtId="165" formatCode="0.0"/>
    <numFmt numFmtId="166" formatCode="_ * #,##0_ ;_ * \-#,##0_ ;_ * &quot;-&quot;??_ ;_ @_ "/>
    <numFmt numFmtId="167" formatCode="[$-409]d\-mmm\-yy;@"/>
    <numFmt numFmtId="168" formatCode="yyyy\-mm\-dd;@"/>
  </numFmts>
  <fonts count="31">
    <font>
      <sz val="11"/>
      <color theme="1"/>
      <name val="Calibri"/>
      <family val="2"/>
      <charset val="134"/>
      <scheme val="minor"/>
    </font>
    <font>
      <sz val="11"/>
      <color theme="1"/>
      <name val="Calibri"/>
      <family val="2"/>
      <charset val="134"/>
      <scheme val="minor"/>
    </font>
    <font>
      <b/>
      <sz val="18"/>
      <color theme="3"/>
      <name val="Cambria"/>
      <family val="2"/>
      <charset val="134"/>
      <scheme val="major"/>
    </font>
    <font>
      <b/>
      <sz val="15"/>
      <color theme="3"/>
      <name val="Calibri"/>
      <family val="2"/>
      <charset val="134"/>
      <scheme val="minor"/>
    </font>
    <font>
      <b/>
      <sz val="13"/>
      <color theme="3"/>
      <name val="Calibri"/>
      <family val="2"/>
      <charset val="134"/>
      <scheme val="minor"/>
    </font>
    <font>
      <b/>
      <sz val="11"/>
      <color theme="3"/>
      <name val="Calibri"/>
      <family val="2"/>
      <charset val="134"/>
      <scheme val="minor"/>
    </font>
    <font>
      <sz val="11"/>
      <color rgb="FF006100"/>
      <name val="Calibri"/>
      <family val="2"/>
      <charset val="134"/>
      <scheme val="minor"/>
    </font>
    <font>
      <sz val="11"/>
      <color rgb="FF9C0006"/>
      <name val="Calibri"/>
      <family val="2"/>
      <charset val="134"/>
      <scheme val="minor"/>
    </font>
    <font>
      <sz val="11"/>
      <color rgb="FF9C6500"/>
      <name val="Calibri"/>
      <family val="2"/>
      <charset val="134"/>
      <scheme val="minor"/>
    </font>
    <font>
      <sz val="11"/>
      <color rgb="FF3F3F76"/>
      <name val="Calibri"/>
      <family val="2"/>
      <charset val="134"/>
      <scheme val="minor"/>
    </font>
    <font>
      <b/>
      <sz val="11"/>
      <color rgb="FF3F3F3F"/>
      <name val="Calibri"/>
      <family val="2"/>
      <charset val="134"/>
      <scheme val="minor"/>
    </font>
    <font>
      <b/>
      <sz val="11"/>
      <color rgb="FFFA7D00"/>
      <name val="Calibri"/>
      <family val="2"/>
      <charset val="134"/>
      <scheme val="minor"/>
    </font>
    <font>
      <sz val="11"/>
      <color rgb="FFFA7D00"/>
      <name val="Calibri"/>
      <family val="2"/>
      <charset val="134"/>
      <scheme val="minor"/>
    </font>
    <font>
      <b/>
      <sz val="11"/>
      <color theme="0"/>
      <name val="Calibri"/>
      <family val="2"/>
      <charset val="134"/>
      <scheme val="minor"/>
    </font>
    <font>
      <sz val="11"/>
      <color rgb="FFFF0000"/>
      <name val="Calibri"/>
      <family val="2"/>
      <charset val="134"/>
      <scheme val="minor"/>
    </font>
    <font>
      <i/>
      <sz val="11"/>
      <color rgb="FF7F7F7F"/>
      <name val="Calibri"/>
      <family val="2"/>
      <charset val="134"/>
      <scheme val="minor"/>
    </font>
    <font>
      <b/>
      <sz val="11"/>
      <color theme="1"/>
      <name val="Calibri"/>
      <family val="2"/>
      <charset val="134"/>
      <scheme val="minor"/>
    </font>
    <font>
      <sz val="11"/>
      <color theme="0"/>
      <name val="Calibri"/>
      <family val="2"/>
      <charset val="134"/>
      <scheme val="minor"/>
    </font>
    <font>
      <sz val="11"/>
      <color theme="1"/>
      <name val="Calibri"/>
      <family val="2"/>
    </font>
    <font>
      <b/>
      <sz val="14"/>
      <color theme="1"/>
      <name val="Calibri"/>
      <family val="2"/>
      <scheme val="minor"/>
    </font>
    <font>
      <sz val="11"/>
      <color theme="1"/>
      <name val="Calibri"/>
      <family val="2"/>
      <scheme val="minor"/>
    </font>
    <font>
      <sz val="11"/>
      <name val="Calibri"/>
      <family val="2"/>
    </font>
    <font>
      <sz val="10"/>
      <name val="Verdana"/>
      <family val="2"/>
    </font>
    <font>
      <sz val="9"/>
      <color theme="1"/>
      <name val="Calibri"/>
      <family val="2"/>
      <charset val="134"/>
      <scheme val="minor"/>
    </font>
    <font>
      <sz val="16"/>
      <color theme="1"/>
      <name val="Calibri"/>
      <family val="2"/>
      <charset val="134"/>
      <scheme val="minor"/>
    </font>
    <font>
      <sz val="20"/>
      <color theme="1"/>
      <name val="Calibri"/>
      <family val="2"/>
      <charset val="134"/>
      <scheme val="minor"/>
    </font>
    <font>
      <b/>
      <sz val="14"/>
      <color rgb="FF000080"/>
      <name val="Calibri"/>
      <family val="2"/>
    </font>
    <font>
      <sz val="9"/>
      <color rgb="FF00B050"/>
      <name val="Calibri"/>
      <family val="2"/>
      <charset val="134"/>
      <scheme val="minor"/>
    </font>
    <font>
      <sz val="8"/>
      <color rgb="FF00B050"/>
      <name val="Calibri"/>
      <family val="2"/>
      <charset val="134"/>
      <scheme val="minor"/>
    </font>
    <font>
      <sz val="11"/>
      <color theme="2" tint="-0.499984740745262"/>
      <name val="Calibri"/>
      <family val="2"/>
      <charset val="134"/>
      <scheme val="minor"/>
    </font>
    <font>
      <sz val="11"/>
      <color rgb="FF0000FF"/>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0" tint="-0.499984740745262"/>
        <bgColor indexed="64"/>
      </patternFill>
    </fill>
    <fill>
      <patternFill patternType="solid">
        <fgColor theme="8" tint="0.59999389629810485"/>
        <bgColor indexed="64"/>
      </patternFill>
    </fill>
  </fills>
  <borders count="4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tint="0.499984740745262"/>
      </left>
      <right style="thin">
        <color theme="1" tint="0.499984740745262"/>
      </right>
      <top/>
      <bottom style="thin">
        <color indexed="64"/>
      </bottom>
      <diagonal/>
    </border>
    <border>
      <left style="thin">
        <color theme="1" tint="0.499984740745262"/>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top style="thin">
        <color indexed="64"/>
      </top>
      <bottom style="thin">
        <color indexed="64"/>
      </bottom>
      <diagonal/>
    </border>
    <border>
      <left style="thin">
        <color theme="1" tint="0.499984740745262"/>
      </left>
      <right style="thin">
        <color indexed="64"/>
      </right>
      <top style="thin">
        <color indexed="64"/>
      </top>
      <bottom/>
      <diagonal/>
    </border>
    <border>
      <left style="thin">
        <color theme="1" tint="0.499984740745262"/>
      </left>
      <right style="thin">
        <color indexed="64"/>
      </right>
      <top/>
      <bottom style="thin">
        <color theme="1" tint="0.499984740745262"/>
      </bottom>
      <diagonal/>
    </border>
    <border>
      <left style="thin">
        <color theme="1" tint="0.499984740745262"/>
      </left>
      <right style="thin">
        <color indexed="64"/>
      </right>
      <top/>
      <bottom/>
      <diagonal/>
    </border>
    <border>
      <left style="thin">
        <color theme="1" tint="0.499984740745262"/>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theme="1" tint="0.499984740745262"/>
      </right>
      <top/>
      <bottom/>
      <diagonal/>
    </border>
    <border>
      <left/>
      <right style="thick">
        <color auto="1"/>
      </right>
      <top style="thin">
        <color auto="1"/>
      </top>
      <bottom/>
      <diagonal/>
    </border>
    <border>
      <left/>
      <right style="thick">
        <color auto="1"/>
      </right>
      <top/>
      <bottom/>
      <diagonal/>
    </border>
    <border>
      <left style="thin">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indexed="64"/>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164" fontId="1" fillId="0" borderId="0" applyFont="0" applyFill="0" applyBorder="0" applyAlignment="0" applyProtection="0"/>
    <xf numFmtId="167" fontId="22" fillId="0" borderId="0"/>
    <xf numFmtId="167" fontId="22" fillId="0" borderId="0"/>
  </cellStyleXfs>
  <cellXfs count="113">
    <xf numFmtId="0" fontId="0" fillId="0" borderId="0" xfId="0"/>
    <xf numFmtId="0" fontId="18" fillId="0" borderId="0" xfId="0" applyFont="1" applyAlignment="1">
      <alignment vertical="center"/>
    </xf>
    <xf numFmtId="0" fontId="0" fillId="0" borderId="0" xfId="0" applyAlignment="1">
      <alignment vertical="center"/>
    </xf>
    <xf numFmtId="9" fontId="18" fillId="0" borderId="0" xfId="42" applyFont="1" applyAlignment="1">
      <alignment horizontal="right" vertical="center"/>
    </xf>
    <xf numFmtId="0" fontId="18" fillId="0" borderId="0" xfId="0" applyFont="1" applyAlignment="1">
      <alignment horizontal="left" vertical="center"/>
    </xf>
    <xf numFmtId="14" fontId="0" fillId="0" borderId="0" xfId="0" applyNumberFormat="1"/>
    <xf numFmtId="0" fontId="16" fillId="0" borderId="10" xfId="0" applyFont="1" applyBorder="1" applyAlignment="1">
      <alignment horizontal="center"/>
    </xf>
    <xf numFmtId="0" fontId="0" fillId="0" borderId="11" xfId="0" applyNumberFormat="1" applyFont="1" applyBorder="1" applyAlignment="1">
      <alignment horizontal="center"/>
    </xf>
    <xf numFmtId="0" fontId="19" fillId="0" borderId="0" xfId="0" applyFont="1" applyFill="1"/>
    <xf numFmtId="0" fontId="0" fillId="0" borderId="0" xfId="0" applyFill="1" applyAlignment="1">
      <alignment horizontal="center"/>
    </xf>
    <xf numFmtId="0" fontId="0" fillId="0" borderId="0" xfId="0" applyFill="1"/>
    <xf numFmtId="0" fontId="0" fillId="0" borderId="0" xfId="0" applyAlignment="1">
      <alignment horizontal="center"/>
    </xf>
    <xf numFmtId="166" fontId="0" fillId="0" borderId="11" xfId="43" applyNumberFormat="1" applyFont="1" applyBorder="1" applyAlignment="1">
      <alignment horizontal="center"/>
    </xf>
    <xf numFmtId="0" fontId="16" fillId="0" borderId="14" xfId="0" applyFont="1" applyBorder="1" applyAlignment="1">
      <alignment horizontal="center"/>
    </xf>
    <xf numFmtId="9" fontId="0" fillId="0" borderId="15" xfId="42" applyNumberFormat="1" applyFont="1" applyBorder="1" applyAlignment="1">
      <alignment horizontal="center"/>
    </xf>
    <xf numFmtId="0" fontId="16" fillId="0" borderId="16" xfId="0" applyFont="1" applyBorder="1" applyAlignment="1">
      <alignment horizontal="center"/>
    </xf>
    <xf numFmtId="9" fontId="20" fillId="0" borderId="15" xfId="42" applyNumberFormat="1" applyFont="1" applyFill="1" applyBorder="1" applyAlignment="1">
      <alignment horizontal="center"/>
    </xf>
    <xf numFmtId="9" fontId="0" fillId="0" borderId="15" xfId="42" applyNumberFormat="1" applyFont="1" applyFill="1" applyBorder="1" applyAlignment="1">
      <alignment horizontal="center"/>
    </xf>
    <xf numFmtId="0" fontId="0" fillId="0" borderId="17" xfId="0" applyFill="1" applyBorder="1"/>
    <xf numFmtId="0" fontId="16" fillId="0" borderId="19" xfId="0" applyFont="1" applyBorder="1" applyAlignment="1">
      <alignment horizontal="center"/>
    </xf>
    <xf numFmtId="0" fontId="0" fillId="0" borderId="21" xfId="0" applyFill="1" applyBorder="1"/>
    <xf numFmtId="0" fontId="0" fillId="0" borderId="0" xfId="0" applyFill="1" applyBorder="1" applyAlignment="1">
      <alignment horizontal="center"/>
    </xf>
    <xf numFmtId="0" fontId="0" fillId="0" borderId="22" xfId="0" applyFill="1" applyBorder="1"/>
    <xf numFmtId="166" fontId="0" fillId="0" borderId="24" xfId="43" applyNumberFormat="1" applyFont="1" applyBorder="1" applyAlignment="1">
      <alignment horizontal="center"/>
    </xf>
    <xf numFmtId="9" fontId="20" fillId="0" borderId="16" xfId="42" applyNumberFormat="1" applyFont="1" applyFill="1" applyBorder="1" applyAlignment="1">
      <alignment horizontal="center"/>
    </xf>
    <xf numFmtId="0" fontId="16" fillId="0" borderId="20" xfId="0" applyFont="1" applyBorder="1" applyAlignment="1">
      <alignment horizontal="center"/>
    </xf>
    <xf numFmtId="166" fontId="0" fillId="0" borderId="12" xfId="43" applyNumberFormat="1" applyFont="1" applyBorder="1" applyAlignment="1">
      <alignment horizontal="center"/>
    </xf>
    <xf numFmtId="0" fontId="16" fillId="0" borderId="14" xfId="0" applyFont="1" applyFill="1" applyBorder="1" applyAlignment="1">
      <alignment horizontal="center"/>
    </xf>
    <xf numFmtId="9" fontId="0" fillId="0" borderId="16" xfId="42" applyNumberFormat="1" applyFont="1" applyFill="1" applyBorder="1" applyAlignment="1">
      <alignment horizontal="center"/>
    </xf>
    <xf numFmtId="0" fontId="16" fillId="0" borderId="18" xfId="0" applyFont="1" applyBorder="1" applyAlignment="1">
      <alignment horizontal="center"/>
    </xf>
    <xf numFmtId="9" fontId="0" fillId="0" borderId="0" xfId="42" applyNumberFormat="1" applyFont="1" applyBorder="1" applyAlignment="1">
      <alignment horizontal="center"/>
    </xf>
    <xf numFmtId="9" fontId="0" fillId="0" borderId="23" xfId="42" applyNumberFormat="1" applyFont="1" applyBorder="1" applyAlignment="1">
      <alignment horizontal="center"/>
    </xf>
    <xf numFmtId="0" fontId="0" fillId="0" borderId="27" xfId="0" applyFill="1" applyBorder="1" applyAlignment="1">
      <alignment horizontal="center"/>
    </xf>
    <xf numFmtId="0" fontId="16" fillId="0" borderId="28" xfId="0" applyFont="1" applyBorder="1" applyAlignment="1">
      <alignment horizontal="center"/>
    </xf>
    <xf numFmtId="0" fontId="16" fillId="0" borderId="29" xfId="0" applyFont="1" applyBorder="1" applyAlignment="1">
      <alignment horizontal="center"/>
    </xf>
    <xf numFmtId="0" fontId="16" fillId="0" borderId="13" xfId="0" applyFont="1" applyFill="1" applyBorder="1" applyAlignment="1">
      <alignment horizontal="center"/>
    </xf>
    <xf numFmtId="0" fontId="16" fillId="0" borderId="13" xfId="0" applyFont="1" applyBorder="1" applyAlignment="1">
      <alignment horizontal="center"/>
    </xf>
    <xf numFmtId="166" fontId="16" fillId="0" borderId="24" xfId="43" applyNumberFormat="1" applyFont="1" applyBorder="1" applyAlignment="1">
      <alignment horizontal="center"/>
    </xf>
    <xf numFmtId="9" fontId="16" fillId="0" borderId="24" xfId="42" applyNumberFormat="1" applyFont="1" applyBorder="1" applyAlignment="1">
      <alignment horizontal="center"/>
    </xf>
    <xf numFmtId="9" fontId="16" fillId="0" borderId="25" xfId="42" applyNumberFormat="1" applyFont="1" applyFill="1" applyBorder="1" applyAlignment="1">
      <alignment horizontal="center"/>
    </xf>
    <xf numFmtId="166" fontId="0" fillId="0" borderId="17" xfId="0" applyNumberFormat="1" applyFill="1" applyBorder="1" applyAlignment="1">
      <alignment horizontal="center"/>
    </xf>
    <xf numFmtId="166" fontId="0" fillId="0" borderId="18" xfId="0" applyNumberFormat="1" applyFill="1" applyBorder="1" applyAlignment="1">
      <alignment horizontal="center"/>
    </xf>
    <xf numFmtId="166" fontId="0" fillId="0" borderId="21" xfId="0" applyNumberFormat="1" applyFill="1" applyBorder="1" applyAlignment="1">
      <alignment horizontal="center"/>
    </xf>
    <xf numFmtId="166" fontId="0" fillId="0" borderId="0" xfId="0" applyNumberFormat="1" applyFill="1" applyBorder="1" applyAlignment="1">
      <alignment horizontal="center"/>
    </xf>
    <xf numFmtId="166" fontId="0" fillId="0" borderId="22" xfId="0" applyNumberFormat="1" applyFill="1" applyBorder="1" applyAlignment="1">
      <alignment horizontal="center"/>
    </xf>
    <xf numFmtId="166" fontId="0" fillId="0" borderId="23" xfId="0" applyNumberFormat="1" applyFill="1" applyBorder="1" applyAlignment="1">
      <alignment horizontal="center"/>
    </xf>
    <xf numFmtId="0" fontId="0" fillId="0" borderId="26" xfId="0" applyFill="1" applyBorder="1" applyAlignment="1">
      <alignment horizontal="center"/>
    </xf>
    <xf numFmtId="0" fontId="0" fillId="0" borderId="23" xfId="0" applyFill="1" applyBorder="1"/>
    <xf numFmtId="0" fontId="0" fillId="0" borderId="0" xfId="0" applyFill="1" applyBorder="1" applyAlignment="1">
      <alignment horizontal="left"/>
    </xf>
    <xf numFmtId="0" fontId="16" fillId="33" borderId="10" xfId="0" applyFont="1" applyFill="1" applyBorder="1" applyAlignment="1">
      <alignment horizontal="center"/>
    </xf>
    <xf numFmtId="166" fontId="0" fillId="33" borderId="11" xfId="43" applyNumberFormat="1" applyFont="1" applyFill="1" applyBorder="1" applyAlignment="1">
      <alignment horizontal="center"/>
    </xf>
    <xf numFmtId="166" fontId="16" fillId="0" borderId="0" xfId="43" applyNumberFormat="1" applyFont="1" applyBorder="1" applyAlignment="1">
      <alignment horizontal="center" vertical="center"/>
    </xf>
    <xf numFmtId="165" fontId="16" fillId="0" borderId="0" xfId="0" applyNumberFormat="1" applyFont="1" applyBorder="1" applyAlignment="1">
      <alignment horizontal="center"/>
    </xf>
    <xf numFmtId="166" fontId="16" fillId="0" borderId="0" xfId="43" applyNumberFormat="1" applyFont="1" applyFill="1" applyBorder="1" applyAlignment="1">
      <alignment horizontal="center" vertical="center"/>
    </xf>
    <xf numFmtId="0" fontId="0" fillId="0" borderId="18" xfId="0" applyFill="1" applyBorder="1"/>
    <xf numFmtId="0" fontId="0" fillId="0" borderId="0" xfId="0" applyNumberFormat="1" applyFont="1" applyBorder="1" applyAlignment="1">
      <alignment horizontal="center"/>
    </xf>
    <xf numFmtId="0" fontId="0" fillId="0" borderId="0" xfId="0" applyFill="1" applyBorder="1"/>
    <xf numFmtId="166" fontId="0" fillId="0" borderId="0" xfId="43" applyNumberFormat="1" applyFont="1" applyFill="1" applyBorder="1" applyAlignment="1">
      <alignment horizontal="center"/>
    </xf>
    <xf numFmtId="0" fontId="0" fillId="0" borderId="18" xfId="0" applyFill="1" applyBorder="1" applyAlignment="1">
      <alignment horizontal="left"/>
    </xf>
    <xf numFmtId="0" fontId="16" fillId="33" borderId="19" xfId="0" applyFont="1" applyFill="1" applyBorder="1" applyAlignment="1">
      <alignment horizontal="center"/>
    </xf>
    <xf numFmtId="0" fontId="16" fillId="0" borderId="30" xfId="0" applyFont="1" applyBorder="1" applyAlignment="1">
      <alignment horizontal="center"/>
    </xf>
    <xf numFmtId="0" fontId="16" fillId="0" borderId="31" xfId="0" applyFont="1" applyBorder="1" applyAlignment="1">
      <alignment horizontal="center"/>
    </xf>
    <xf numFmtId="0" fontId="0" fillId="0" borderId="32" xfId="0" applyNumberFormat="1" applyFont="1" applyBorder="1" applyAlignment="1">
      <alignment horizontal="center"/>
    </xf>
    <xf numFmtId="166" fontId="0" fillId="33" borderId="24" xfId="43" applyNumberFormat="1" applyFont="1" applyFill="1" applyBorder="1" applyAlignment="1">
      <alignment horizontal="center"/>
    </xf>
    <xf numFmtId="0" fontId="0" fillId="0" borderId="33" xfId="0" applyNumberFormat="1" applyFont="1" applyBorder="1" applyAlignment="1">
      <alignment horizontal="center"/>
    </xf>
    <xf numFmtId="0" fontId="0" fillId="0" borderId="34" xfId="0" applyFill="1" applyBorder="1" applyAlignment="1">
      <alignment horizontal="center"/>
    </xf>
    <xf numFmtId="166" fontId="0" fillId="0" borderId="35" xfId="0" applyNumberFormat="1" applyFill="1" applyBorder="1" applyAlignment="1">
      <alignment horizontal="center" vertical="center"/>
    </xf>
    <xf numFmtId="0" fontId="0" fillId="0" borderId="17" xfId="0" applyNumberFormat="1" applyFill="1" applyBorder="1" applyAlignment="1">
      <alignment horizontal="center"/>
    </xf>
    <xf numFmtId="0" fontId="0" fillId="0" borderId="34" xfId="0" applyNumberFormat="1" applyFill="1" applyBorder="1" applyAlignment="1">
      <alignment horizontal="center"/>
    </xf>
    <xf numFmtId="166" fontId="0" fillId="0" borderId="22" xfId="0" applyNumberFormat="1" applyFill="1" applyBorder="1" applyAlignment="1">
      <alignment horizontal="center" vertical="center"/>
    </xf>
    <xf numFmtId="0" fontId="0" fillId="0" borderId="16" xfId="0" applyFill="1" applyBorder="1"/>
    <xf numFmtId="0" fontId="0" fillId="0" borderId="36" xfId="0" applyFill="1" applyBorder="1" applyAlignment="1">
      <alignment horizontal="center"/>
    </xf>
    <xf numFmtId="166" fontId="16" fillId="0" borderId="25" xfId="43" applyNumberFormat="1" applyFont="1" applyBorder="1" applyAlignment="1">
      <alignment horizontal="center"/>
    </xf>
    <xf numFmtId="166" fontId="16" fillId="0" borderId="13" xfId="43" applyNumberFormat="1" applyFont="1" applyBorder="1" applyAlignment="1">
      <alignment horizontal="center"/>
    </xf>
    <xf numFmtId="167" fontId="21" fillId="0" borderId="0" xfId="0" applyNumberFormat="1" applyFont="1" applyBorder="1" applyAlignment="1">
      <alignment horizontal="left" vertical="center"/>
    </xf>
    <xf numFmtId="167" fontId="0" fillId="0" borderId="0" xfId="0" applyNumberFormat="1" applyBorder="1" applyAlignment="1">
      <alignment horizontal="left"/>
    </xf>
    <xf numFmtId="0" fontId="0" fillId="0" borderId="37" xfId="0" applyNumberFormat="1" applyFont="1" applyBorder="1" applyAlignment="1">
      <alignment horizontal="center"/>
    </xf>
    <xf numFmtId="0" fontId="0" fillId="0" borderId="0" xfId="0" applyNumberFormat="1"/>
    <xf numFmtId="0" fontId="0" fillId="0" borderId="0" xfId="0" pivotButton="1"/>
    <xf numFmtId="0" fontId="0" fillId="0" borderId="0" xfId="0" applyNumberFormat="1" applyFill="1" applyBorder="1" applyAlignment="1">
      <alignment horizontal="center"/>
    </xf>
    <xf numFmtId="0" fontId="0" fillId="34" borderId="0" xfId="0" applyFill="1"/>
    <xf numFmtId="0" fontId="0" fillId="35" borderId="17" xfId="0" applyFill="1" applyBorder="1"/>
    <xf numFmtId="0" fontId="0" fillId="35" borderId="18" xfId="0" applyFill="1" applyBorder="1"/>
    <xf numFmtId="0" fontId="0" fillId="35" borderId="38" xfId="0" applyFill="1" applyBorder="1"/>
    <xf numFmtId="0" fontId="0" fillId="35" borderId="21" xfId="0" applyFill="1" applyBorder="1"/>
    <xf numFmtId="0" fontId="0" fillId="35" borderId="39" xfId="0" applyFill="1" applyBorder="1"/>
    <xf numFmtId="0" fontId="0" fillId="35" borderId="0" xfId="0" applyFill="1" applyBorder="1"/>
    <xf numFmtId="0" fontId="24" fillId="35" borderId="0" xfId="0" applyFont="1" applyFill="1" applyBorder="1"/>
    <xf numFmtId="0" fontId="0" fillId="35" borderId="40" xfId="0" applyFill="1" applyBorder="1"/>
    <xf numFmtId="0" fontId="0" fillId="35" borderId="41" xfId="0" applyFill="1" applyBorder="1"/>
    <xf numFmtId="0" fontId="0" fillId="35" borderId="42" xfId="0" applyFill="1" applyBorder="1"/>
    <xf numFmtId="0" fontId="24" fillId="35" borderId="0" xfId="0" applyFont="1" applyFill="1" applyBorder="1" applyAlignment="1">
      <alignment horizontal="center"/>
    </xf>
    <xf numFmtId="0" fontId="24" fillId="35" borderId="0" xfId="0" applyFont="1" applyFill="1" applyBorder="1" applyAlignment="1">
      <alignment horizontal="left"/>
    </xf>
    <xf numFmtId="0" fontId="9" fillId="8" borderId="8" xfId="15" applyFont="1" applyAlignment="1">
      <alignment horizontal="center"/>
    </xf>
    <xf numFmtId="0" fontId="23" fillId="0" borderId="0" xfId="0" applyFont="1" applyFill="1" applyBorder="1"/>
    <xf numFmtId="166" fontId="23" fillId="0" borderId="0" xfId="0" applyNumberFormat="1" applyFont="1" applyFill="1" applyBorder="1" applyAlignment="1">
      <alignment horizontal="center" vertical="center"/>
    </xf>
    <xf numFmtId="0" fontId="0" fillId="0" borderId="44" xfId="0" applyBorder="1"/>
    <xf numFmtId="0" fontId="23" fillId="0" borderId="44" xfId="0" applyFont="1" applyBorder="1"/>
    <xf numFmtId="0" fontId="0" fillId="0" borderId="43" xfId="0" applyBorder="1"/>
    <xf numFmtId="0" fontId="0" fillId="0" borderId="45" xfId="0" applyBorder="1"/>
    <xf numFmtId="0" fontId="0" fillId="0" borderId="46" xfId="0" applyBorder="1"/>
    <xf numFmtId="0" fontId="0" fillId="0" borderId="47" xfId="0" applyBorder="1"/>
    <xf numFmtId="168" fontId="9" fillId="8" borderId="8" xfId="15" applyNumberFormat="1" applyFont="1" applyAlignment="1">
      <alignment horizontal="center"/>
    </xf>
    <xf numFmtId="0" fontId="25" fillId="35" borderId="0" xfId="0" applyFont="1" applyFill="1" applyBorder="1" applyAlignment="1">
      <alignment horizontal="center"/>
    </xf>
    <xf numFmtId="0" fontId="0" fillId="0" borderId="48" xfId="0" applyNumberFormat="1" applyFill="1" applyBorder="1" applyAlignment="1">
      <alignment horizontal="center"/>
    </xf>
    <xf numFmtId="0" fontId="0" fillId="0" borderId="21" xfId="0" applyNumberFormat="1" applyFill="1" applyBorder="1" applyAlignment="1">
      <alignment horizontal="center"/>
    </xf>
    <xf numFmtId="0" fontId="0" fillId="0" borderId="14" xfId="0" applyFill="1" applyBorder="1"/>
    <xf numFmtId="0" fontId="28" fillId="35" borderId="0" xfId="0" applyFont="1" applyFill="1" applyBorder="1" applyAlignment="1">
      <alignment horizontal="left"/>
    </xf>
    <xf numFmtId="0" fontId="27" fillId="35" borderId="0" xfId="0" applyFont="1" applyFill="1" applyBorder="1" applyAlignment="1">
      <alignment horizontal="right"/>
    </xf>
    <xf numFmtId="0" fontId="29" fillId="35" borderId="39" xfId="0" applyFont="1" applyFill="1" applyBorder="1" applyAlignment="1">
      <alignment horizontal="left"/>
    </xf>
    <xf numFmtId="0" fontId="25" fillId="35" borderId="0" xfId="0" applyFont="1" applyFill="1" applyBorder="1" applyAlignment="1">
      <alignment horizontal="center"/>
    </xf>
    <xf numFmtId="0" fontId="9" fillId="5" borderId="4" xfId="9" applyAlignment="1">
      <alignment horizontal="left" vertical="top" wrapText="1"/>
    </xf>
    <xf numFmtId="0" fontId="3" fillId="35" borderId="1" xfId="2" applyFill="1" applyAlignment="1">
      <alignment horizont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4"/>
    <cellStyle name="Normal 2 2" xfId="45"/>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76">
    <dxf>
      <numFmt numFmtId="167" formatCode="[$-409]d\-mmm\-yy;@"/>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left"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alignment horizontal="general" vertical="center" textRotation="0" wrapText="0" indent="0" justifyLastLine="0" shrinkToFit="0" readingOrder="0"/>
    </dxf>
    <dxf>
      <border>
        <left/>
        <right/>
        <top/>
        <bottom/>
        <vertical/>
      </border>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readingOrder="0"/>
    </dxf>
    <dxf>
      <numFmt numFmtId="166" formatCode="_ * #,##0_ ;_ * \-#,##0_ ;_ * &quot;-&quot;??_ ;_ @_ "/>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left"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readingOrder="0"/>
    </dxf>
    <dxf>
      <numFmt numFmtId="166" formatCode="_ * #,##0_ ;_ * \-#,##0_ ;_ * &quot;-&quot;??_ ;_ @_ "/>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patternType="none">
          <bgColor auto="1"/>
        </patternFill>
      </fill>
    </dxf>
    <dxf>
      <fill>
        <patternFill patternType="none">
          <bgColor auto="1"/>
        </patternFill>
      </fill>
    </dxf>
    <dxf>
      <fill>
        <patternFill patternType="solid">
          <bgColor rgb="FFFF0000"/>
        </patternFill>
      </fill>
    </dxf>
    <dxf>
      <alignment horizontal="center" readingOrder="0"/>
    </dxf>
    <dxf>
      <numFmt numFmtId="166" formatCode="_ * #,##0_ ;_ * \-#,##0_ ;_ * &quot;-&quot;??_ ;_ @_ "/>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9</xdr:row>
          <xdr:rowOff>257175</xdr:rowOff>
        </xdr:from>
        <xdr:to>
          <xdr:col>4</xdr:col>
          <xdr:colOff>9525</xdr:colOff>
          <xdr:row>10</xdr:row>
          <xdr:rowOff>314325</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80"/>
                  </a:solidFill>
                  <a:latin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12</xdr:row>
          <xdr:rowOff>0</xdr:rowOff>
        </xdr:from>
        <xdr:to>
          <xdr:col>2</xdr:col>
          <xdr:colOff>1228725</xdr:colOff>
          <xdr:row>12</xdr:row>
          <xdr:rowOff>200025</xdr:rowOff>
        </xdr:to>
        <xdr:sp macro="" textlink="">
          <xdr:nvSpPr>
            <xdr:cNvPr id="9259" name="Button 43" hidden="1">
              <a:extLst>
                <a:ext uri="{63B3BB69-23CF-44E3-9099-C40C66FF867C}">
                  <a14:compatExt spid="_x0000_s9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rPr>
                <a:t>Imprort Text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C:\Users\Melan.Wang\AppData\Roaming\Skype\My%20Skype%20Received%20Files\IT%20staff%20Feb%20attendance.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dmin" refreshedDate="42473.880870486108" createdVersion="5" refreshedVersion="5" minRefreshableVersion="3" recordCount="8654">
  <cacheSource type="worksheet">
    <worksheetSource ref="A1:I8546" sheet="raw data"/>
  </cacheSource>
  <cacheFields count="15">
    <cacheField name="Project" numFmtId="0">
      <sharedItems containsBlank="1"/>
    </cacheField>
    <cacheField name="Department" numFmtId="0">
      <sharedItems count="5">
        <s v="Design"/>
        <s v="QA"/>
        <s v="Development"/>
        <s v="Maintenance"/>
        <s v="Product Manager"/>
      </sharedItems>
    </cacheField>
    <cacheField name="Type" numFmtId="0">
      <sharedItems containsBlank="1"/>
    </cacheField>
    <cacheField name="Key" numFmtId="0">
      <sharedItems containsBlank="1"/>
    </cacheField>
    <cacheField name="Title" numFmtId="0">
      <sharedItems containsBlank="1"/>
    </cacheField>
    <cacheField name="Issue Type" numFmtId="0">
      <sharedItems containsBlank="1"/>
    </cacheField>
    <cacheField name="Category" numFmtId="0">
      <sharedItems containsBlank="1" count="3">
        <s v="Development"/>
        <s v="Maintenance"/>
        <m u="1"/>
      </sharedItems>
    </cacheField>
    <cacheField name="Date" numFmtId="14">
      <sharedItems containsNonDate="0" containsDate="1" containsString="0" containsBlank="1" minDate="2015-04-01T10:00:00" maxDate="2016-03-31T22:06:00"/>
    </cacheField>
    <cacheField name="Month" numFmtId="0">
      <sharedItems count="12">
        <s v="Apr"/>
        <s v="May"/>
        <s v="Jul"/>
        <s v="Aug"/>
        <s v="Sep"/>
        <s v="Oct"/>
        <s v="Jun"/>
        <s v="Mar"/>
        <s v="Nov"/>
        <s v="Dec"/>
        <s v="Jan"/>
        <s v="Feb"/>
      </sharedItems>
    </cacheField>
    <cacheField name="Year" numFmtId="0">
      <sharedItems containsSemiMixedTypes="0" containsString="0" containsNumber="1" containsInteger="1" minValue="2015" maxValue="2016" count="2">
        <n v="2015"/>
        <n v="2016"/>
      </sharedItems>
    </cacheField>
    <cacheField name="Username" numFmtId="0">
      <sharedItems count="35">
        <s v="Karen Xu"/>
        <s v="Candy Gan (QA)"/>
        <s v="Hank"/>
        <s v="William Wang"/>
        <s v="Peter Yang"/>
        <s v="Gabriel WU (QA)"/>
        <s v="John"/>
        <s v="Candy Yan (Design)"/>
        <s v="Alex"/>
        <s v="Irene Rao"/>
        <s v="Tim.zhao"/>
        <s v="ilya"/>
        <s v="Emily Lu"/>
        <s v="Maxim Muryy"/>
        <s v="YJ Cai"/>
        <s v="Nerl"/>
        <s v="Leon"/>
        <s v="Jacky Zhou"/>
        <s v="Frank.liu"/>
        <s v="Gordon Wang"/>
        <s v="Nancy Chen"/>
        <s v="Leo"/>
        <s v="troy.chen"/>
        <s v="sharly.xing"/>
        <s v="Quiz"/>
        <s v="Wayne Chen"/>
        <s v="Allen"/>
        <s v="ailor.yu"/>
        <s v="Dace"/>
        <s v="Yuri Mezin"/>
        <s v="Erik Shang"/>
        <s v="Henry"/>
        <s v="peter.chen"/>
        <s v="Tiny"/>
        <s v="Lee (Li Fei)" u="1"/>
      </sharedItems>
    </cacheField>
    <cacheField name="Time Spent (h)" numFmtId="0">
      <sharedItems containsSemiMixedTypes="0" containsString="0" containsNumber="1" minValue="0" maxValue="170"/>
    </cacheField>
    <cacheField name="Comment" numFmtId="0">
      <sharedItems containsBlank="1" longText="1"/>
    </cacheField>
    <cacheField name="Target (Dev)" numFmtId="0">
      <sharedItems containsSemiMixedTypes="0" containsString="0" containsNumber="1" minValue="75" maxValue="156.4"/>
    </cacheField>
    <cacheField name="Target (Mt)" numFmtId="0">
      <sharedItems containsSemiMixedTypes="0" containsString="0" containsNumber="1" minValue="22.500000000000004" maxValue="9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elan.Wang(王书林)" refreshedDate="42475.743009490739" createdVersion="5" refreshedVersion="5" minRefreshableVersion="3" recordCount="101">
  <cacheSource type="worksheet">
    <worksheetSource ref="A1:O102" sheet="Sheet1" r:id="rId2"/>
  </cacheSource>
  <cacheFields count="15">
    <cacheField name="Name" numFmtId="164">
      <sharedItems count="26">
        <s v="Ailor Yu(Yu Daxue)"/>
        <s v="Albert Peng(Peng Yutao)"/>
        <s v="Alex Yu (Yu Jingjing)"/>
        <s v="Candy Gan(Gan Tian)"/>
        <s v="Candy Yan(Yan Meimei)"/>
        <s v="Erik Shang(Shang Shang)"/>
        <s v="Gordon Wang (Wang Xin)"/>
        <s v="Hank Sun"/>
        <s v="Henry Zheng"/>
        <s v="Ilya Fadin"/>
        <s v="Irene Rao (Rao Xin Xin)"/>
        <s v="Jacky Zou(Zou Wenjun)"/>
        <s v="Leo Wu(WU Xiaoying)"/>
        <s v="Leon Zhang(Zhang Yi)"/>
        <s v="Maxim Murry"/>
        <s v="Michael Zhao"/>
        <s v="Nancy Chen"/>
        <s v="Peter Chen(Chen Qi)"/>
        <s v="Quiz Lim"/>
        <s v="Sharly Xing"/>
        <s v="Tim Zhao(Zhao Kong Dong)"/>
        <s v="Tiny Lin(Lin Jiameng)"/>
        <s v="Troy Chen (Chen Yunwei)"/>
        <s v="Wayne Chen"/>
        <s v="YJ Cai(Cai Yong Jun)"/>
        <s v="Yuri Mezin(Iurii)"/>
      </sharedItems>
    </cacheField>
    <cacheField name="Date" numFmtId="164">
      <sharedItems/>
    </cacheField>
    <cacheField name="Month" numFmtId="0">
      <sharedItems containsSemiMixedTypes="0" containsString="0" containsNumber="1" containsInteger="1" minValue="2" maxValue="3" count="2">
        <n v="2"/>
        <n v="3"/>
      </sharedItems>
    </cacheField>
    <cacheField name="Check in" numFmtId="164">
      <sharedItems containsBlank="1"/>
    </cacheField>
    <cacheField name="Check out " numFmtId="164">
      <sharedItems containsBlank="1"/>
    </cacheField>
    <cacheField name="Department" numFmtId="164">
      <sharedItems/>
    </cacheField>
    <cacheField name="Annual leave" numFmtId="0">
      <sharedItems containsString="0" containsBlank="1" containsNumber="1" minValue="-1" maxValue="-0.5"/>
    </cacheField>
    <cacheField name="Sick leave" numFmtId="0">
      <sharedItems containsString="0" containsBlank="1" containsNumber="1" minValue="-1" maxValue="-0.5"/>
    </cacheField>
    <cacheField name="MC" numFmtId="0">
      <sharedItems containsNonDate="0" containsString="0" containsBlank="1"/>
    </cacheField>
    <cacheField name="OT(day)" numFmtId="0">
      <sharedItems containsString="0" containsBlank="1" containsNumber="1" containsInteger="1" minValue="2" maxValue="2"/>
    </cacheField>
    <cacheField name="OT(pay)" numFmtId="0">
      <sharedItems containsNonDate="0" containsString="0" containsBlank="1"/>
    </cacheField>
    <cacheField name="Unpaid" numFmtId="0">
      <sharedItems containsString="0" containsBlank="1" containsNumber="1" containsInteger="1" minValue="-1" maxValue="-1"/>
    </cacheField>
    <cacheField name="Allowance" numFmtId="0">
      <sharedItems containsString="0" containsBlank="1" containsNumber="1" containsInteger="1" minValue="-1" maxValue="-1"/>
    </cacheField>
    <cacheField name="Total" numFmtId="0">
      <sharedItems containsSemiMixedTypes="0" containsString="0" containsNumber="1" minValue="-2" maxValue="2"/>
    </cacheField>
    <cacheField name="Reason" numFmtId="164">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llen.Liu" refreshedDate="42524.513739120368" createdVersion="5" refreshedVersion="6" minRefreshableVersion="3" recordCount="563">
  <cacheSource type="worksheet">
    <worksheetSource ref="A1:L1048576" sheet="raw data"/>
  </cacheSource>
  <cacheFields count="12">
    <cacheField name="Project" numFmtId="0">
      <sharedItems containsBlank="1"/>
    </cacheField>
    <cacheField name="Type" numFmtId="0">
      <sharedItems containsBlank="1"/>
    </cacheField>
    <cacheField name="Key" numFmtId="0">
      <sharedItems containsBlank="1"/>
    </cacheField>
    <cacheField name="Title" numFmtId="0">
      <sharedItems containsBlank="1"/>
    </cacheField>
    <cacheField name="Username" numFmtId="0">
      <sharedItems containsDate="1" containsBlank="1" containsMixedTypes="1" minDate="2015-04-01T00:00:00" maxDate="2015-05-26T00:00:00" count="76">
        <s v="Allen"/>
        <m/>
        <d v="2015-05-05T00:00:00" u="1"/>
        <s v="Tiny" u="1"/>
        <s v="Emily Lu" u="1"/>
        <s v="Wayne Chen" u="1"/>
        <s v="Gordon Wang" u="1"/>
        <d v="2015-04-24T00:00:00" u="1"/>
        <s v="Peter Yang" u="1"/>
        <s v="Hank" u="1"/>
        <s v="yi.zhang" u="1"/>
        <d v="2015-04-17T00:00:00" u="1"/>
        <s v="irene" u="1"/>
        <d v="2015-04-10T00:00:00" u="1"/>
        <d v="2015-04-29T00:00:00" u="1"/>
        <d v="2015-04-03T00:00:00" u="1"/>
        <s v="wang.xin" u="1"/>
        <d v="2015-04-22T00:00:00" u="1"/>
        <s v="Erik Shang" u="1"/>
        <d v="2015-04-15T00:00:00" u="1"/>
        <s v="Leo" u="1"/>
        <s v="Candy Gan (QA)" u="1"/>
        <d v="2015-04-08T00:00:00" u="1"/>
        <s v="Candy Gan" u="1"/>
        <s v="Alex" u="1"/>
        <s v="Candy Yan" u="1"/>
        <s v="Yuri.mezin" u="1"/>
        <d v="2015-04-27T00:00:00" u="1"/>
        <s v="William Wang" u="1"/>
        <s v="hank@motionglobal.com" u="1"/>
        <d v="2015-04-01T00:00:00" u="1"/>
        <d v="2015-05-06T00:00:00" u="1"/>
        <d v="2015-04-20T00:00:00" u="1"/>
        <s v="Frank.liu" u="1"/>
        <d v="2015-05-25T00:00:00" u="1"/>
        <s v="ailor.yu" u="1"/>
        <s v="Tim.zhao" u="1"/>
        <d v="2015-04-13T00:00:00" u="1"/>
        <s v="peter.chen" u="1"/>
        <s v="nancy.chen" u="1"/>
        <s v="Gabriel WU (QA)" u="1"/>
        <s v="tom.tang" u="1"/>
        <d v="2015-05-11T00:00:00" u="1"/>
        <s v="YJ Cai" u="1"/>
        <s v="Yuri Mezin" u="1"/>
        <d v="2015-05-04T00:00:00" u="1"/>
        <s v="Erik" u="1"/>
        <s v="ilya" u="1"/>
        <s v="Karen Xu" u="1"/>
        <s v="Leon" u="1"/>
        <d v="2015-04-30T00:00:00" u="1"/>
        <s v="sharly.xing" u="1"/>
        <d v="2015-04-23T00:00:00" u="1"/>
        <s v="Dace" u="1"/>
        <d v="2015-04-16T00:00:00" u="1"/>
        <s v="Quiz" u="1"/>
        <d v="2015-05-21T00:00:00" u="1"/>
        <s v="Henry" u="1"/>
        <s v="Nerl" u="1"/>
        <s v="troy.chen" u="1"/>
        <d v="2015-04-09T00:00:00" u="1"/>
        <d v="2015-05-14T00:00:00" u="1"/>
        <d v="2015-04-28T00:00:00" u="1"/>
        <s v="John" u="1"/>
        <d v="2015-04-02T00:00:00" u="1"/>
        <d v="2015-05-07T00:00:00" u="1"/>
        <d v="2015-04-21T00:00:00" u="1"/>
        <d v="2015-04-14T00:00:00" u="1"/>
        <s v="Jacky Zhou" u="1"/>
        <s v="Nancy Chen" u="1"/>
        <d v="2015-05-19T00:00:00" u="1"/>
        <s v="Irene Rao" u="1"/>
        <s v="Candy Yan (Design)" u="1"/>
        <d v="2015-04-07T00:00:00" u="1"/>
        <d v="2015-05-12T00:00:00" u="1"/>
        <s v="Maxim Muryy" u="1"/>
      </sharedItems>
    </cacheField>
    <cacheField name="Time Spent" numFmtId="0">
      <sharedItems containsString="0" containsBlank="1" containsNumber="1" containsInteger="1" minValue="1" maxValue="8"/>
    </cacheField>
    <cacheField name="Date" numFmtId="14">
      <sharedItems containsNonDate="0" containsDate="1" containsString="0" containsBlank="1" minDate="2016-05-09T00:00:00" maxDate="2016-06-03T00:00:00"/>
    </cacheField>
    <cacheField name="Month" numFmtId="0">
      <sharedItems containsBlank="1" containsMixedTypes="1" containsNumber="1" containsInteger="1" minValue="5" maxValue="6" count="4">
        <n v="5"/>
        <n v="6"/>
        <s v=""/>
        <m/>
      </sharedItems>
    </cacheField>
    <cacheField name="Year" numFmtId="0">
      <sharedItems containsBlank="1" containsMixedTypes="1" containsNumber="1" containsInteger="1" minValue="2015" maxValue="2016" count="4">
        <n v="2016"/>
        <s v=""/>
        <m/>
        <n v="2015" u="1"/>
      </sharedItems>
    </cacheField>
    <cacheField name="Day" numFmtId="0">
      <sharedItems containsBlank="1" containsMixedTypes="1" containsNumber="1" containsInteger="1" minValue="0" maxValue="31" count="34">
        <n v="13"/>
        <n v="23"/>
        <n v="9"/>
        <n v="12"/>
        <n v="17"/>
        <n v="24"/>
        <n v="26"/>
        <n v="27"/>
        <n v="2"/>
        <s v=""/>
        <m/>
        <n v="0" u="1"/>
        <n v="5" u="1"/>
        <n v="14" u="1"/>
        <n v="15" u="1"/>
        <n v="6" u="1"/>
        <n v="16" u="1"/>
        <n v="18" u="1"/>
        <n v="19" u="1"/>
        <n v="7" u="1"/>
        <n v="20" u="1"/>
        <n v="21" u="1"/>
        <n v="22" u="1"/>
        <n v="1" u="1"/>
        <n v="3" u="1"/>
        <n v="8" u="1"/>
        <n v="25" u="1"/>
        <n v="10" u="1"/>
        <n v="28" u="1"/>
        <n v="29" u="1"/>
        <n v="11" u="1"/>
        <n v="30" u="1"/>
        <n v="31" u="1"/>
        <n v="4" u="1"/>
      </sharedItems>
    </cacheField>
    <cacheField name="Department" numFmtId="0">
      <sharedItems containsBlank="1" count="11">
        <s v="QA"/>
        <s v=""/>
        <m/>
        <s v="Development" u="1"/>
        <s v="Design" u="1"/>
        <s v="Product Manager" u="1"/>
        <e v="#N/A" u="1"/>
        <s v="Maintenance" u="1"/>
        <s v="Infrastructure" u="1"/>
        <s v="Backend" u="1"/>
        <s v="Frontend" u="1"/>
      </sharedItems>
    </cacheField>
    <cacheField name="Category" numFmtId="0">
      <sharedItems containsBlank="1" count="4">
        <s v="Development"/>
        <s v="Maintenance"/>
        <s v=""/>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654">
  <r>
    <s v="SBG - Desktop"/>
    <x v="0"/>
    <s v="New Feature"/>
    <s v="DESK-2116"/>
    <s v="Mobile Reskin deisgn and HTML design"/>
    <s v="New Feature"/>
    <x v="0"/>
    <d v="2015-04-10T10:59:00"/>
    <x v="0"/>
    <x v="0"/>
    <x v="0"/>
    <n v="21"/>
    <m/>
    <n v="83"/>
    <n v="83"/>
  </r>
  <r>
    <s v="SBG - Desktop"/>
    <x v="0"/>
    <s v="New Feature"/>
    <s v="DESK-2116"/>
    <s v="Mobile Reskin deisgn and HTML design"/>
    <s v="New Feature"/>
    <x v="0"/>
    <d v="2015-04-17T10:59:00"/>
    <x v="0"/>
    <x v="0"/>
    <x v="0"/>
    <n v="32"/>
    <m/>
    <n v="83"/>
    <n v="83"/>
  </r>
  <r>
    <s v="SBG - Desktop"/>
    <x v="0"/>
    <s v="New Feature"/>
    <s v="DESK-2116"/>
    <s v="Mobile Reskin deisgn and HTML design"/>
    <s v="New Feature"/>
    <x v="0"/>
    <d v="2015-04-24T11:26:00"/>
    <x v="0"/>
    <x v="0"/>
    <x v="0"/>
    <n v="32"/>
    <m/>
    <n v="83"/>
    <n v="83"/>
  </r>
  <r>
    <s v="SBG - Desktop"/>
    <x v="0"/>
    <s v="New Feature"/>
    <s v="DESK-2116"/>
    <s v="Mobile Reskin deisgn and HTML design"/>
    <s v="New Feature"/>
    <x v="0"/>
    <d v="2015-04-30T11:26:00"/>
    <x v="0"/>
    <x v="0"/>
    <x v="0"/>
    <n v="32"/>
    <m/>
    <n v="83"/>
    <n v="83"/>
  </r>
  <r>
    <s v="SBG - Desktop"/>
    <x v="0"/>
    <s v="New Feature"/>
    <s v="DESK-2116"/>
    <s v="Mobile Reskin deisgn and HTML design"/>
    <s v="New Feature"/>
    <x v="0"/>
    <d v="2015-05-08T10:40:00"/>
    <x v="1"/>
    <x v="0"/>
    <x v="0"/>
    <n v="36"/>
    <s v="Work at 3F one week"/>
    <n v="83"/>
    <n v="83"/>
  </r>
  <r>
    <s v="SBG - Desktop"/>
    <x v="0"/>
    <s v="New Feature"/>
    <s v="DESK-2116"/>
    <s v="Mobile Reskin deisgn and HTML design"/>
    <s v="New Feature"/>
    <x v="0"/>
    <d v="2015-05-18T11:22:00"/>
    <x v="1"/>
    <x v="0"/>
    <x v="0"/>
    <n v="6"/>
    <m/>
    <n v="83"/>
    <n v="83"/>
  </r>
  <r>
    <s v="SBG - Desktop"/>
    <x v="0"/>
    <s v="New Feature"/>
    <s v="DESK-2116"/>
    <s v="Mobile Reskin deisgn and HTML design"/>
    <s v="New Feature"/>
    <x v="0"/>
    <d v="2015-05-19T11:22:00"/>
    <x v="1"/>
    <x v="0"/>
    <x v="0"/>
    <n v="6"/>
    <m/>
    <n v="83"/>
    <n v="83"/>
  </r>
  <r>
    <s v="SBG - Desktop"/>
    <x v="0"/>
    <s v="New Feature"/>
    <s v="DESK-2116"/>
    <s v="Mobile Reskin deisgn and HTML design"/>
    <s v="New Feature"/>
    <x v="0"/>
    <d v="2015-05-20T11:22:00"/>
    <x v="1"/>
    <x v="0"/>
    <x v="0"/>
    <n v="6"/>
    <m/>
    <n v="83"/>
    <n v="83"/>
  </r>
  <r>
    <s v="SBG - Desktop"/>
    <x v="0"/>
    <s v="New Feature"/>
    <s v="DESK-2116"/>
    <s v="Mobile Reskin deisgn and HTML design"/>
    <s v="New Feature"/>
    <x v="0"/>
    <d v="2015-05-21T11:22:00"/>
    <x v="1"/>
    <x v="0"/>
    <x v="0"/>
    <n v="6"/>
    <m/>
    <n v="83"/>
    <n v="83"/>
  </r>
  <r>
    <s v="SBG - Desktop"/>
    <x v="0"/>
    <s v="New Feature"/>
    <s v="DESK-2116"/>
    <s v="Mobile Reskin deisgn and HTML design"/>
    <s v="New Feature"/>
    <x v="0"/>
    <d v="2015-05-22T11:23:00"/>
    <x v="1"/>
    <x v="0"/>
    <x v="0"/>
    <n v="1"/>
    <m/>
    <n v="83"/>
    <n v="83"/>
  </r>
  <r>
    <s v="SBG - Desktop"/>
    <x v="1"/>
    <s v="Task"/>
    <s v="DESK-2125"/>
    <s v="Remove FREE Lens kit from USA website (Desktop+Mobile)"/>
    <s v="Task"/>
    <x v="0"/>
    <d v="2015-05-13T10:23:00"/>
    <x v="1"/>
    <x v="0"/>
    <x v="1"/>
    <n v="3"/>
    <m/>
    <n v="141.1"/>
    <n v="24.900000000000002"/>
  </r>
  <r>
    <s v="SBG - Desktop"/>
    <x v="1"/>
    <s v="Task"/>
    <s v="DESK-2125"/>
    <s v="Remove FREE Lens kit from USA website (Desktop+Mobile)"/>
    <s v="Task"/>
    <x v="0"/>
    <d v="2015-05-13T19:33:00"/>
    <x v="1"/>
    <x v="0"/>
    <x v="1"/>
    <n v="3"/>
    <m/>
    <n v="141.1"/>
    <n v="24.900000000000002"/>
  </r>
  <r>
    <s v="SBG - Desktop"/>
    <x v="2"/>
    <s v="New Feature"/>
    <s v="DESK-2128"/>
    <s v="us_soquero feed re-coding"/>
    <s v="New Feature"/>
    <x v="0"/>
    <d v="2015-04-03T17:11:00"/>
    <x v="0"/>
    <x v="0"/>
    <x v="2"/>
    <n v="8"/>
    <m/>
    <n v="141.1"/>
    <n v="24.900000000000002"/>
  </r>
  <r>
    <s v="SBG - Desktop"/>
    <x v="2"/>
    <s v="New Feature"/>
    <s v="DESK-2128"/>
    <s v="us_soquero feed re-coding"/>
    <s v="New Feature"/>
    <x v="0"/>
    <d v="2015-04-06T17:14:00"/>
    <x v="0"/>
    <x v="0"/>
    <x v="2"/>
    <n v="8"/>
    <m/>
    <n v="141.1"/>
    <n v="24.900000000000002"/>
  </r>
  <r>
    <s v="SBG - Desktop"/>
    <x v="2"/>
    <s v="New Feature"/>
    <s v="DESK-2128"/>
    <s v="us_soquero feed re-coding"/>
    <s v="New Feature"/>
    <x v="0"/>
    <d v="2015-04-10T17:15:00"/>
    <x v="0"/>
    <x v="0"/>
    <x v="2"/>
    <n v="8"/>
    <m/>
    <n v="141.1"/>
    <n v="24.900000000000002"/>
  </r>
  <r>
    <s v="SBG - Desktop"/>
    <x v="2"/>
    <s v="New Feature"/>
    <s v="DESK-2128"/>
    <s v="us_soquero feed re-coding"/>
    <s v="New Feature"/>
    <x v="0"/>
    <d v="2015-04-17T17:15:00"/>
    <x v="0"/>
    <x v="0"/>
    <x v="2"/>
    <n v="8"/>
    <m/>
    <n v="141.1"/>
    <n v="24.900000000000002"/>
  </r>
  <r>
    <s v="SBG - Desktop"/>
    <x v="2"/>
    <s v="New Feature"/>
    <s v="DESK-2128"/>
    <s v="us_soquero feed re-coding"/>
    <s v="New Feature"/>
    <x v="0"/>
    <d v="2015-04-29T12:11:00"/>
    <x v="0"/>
    <x v="0"/>
    <x v="2"/>
    <n v="8"/>
    <m/>
    <n v="141.1"/>
    <n v="24.900000000000002"/>
  </r>
  <r>
    <s v="SBG - Desktop"/>
    <x v="3"/>
    <s v="New Feature"/>
    <s v="DESK-2132"/>
    <s v="Ignite Vision (ChineseAN) Tracking Pixels"/>
    <s v="New Feature"/>
    <x v="0"/>
    <d v="2015-05-22T12:45:00"/>
    <x v="1"/>
    <x v="0"/>
    <x v="3"/>
    <n v="0.5"/>
    <m/>
    <n v="83"/>
    <n v="83"/>
  </r>
  <r>
    <s v="SBG - Desktop"/>
    <x v="2"/>
    <s v="New Feature"/>
    <s v="DESK-2133"/>
    <s v="Add star rating to CL Product Pages (DESKTOP only)"/>
    <s v="New Feature"/>
    <x v="0"/>
    <d v="2015-05-22T18:31:00"/>
    <x v="1"/>
    <x v="0"/>
    <x v="4"/>
    <n v="2"/>
    <m/>
    <n v="83"/>
    <n v="83"/>
  </r>
  <r>
    <s v="SBG - Desktop"/>
    <x v="1"/>
    <s v="New Feature"/>
    <s v="DESK-2141"/>
    <s v="Prescription process stage 2"/>
    <s v="New Feature"/>
    <x v="0"/>
    <d v="2015-04-03T10:54:00"/>
    <x v="0"/>
    <x v="0"/>
    <x v="5"/>
    <n v="4"/>
    <s v="Requirement reading."/>
    <n v="141.1"/>
    <n v="24.900000000000002"/>
  </r>
  <r>
    <s v="SBG - Desktop"/>
    <x v="2"/>
    <s v="New Feature"/>
    <s v="DESK-2141"/>
    <s v="Prescription process stage 2"/>
    <s v="New Feature"/>
    <x v="0"/>
    <d v="2015-04-08T18:39:00"/>
    <x v="0"/>
    <x v="0"/>
    <x v="6"/>
    <n v="1"/>
    <s v="2.0 &gt; Main function Front End(1~6 finished)"/>
    <n v="141.1"/>
    <n v="24.900000000000002"/>
  </r>
  <r>
    <s v="SBG - Desktop"/>
    <x v="0"/>
    <s v="New Feature"/>
    <s v="DESK-2141"/>
    <s v="Prescription process stage 2"/>
    <s v="New Feature"/>
    <x v="0"/>
    <d v="2015-04-09T18:34:00"/>
    <x v="0"/>
    <x v="0"/>
    <x v="7"/>
    <n v="1.5"/>
    <s v="fix html"/>
    <n v="83"/>
    <n v="83"/>
  </r>
  <r>
    <s v="SBG - Desktop"/>
    <x v="2"/>
    <s v="New Feature"/>
    <s v="DESK-2141"/>
    <s v="Prescription process stage 2"/>
    <s v="New Feature"/>
    <x v="0"/>
    <d v="2015-04-09T18:45:00"/>
    <x v="0"/>
    <x v="0"/>
    <x v="6"/>
    <n v="6"/>
    <s v="2.1.2 &gt; Glasses step 2 upload prescription(Finished)"/>
    <n v="141.1"/>
    <n v="24.900000000000002"/>
  </r>
  <r>
    <s v="SBG - Desktop"/>
    <x v="1"/>
    <s v="New Feature"/>
    <s v="DESK-2141"/>
    <s v="Prescription process stage 2"/>
    <s v="New Feature"/>
    <x v="0"/>
    <d v="2015-04-10T11:18:00"/>
    <x v="0"/>
    <x v="0"/>
    <x v="5"/>
    <n v="2"/>
    <m/>
    <n v="141.1"/>
    <n v="24.900000000000002"/>
  </r>
  <r>
    <s v="SBG - Desktop"/>
    <x v="2"/>
    <s v="New Feature"/>
    <s v="DESK-2141"/>
    <s v="Prescription process stage 2"/>
    <s v="New Feature"/>
    <x v="0"/>
    <d v="2015-04-10T19:01:00"/>
    <x v="0"/>
    <x v="0"/>
    <x v="6"/>
    <n v="8"/>
    <s v="2.3 Finished"/>
    <n v="141.1"/>
    <n v="24.900000000000002"/>
  </r>
  <r>
    <s v="SBG - Desktop"/>
    <x v="1"/>
    <s v="New Feature"/>
    <s v="DESK-2141"/>
    <s v="Prescription process stage 2"/>
    <s v="New Feature"/>
    <x v="0"/>
    <d v="2015-04-13T12:06:00"/>
    <x v="0"/>
    <x v="0"/>
    <x v="5"/>
    <n v="4"/>
    <m/>
    <n v="141.1"/>
    <n v="24.900000000000002"/>
  </r>
  <r>
    <s v="SBG - Desktop"/>
    <x v="2"/>
    <s v="New Feature"/>
    <s v="DESK-2141"/>
    <s v="Prescription process stage 2"/>
    <s v="New Feature"/>
    <x v="0"/>
    <d v="2015-04-13T18:37:00"/>
    <x v="0"/>
    <x v="0"/>
    <x v="6"/>
    <n v="5.5"/>
    <s v="Modify bug(2.0 ~ 2.4).Finished all."/>
    <n v="141.1"/>
    <n v="24.900000000000002"/>
  </r>
  <r>
    <s v="SBG - Desktop"/>
    <x v="1"/>
    <s v="New Feature"/>
    <s v="DESK-2141"/>
    <s v="Prescription process stage 2"/>
    <s v="New Feature"/>
    <x v="0"/>
    <d v="2015-04-14T12:06:00"/>
    <x v="0"/>
    <x v="0"/>
    <x v="5"/>
    <n v="4"/>
    <m/>
    <n v="141.1"/>
    <n v="24.900000000000002"/>
  </r>
  <r>
    <s v="SBG - Desktop"/>
    <x v="2"/>
    <s v="New Feature"/>
    <s v="DESK-2141"/>
    <s v="Prescription process stage 2"/>
    <s v="New Feature"/>
    <x v="0"/>
    <d v="2015-04-14T18:40:00"/>
    <x v="0"/>
    <x v="0"/>
    <x v="6"/>
    <n v="8"/>
    <s v="Write a api for om.Update upload function.Mofify bug."/>
    <n v="141.1"/>
    <n v="24.900000000000002"/>
  </r>
  <r>
    <s v="SBG - Desktop"/>
    <x v="1"/>
    <s v="New Feature"/>
    <s v="DESK-2141"/>
    <s v="Prescription process stage 2"/>
    <s v="New Feature"/>
    <x v="0"/>
    <d v="2015-04-15T16:57:00"/>
    <x v="0"/>
    <x v="0"/>
    <x v="5"/>
    <n v="5"/>
    <s v="Test case design"/>
    <n v="141.1"/>
    <n v="24.900000000000002"/>
  </r>
  <r>
    <s v="SBG - Desktop"/>
    <x v="2"/>
    <s v="New Feature"/>
    <s v="DESK-2141"/>
    <s v="Prescription process stage 2"/>
    <s v="New Feature"/>
    <x v="0"/>
    <d v="2015-04-15T18:44:00"/>
    <x v="0"/>
    <x v="0"/>
    <x v="6"/>
    <n v="8"/>
    <s v="Finished to 2.5(Footnot-6)"/>
    <n v="141.1"/>
    <n v="24.900000000000002"/>
  </r>
  <r>
    <s v="SBG - Desktop"/>
    <x v="1"/>
    <s v="New Feature"/>
    <s v="DESK-2141"/>
    <s v="Prescription process stage 2"/>
    <s v="New Feature"/>
    <x v="0"/>
    <d v="2015-04-16T12:06:00"/>
    <x v="0"/>
    <x v="0"/>
    <x v="5"/>
    <n v="5"/>
    <m/>
    <n v="141.1"/>
    <n v="24.900000000000002"/>
  </r>
  <r>
    <s v="SBG - Desktop"/>
    <x v="2"/>
    <s v="New Feature"/>
    <s v="DESK-2141"/>
    <s v="Prescription process stage 2"/>
    <s v="New Feature"/>
    <x v="0"/>
    <d v="2015-04-16T18:20:00"/>
    <x v="0"/>
    <x v="0"/>
    <x v="6"/>
    <n v="8"/>
    <m/>
    <n v="141.1"/>
    <n v="24.900000000000002"/>
  </r>
  <r>
    <s v="SBG - Desktop"/>
    <x v="2"/>
    <s v="New Feature"/>
    <s v="DESK-2141"/>
    <s v="Prescription process stage 2"/>
    <s v="New Feature"/>
    <x v="0"/>
    <d v="2015-04-17T19:20:00"/>
    <x v="0"/>
    <x v="0"/>
    <x v="6"/>
    <n v="8"/>
    <s v="Update send later"/>
    <n v="141.1"/>
    <n v="24.900000000000002"/>
  </r>
  <r>
    <s v="SBG - Desktop"/>
    <x v="1"/>
    <s v="New Feature"/>
    <s v="DESK-2141"/>
    <s v="Prescription process stage 2"/>
    <s v="New Feature"/>
    <x v="0"/>
    <d v="2015-04-20T11:54:00"/>
    <x v="0"/>
    <x v="0"/>
    <x v="5"/>
    <n v="4"/>
    <m/>
    <n v="141.1"/>
    <n v="24.900000000000002"/>
  </r>
  <r>
    <s v="SBG - Desktop"/>
    <x v="2"/>
    <s v="New Feature"/>
    <s v="DESK-2141"/>
    <s v="Prescription process stage 2"/>
    <s v="New Feature"/>
    <x v="0"/>
    <d v="2015-04-20T18:38:00"/>
    <x v="0"/>
    <x v="0"/>
    <x v="6"/>
    <n v="8"/>
    <s v="Send-later Enter to 17(30%) Upload finished(80%)"/>
    <n v="141.1"/>
    <n v="24.900000000000002"/>
  </r>
  <r>
    <s v="SBG - Desktop"/>
    <x v="1"/>
    <s v="New Feature"/>
    <s v="DESK-2141"/>
    <s v="Prescription process stage 2"/>
    <s v="New Feature"/>
    <x v="0"/>
    <d v="2015-04-21T18:19:00"/>
    <x v="0"/>
    <x v="0"/>
    <x v="5"/>
    <n v="5"/>
    <m/>
    <n v="141.1"/>
    <n v="24.900000000000002"/>
  </r>
  <r>
    <s v="SBG - Desktop"/>
    <x v="2"/>
    <s v="New Feature"/>
    <s v="DESK-2141"/>
    <s v="Prescription process stage 2"/>
    <s v="New Feature"/>
    <x v="0"/>
    <d v="2015-04-21T18:53:00"/>
    <x v="0"/>
    <x v="0"/>
    <x v="6"/>
    <n v="8"/>
    <s v="send-later Finished 4/5"/>
    <n v="141.1"/>
    <n v="24.900000000000002"/>
  </r>
  <r>
    <s v="SBG - Desktop"/>
    <x v="1"/>
    <s v="New Feature"/>
    <s v="DESK-2141"/>
    <s v="Prescription process stage 2"/>
    <s v="New Feature"/>
    <x v="0"/>
    <d v="2015-04-22T11:53:00"/>
    <x v="0"/>
    <x v="0"/>
    <x v="5"/>
    <n v="4"/>
    <m/>
    <n v="141.1"/>
    <n v="24.900000000000002"/>
  </r>
  <r>
    <s v="SBG - Desktop"/>
    <x v="2"/>
    <s v="New Feature"/>
    <s v="DESK-2141"/>
    <s v="Prescription process stage 2"/>
    <s v="New Feature"/>
    <x v="0"/>
    <d v="2015-04-22T18:58:00"/>
    <x v="0"/>
    <x v="0"/>
    <x v="6"/>
    <n v="8"/>
    <m/>
    <n v="141.1"/>
    <n v="24.900000000000002"/>
  </r>
  <r>
    <s v="SBG - Desktop"/>
    <x v="1"/>
    <s v="New Feature"/>
    <s v="DESK-2141"/>
    <s v="Prescription process stage 2"/>
    <s v="New Feature"/>
    <x v="0"/>
    <d v="2015-04-23T16:42:00"/>
    <x v="0"/>
    <x v="0"/>
    <x v="5"/>
    <n v="1"/>
    <m/>
    <n v="141.1"/>
    <n v="24.900000000000002"/>
  </r>
  <r>
    <s v="SBG - Desktop"/>
    <x v="2"/>
    <s v="New Feature"/>
    <s v="DESK-2141"/>
    <s v="Prescription process stage 2"/>
    <s v="New Feature"/>
    <x v="0"/>
    <d v="2015-04-23T19:34:00"/>
    <x v="0"/>
    <x v="0"/>
    <x v="6"/>
    <n v="8"/>
    <s v="Test and fixing bug."/>
    <n v="141.1"/>
    <n v="24.900000000000002"/>
  </r>
  <r>
    <s v="SBG - Desktop"/>
    <x v="2"/>
    <s v="New Feature"/>
    <s v="DESK-2141"/>
    <s v="Prescription process stage 2"/>
    <s v="New Feature"/>
    <x v="0"/>
    <d v="2015-04-24T18:55:00"/>
    <x v="0"/>
    <x v="0"/>
    <x v="6"/>
    <n v="8"/>
    <s v="All finished. Except: Synchronous data(SBG to OM) Update Prescription data. Some js bugs(send-later)."/>
    <n v="141.1"/>
    <n v="24.900000000000002"/>
  </r>
  <r>
    <s v="SBG - Desktop"/>
    <x v="2"/>
    <s v="New Feature"/>
    <s v="DESK-2141"/>
    <s v="Prescription process stage 2"/>
    <s v="New Feature"/>
    <x v="0"/>
    <d v="2015-04-27T18:39:00"/>
    <x v="0"/>
    <x v="0"/>
    <x v="6"/>
    <n v="7.5"/>
    <m/>
    <n v="141.1"/>
    <n v="24.900000000000002"/>
  </r>
  <r>
    <s v="SBG - Desktop"/>
    <x v="1"/>
    <s v="New Feature"/>
    <s v="DESK-2141"/>
    <s v="Prescription process stage 2"/>
    <s v="New Feature"/>
    <x v="0"/>
    <d v="2015-04-28T10:56:00"/>
    <x v="0"/>
    <x v="0"/>
    <x v="5"/>
    <n v="2"/>
    <m/>
    <n v="141.1"/>
    <n v="24.900000000000002"/>
  </r>
  <r>
    <s v="SBG - Desktop"/>
    <x v="1"/>
    <s v="New Feature"/>
    <s v="DESK-2141"/>
    <s v="Prescription process stage 2"/>
    <s v="New Feature"/>
    <x v="0"/>
    <d v="2015-04-28T11:52:00"/>
    <x v="0"/>
    <x v="0"/>
    <x v="5"/>
    <n v="5"/>
    <m/>
    <n v="141.1"/>
    <n v="24.900000000000002"/>
  </r>
  <r>
    <s v="SBG - Desktop"/>
    <x v="2"/>
    <s v="New Feature"/>
    <s v="DESK-2141"/>
    <s v="Prescription process stage 2"/>
    <s v="New Feature"/>
    <x v="0"/>
    <d v="2015-04-28T16:36:00"/>
    <x v="0"/>
    <x v="0"/>
    <x v="6"/>
    <n v="6"/>
    <s v="All finished."/>
    <n v="141.1"/>
    <n v="24.900000000000002"/>
  </r>
  <r>
    <s v="SBG - Desktop"/>
    <x v="1"/>
    <s v="New Feature"/>
    <s v="DESK-2141"/>
    <s v="Prescription process stage 2"/>
    <s v="New Feature"/>
    <x v="0"/>
    <d v="2015-04-29T10:56:00"/>
    <x v="0"/>
    <x v="0"/>
    <x v="5"/>
    <n v="1"/>
    <m/>
    <n v="141.1"/>
    <n v="24.900000000000002"/>
  </r>
  <r>
    <s v="SBG - Desktop"/>
    <x v="1"/>
    <s v="New Feature"/>
    <s v="DESK-2141"/>
    <s v="Prescription process stage 2"/>
    <s v="New Feature"/>
    <x v="0"/>
    <d v="2015-04-29T18:16:00"/>
    <x v="0"/>
    <x v="0"/>
    <x v="5"/>
    <n v="3"/>
    <m/>
    <n v="141.1"/>
    <n v="24.900000000000002"/>
  </r>
  <r>
    <s v="SBG - Desktop"/>
    <x v="2"/>
    <s v="New Feature"/>
    <s v="DESK-2141"/>
    <s v="Prescription process stage 2"/>
    <s v="New Feature"/>
    <x v="0"/>
    <d v="2015-04-30T12:33:00"/>
    <x v="0"/>
    <x v="0"/>
    <x v="2"/>
    <n v="2"/>
    <m/>
    <n v="141.1"/>
    <n v="24.900000000000002"/>
  </r>
  <r>
    <s v="SBG - Desktop"/>
    <x v="1"/>
    <s v="New Feature"/>
    <s v="DESK-2141"/>
    <s v="Prescription process stage 2"/>
    <s v="New Feature"/>
    <x v="0"/>
    <d v="2015-04-30T17:28:00"/>
    <x v="0"/>
    <x v="0"/>
    <x v="5"/>
    <n v="3"/>
    <m/>
    <n v="141.1"/>
    <n v="24.900000000000002"/>
  </r>
  <r>
    <s v="SBG - Desktop"/>
    <x v="1"/>
    <s v="New Feature"/>
    <s v="DESK-2141"/>
    <s v="Prescription process stage 2"/>
    <s v="New Feature"/>
    <x v="0"/>
    <d v="2015-05-04T18:38:00"/>
    <x v="1"/>
    <x v="0"/>
    <x v="8"/>
    <n v="1.5"/>
    <m/>
    <n v="141.1"/>
    <n v="24.900000000000002"/>
  </r>
  <r>
    <s v="SBG - Desktop"/>
    <x v="1"/>
    <s v="New Feature"/>
    <s v="DESK-2141"/>
    <s v="Prescription process stage 2"/>
    <s v="New Feature"/>
    <x v="0"/>
    <d v="2015-05-05T11:26:00"/>
    <x v="1"/>
    <x v="0"/>
    <x v="5"/>
    <n v="4"/>
    <m/>
    <n v="141.1"/>
    <n v="24.900000000000002"/>
  </r>
  <r>
    <s v="SBG - Desktop"/>
    <x v="1"/>
    <s v="New Feature"/>
    <s v="DESK-2141"/>
    <s v="Prescription process stage 2"/>
    <s v="New Feature"/>
    <x v="0"/>
    <d v="2015-05-06T18:31:00"/>
    <x v="1"/>
    <x v="0"/>
    <x v="8"/>
    <n v="3"/>
    <m/>
    <n v="141.1"/>
    <n v="24.900000000000002"/>
  </r>
  <r>
    <s v="SBG - Desktop"/>
    <x v="1"/>
    <s v="New Feature"/>
    <s v="DESK-2141"/>
    <s v="Prescription process stage 2"/>
    <s v="New Feature"/>
    <x v="0"/>
    <d v="2015-05-07T16:32:00"/>
    <x v="1"/>
    <x v="0"/>
    <x v="5"/>
    <n v="8"/>
    <m/>
    <n v="141.1"/>
    <n v="24.900000000000002"/>
  </r>
  <r>
    <s v="SBG - Desktop"/>
    <x v="1"/>
    <s v="New Feature"/>
    <s v="DESK-2141"/>
    <s v="Prescription process stage 2"/>
    <s v="New Feature"/>
    <x v="0"/>
    <d v="2015-05-07T17:52:00"/>
    <x v="1"/>
    <x v="0"/>
    <x v="5"/>
    <n v="4"/>
    <m/>
    <n v="141.1"/>
    <n v="24.900000000000002"/>
  </r>
  <r>
    <s v="SBG - Desktop"/>
    <x v="1"/>
    <s v="New Feature"/>
    <s v="DESK-2141"/>
    <s v="Prescription process stage 2"/>
    <s v="New Feature"/>
    <x v="0"/>
    <d v="2015-05-08T16:32:00"/>
    <x v="1"/>
    <x v="0"/>
    <x v="5"/>
    <n v="8"/>
    <m/>
    <n v="141.1"/>
    <n v="24.900000000000002"/>
  </r>
  <r>
    <s v="SBG - Desktop"/>
    <x v="1"/>
    <s v="New Feature"/>
    <s v="DESK-2141"/>
    <s v="Prescription process stage 2"/>
    <s v="New Feature"/>
    <x v="0"/>
    <d v="2015-05-12T16:32:00"/>
    <x v="1"/>
    <x v="0"/>
    <x v="5"/>
    <n v="9"/>
    <m/>
    <n v="141.1"/>
    <n v="24.900000000000002"/>
  </r>
  <r>
    <s v="SBG - Desktop"/>
    <x v="1"/>
    <s v="New Feature"/>
    <s v="DESK-2141"/>
    <s v="Prescription process stage 2"/>
    <s v="New Feature"/>
    <x v="0"/>
    <d v="2015-05-13T16:32:00"/>
    <x v="1"/>
    <x v="0"/>
    <x v="5"/>
    <n v="10"/>
    <m/>
    <n v="141.1"/>
    <n v="24.900000000000002"/>
  </r>
  <r>
    <s v="SBG - Desktop"/>
    <x v="1"/>
    <s v="New Feature"/>
    <s v="DESK-2141"/>
    <s v="Prescription process stage 2"/>
    <s v="New Feature"/>
    <x v="0"/>
    <d v="2015-05-14T16:31:00"/>
    <x v="1"/>
    <x v="0"/>
    <x v="5"/>
    <n v="11"/>
    <m/>
    <n v="141.1"/>
    <n v="24.900000000000002"/>
  </r>
  <r>
    <s v="SBG - Desktop"/>
    <x v="2"/>
    <s v="New Feature"/>
    <s v="DESK-2141"/>
    <s v="Prescription process stage 2"/>
    <s v="New Feature"/>
    <x v="0"/>
    <d v="2015-05-14T17:43:00"/>
    <x v="1"/>
    <x v="0"/>
    <x v="2"/>
    <n v="3"/>
    <s v="Transfer new order status"/>
    <n v="141.1"/>
    <n v="24.900000000000002"/>
  </r>
  <r>
    <s v="SBG - Desktop"/>
    <x v="1"/>
    <s v="New Feature"/>
    <s v="DESK-2141"/>
    <s v="Prescription process stage 2"/>
    <s v="New Feature"/>
    <x v="0"/>
    <d v="2015-05-15T16:31:00"/>
    <x v="1"/>
    <x v="0"/>
    <x v="5"/>
    <n v="13"/>
    <m/>
    <n v="141.1"/>
    <n v="24.900000000000002"/>
  </r>
  <r>
    <s v="SBG - Desktop"/>
    <x v="2"/>
    <s v="New Feature"/>
    <s v="DESK-2141"/>
    <s v="Prescription process stage 2"/>
    <s v="New Feature"/>
    <x v="0"/>
    <d v="2015-05-15T20:55:00"/>
    <x v="1"/>
    <x v="0"/>
    <x v="6"/>
    <n v="8"/>
    <s v="Merger the RX code to trunk."/>
    <n v="141.1"/>
    <n v="24.900000000000002"/>
  </r>
  <r>
    <s v="SBG - Desktop"/>
    <x v="1"/>
    <s v="New Feature"/>
    <s v="DESK-2141"/>
    <s v="Prescription process stage 2"/>
    <s v="New Feature"/>
    <x v="0"/>
    <d v="2015-05-18T16:31:00"/>
    <x v="1"/>
    <x v="0"/>
    <x v="5"/>
    <n v="15"/>
    <m/>
    <n v="141.1"/>
    <n v="24.900000000000002"/>
  </r>
  <r>
    <s v="SBG - Desktop"/>
    <x v="0"/>
    <s v="New Feature"/>
    <s v="DESK-2141"/>
    <s v="Prescription process stage 2"/>
    <s v="New Feature"/>
    <x v="0"/>
    <d v="2015-05-18T18:37:00"/>
    <x v="1"/>
    <x v="0"/>
    <x v="7"/>
    <n v="3.5"/>
    <m/>
    <n v="83"/>
    <n v="83"/>
  </r>
  <r>
    <s v="SBG - Desktop"/>
    <x v="2"/>
    <s v="New Feature"/>
    <s v="DESK-2141"/>
    <s v="Prescription process stage 2"/>
    <s v="New Feature"/>
    <x v="0"/>
    <d v="2015-05-18T22:52:00"/>
    <x v="1"/>
    <x v="0"/>
    <x v="6"/>
    <n v="8"/>
    <s v="1.Post RX code 2.Modify cross-domain error.(uploadfy js should at SBG) 3.Modify field =&gt; timestamp (SBG no this field)"/>
    <n v="141.1"/>
    <n v="24.900000000000002"/>
  </r>
  <r>
    <s v="SBG - Desktop"/>
    <x v="1"/>
    <s v="New Feature"/>
    <s v="DESK-2141"/>
    <s v="Prescription process stage 2"/>
    <s v="New Feature"/>
    <x v="0"/>
    <d v="2015-05-19T08:23:00"/>
    <x v="1"/>
    <x v="0"/>
    <x v="5"/>
    <n v="8"/>
    <m/>
    <n v="141.1"/>
    <n v="24.900000000000002"/>
  </r>
  <r>
    <s v="SBG - Desktop"/>
    <x v="1"/>
    <s v="New Feature"/>
    <s v="DESK-2141"/>
    <s v="Prescription process stage 2"/>
    <s v="New Feature"/>
    <x v="0"/>
    <d v="2015-05-20T08:23:00"/>
    <x v="1"/>
    <x v="0"/>
    <x v="5"/>
    <n v="8"/>
    <m/>
    <n v="141.1"/>
    <n v="24.900000000000002"/>
  </r>
  <r>
    <s v="SBG - Desktop"/>
    <x v="1"/>
    <s v="New Feature"/>
    <s v="DESK-2141"/>
    <s v="Prescription process stage 2"/>
    <s v="New Feature"/>
    <x v="0"/>
    <d v="2015-05-21T11:23:00"/>
    <x v="1"/>
    <x v="0"/>
    <x v="5"/>
    <n v="5"/>
    <m/>
    <n v="141.1"/>
    <n v="24.900000000000002"/>
  </r>
  <r>
    <s v="SBG - Desktop"/>
    <x v="1"/>
    <s v="New Feature"/>
    <s v="DESK-2141"/>
    <s v="Prescription process stage 2"/>
    <s v="New Feature"/>
    <x v="0"/>
    <d v="2015-05-22T08:23:00"/>
    <x v="1"/>
    <x v="0"/>
    <x v="5"/>
    <n v="8"/>
    <m/>
    <n v="141.1"/>
    <n v="24.900000000000002"/>
  </r>
  <r>
    <s v="SBG - Desktop"/>
    <x v="2"/>
    <s v="New Feature"/>
    <s v="DESK-2142"/>
    <s v="Omni Channel integration"/>
    <s v="New Feature"/>
    <x v="0"/>
    <d v="2015-04-01T18:37:00"/>
    <x v="0"/>
    <x v="0"/>
    <x v="4"/>
    <n v="4"/>
    <m/>
    <n v="83"/>
    <n v="83"/>
  </r>
  <r>
    <s v="SBG - Desktop"/>
    <x v="2"/>
    <s v="New Feature"/>
    <s v="DESK-2142"/>
    <s v="Omni Channel integration"/>
    <s v="New Feature"/>
    <x v="0"/>
    <d v="2015-04-02T18:34:00"/>
    <x v="0"/>
    <x v="0"/>
    <x v="4"/>
    <n v="4.5"/>
    <m/>
    <n v="83"/>
    <n v="83"/>
  </r>
  <r>
    <s v="SBG - Desktop"/>
    <x v="2"/>
    <s v="New Feature"/>
    <s v="DESK-2142"/>
    <s v="Omni Channel integration"/>
    <s v="New Feature"/>
    <x v="0"/>
    <d v="2015-04-03T18:45:00"/>
    <x v="0"/>
    <x v="0"/>
    <x v="4"/>
    <n v="4.5"/>
    <m/>
    <n v="83"/>
    <n v="83"/>
  </r>
  <r>
    <m/>
    <x v="2"/>
    <m/>
    <m/>
    <m/>
    <m/>
    <x v="0"/>
    <m/>
    <x v="2"/>
    <x v="0"/>
    <x v="4"/>
    <n v="0"/>
    <m/>
    <n v="87"/>
    <n v="87"/>
  </r>
  <r>
    <m/>
    <x v="2"/>
    <m/>
    <m/>
    <m/>
    <m/>
    <x v="1"/>
    <m/>
    <x v="2"/>
    <x v="0"/>
    <x v="4"/>
    <n v="0"/>
    <m/>
    <n v="87"/>
    <n v="87"/>
  </r>
  <r>
    <m/>
    <x v="2"/>
    <m/>
    <m/>
    <m/>
    <m/>
    <x v="0"/>
    <m/>
    <x v="3"/>
    <x v="0"/>
    <x v="4"/>
    <n v="0"/>
    <m/>
    <n v="87"/>
    <n v="87"/>
  </r>
  <r>
    <m/>
    <x v="2"/>
    <m/>
    <m/>
    <m/>
    <m/>
    <x v="1"/>
    <m/>
    <x v="3"/>
    <x v="0"/>
    <x v="4"/>
    <n v="0"/>
    <m/>
    <n v="87"/>
    <n v="87"/>
  </r>
  <r>
    <m/>
    <x v="2"/>
    <m/>
    <m/>
    <m/>
    <m/>
    <x v="0"/>
    <m/>
    <x v="4"/>
    <x v="0"/>
    <x v="4"/>
    <n v="0"/>
    <m/>
    <n v="79"/>
    <n v="79"/>
  </r>
  <r>
    <m/>
    <x v="2"/>
    <m/>
    <m/>
    <m/>
    <m/>
    <x v="1"/>
    <m/>
    <x v="4"/>
    <x v="0"/>
    <x v="4"/>
    <n v="0"/>
    <m/>
    <n v="79"/>
    <n v="79"/>
  </r>
  <r>
    <m/>
    <x v="2"/>
    <m/>
    <m/>
    <m/>
    <m/>
    <x v="0"/>
    <m/>
    <x v="5"/>
    <x v="0"/>
    <x v="4"/>
    <n v="0"/>
    <m/>
    <n v="75"/>
    <n v="75"/>
  </r>
  <r>
    <m/>
    <x v="2"/>
    <m/>
    <m/>
    <m/>
    <m/>
    <x v="1"/>
    <m/>
    <x v="5"/>
    <x v="0"/>
    <x v="4"/>
    <n v="0"/>
    <m/>
    <n v="75"/>
    <n v="75"/>
  </r>
  <r>
    <s v="SBG - Desktop"/>
    <x v="3"/>
    <s v="New Feature"/>
    <s v="DESK-2142"/>
    <s v="Omni Channel integration"/>
    <s v="New Feature"/>
    <x v="0"/>
    <d v="2015-05-18T12:47:00"/>
    <x v="1"/>
    <x v="0"/>
    <x v="3"/>
    <n v="0.5"/>
    <m/>
    <n v="83"/>
    <n v="83"/>
  </r>
  <r>
    <s v="SBG - Desktop"/>
    <x v="3"/>
    <s v="New Feature"/>
    <s v="DESK-2142"/>
    <s v="Omni Channel integration"/>
    <s v="New Feature"/>
    <x v="0"/>
    <d v="2015-05-18T12:49:00"/>
    <x v="1"/>
    <x v="0"/>
    <x v="3"/>
    <n v="0.5"/>
    <m/>
    <n v="83"/>
    <n v="83"/>
  </r>
  <r>
    <s v="SBG - Desktop"/>
    <x v="0"/>
    <s v="New Feature"/>
    <s v="DESK-2142"/>
    <s v="Omni Channel integration"/>
    <s v="New Feature"/>
    <x v="0"/>
    <d v="2015-05-19T18:31:00"/>
    <x v="1"/>
    <x v="0"/>
    <x v="7"/>
    <n v="2"/>
    <m/>
    <n v="83"/>
    <n v="83"/>
  </r>
  <r>
    <s v="SBG - Desktop"/>
    <x v="2"/>
    <s v="Sub-task"/>
    <s v="DESK-2143"/>
    <s v="DESK-2141&gt; Prescription status is wrong when select &quot;E-Mail later&quot; option"/>
    <s v="Sub-task"/>
    <x v="0"/>
    <d v="2015-05-04T15:23:00"/>
    <x v="1"/>
    <x v="0"/>
    <x v="6"/>
    <n v="2"/>
    <m/>
    <n v="141.1"/>
    <n v="24.900000000000002"/>
  </r>
  <r>
    <s v="SBG - Desktop"/>
    <x v="2"/>
    <s v="Sub-task"/>
    <s v="DESK-2145"/>
    <s v="DESK-2141&gt; The Difference and Recommend div should not be displayed by default"/>
    <s v="Sub-task"/>
    <x v="0"/>
    <d v="2015-05-04T17:45:00"/>
    <x v="1"/>
    <x v="0"/>
    <x v="6"/>
    <n v="4"/>
    <m/>
    <n v="141.1"/>
    <n v="24.900000000000002"/>
  </r>
  <r>
    <s v="SBG - Desktop"/>
    <x v="0"/>
    <s v="Sub-task"/>
    <s v="DESK-2146"/>
    <s v="DESK-2141&gt; CSS issue on send-later page"/>
    <s v="Sub-task"/>
    <x v="0"/>
    <d v="2015-05-05T14:34:00"/>
    <x v="1"/>
    <x v="0"/>
    <x v="7"/>
    <n v="1.5"/>
    <m/>
    <n v="83"/>
    <n v="83"/>
  </r>
  <r>
    <s v="SBG - Desktop"/>
    <x v="2"/>
    <s v="Sub-task"/>
    <s v="DESK-2147"/>
    <s v="DESK-2141&gt; The font of &quot;:)&quot; is incorrect."/>
    <s v="Sub-task"/>
    <x v="0"/>
    <d v="2015-05-04T15:32:00"/>
    <x v="1"/>
    <x v="0"/>
    <x v="6"/>
    <n v="0.5"/>
    <m/>
    <n v="141.1"/>
    <n v="24.900000000000002"/>
  </r>
  <r>
    <s v="SBG - Desktop"/>
    <x v="0"/>
    <s v="Sub-task"/>
    <s v="DESK-2147"/>
    <s v="DESK-2141&gt; The font of &quot;:)&quot; is incorrect."/>
    <s v="Sub-task"/>
    <x v="0"/>
    <d v="2015-05-04T15:48:00"/>
    <x v="1"/>
    <x v="0"/>
    <x v="7"/>
    <n v="0.5"/>
    <m/>
    <n v="83"/>
    <n v="83"/>
  </r>
  <r>
    <s v="SBG - Desktop"/>
    <x v="2"/>
    <s v="Sub-task"/>
    <s v="DESK-2149"/>
    <s v="DESK-2141&gt; RX PHASE 2 - summary button"/>
    <s v="Sub-task"/>
    <x v="0"/>
    <d v="2015-05-05T11:44:00"/>
    <x v="1"/>
    <x v="0"/>
    <x v="6"/>
    <n v="0.5"/>
    <m/>
    <n v="141.1"/>
    <n v="24.900000000000002"/>
  </r>
  <r>
    <s v="SBG - Desktop"/>
    <x v="2"/>
    <s v="Sub-task"/>
    <s v="DESK-2149"/>
    <s v="DESK-2141&gt; RX PHASE 2 - summary button"/>
    <s v="Sub-task"/>
    <x v="0"/>
    <d v="2015-05-13T10:28:00"/>
    <x v="1"/>
    <x v="0"/>
    <x v="6"/>
    <n v="0.5"/>
    <m/>
    <n v="141.1"/>
    <n v="24.900000000000002"/>
  </r>
  <r>
    <s v="SBG - Desktop"/>
    <x v="2"/>
    <s v="Sub-task"/>
    <s v="DESK-2150"/>
    <s v="DESK-2141&gt; RX PHASE2 - Scroll position"/>
    <s v="Sub-task"/>
    <x v="0"/>
    <d v="2015-05-05T14:28:00"/>
    <x v="1"/>
    <x v="0"/>
    <x v="6"/>
    <n v="1"/>
    <m/>
    <n v="141.1"/>
    <n v="24.900000000000002"/>
  </r>
  <r>
    <s v="SBG - Desktop"/>
    <x v="2"/>
    <s v="Sub-task"/>
    <s v="DESK-2151"/>
    <s v="DESK-2141&gt; RX PHASE2 - remove button txt"/>
    <s v="Sub-task"/>
    <x v="0"/>
    <d v="2015-05-07T15:56:00"/>
    <x v="1"/>
    <x v="0"/>
    <x v="6"/>
    <n v="1.5"/>
    <m/>
    <n v="141.1"/>
    <n v="24.900000000000002"/>
  </r>
  <r>
    <s v="SBG - Desktop"/>
    <x v="2"/>
    <s v="Sub-task"/>
    <s v="DESK-2153"/>
    <s v="DESK-2141&gt; RX PHASE 2 - AUTO-RESPONDER"/>
    <s v="Sub-task"/>
    <x v="0"/>
    <d v="2015-05-05T12:18:00"/>
    <x v="1"/>
    <x v="0"/>
    <x v="9"/>
    <n v="1.5"/>
    <m/>
    <n v="141.1"/>
    <n v="24.900000000000002"/>
  </r>
  <r>
    <s v="SBG - Desktop"/>
    <x v="2"/>
    <s v="Sub-task"/>
    <s v="DESK-2153"/>
    <s v="DESK-2141&gt; RX PHASE 2 - AUTO-RESPONDER"/>
    <s v="Sub-task"/>
    <x v="0"/>
    <d v="2015-05-12T19:20:00"/>
    <x v="1"/>
    <x v="0"/>
    <x v="9"/>
    <n v="1"/>
    <m/>
    <n v="141.1"/>
    <n v="24.900000000000002"/>
  </r>
  <r>
    <s v="SBG - Desktop"/>
    <x v="2"/>
    <s v="Sub-task"/>
    <s v="DESK-2154"/>
    <s v="DESK-2141&gt; RX PHASE 2 - Thank you page"/>
    <s v="Sub-task"/>
    <x v="0"/>
    <d v="2015-05-08T11:21:00"/>
    <x v="1"/>
    <x v="0"/>
    <x v="6"/>
    <n v="2"/>
    <m/>
    <n v="141.1"/>
    <n v="24.900000000000002"/>
  </r>
  <r>
    <s v="SBG - Desktop"/>
    <x v="2"/>
    <s v="Sub-task"/>
    <s v="DESK-2158"/>
    <s v="DESK-2141&gt; RX PHASE 2 - Cart Page"/>
    <s v="Sub-task"/>
    <x v="0"/>
    <d v="2015-05-05T16:55:00"/>
    <x v="1"/>
    <x v="0"/>
    <x v="6"/>
    <n v="1"/>
    <m/>
    <n v="141.1"/>
    <n v="24.900000000000002"/>
  </r>
  <r>
    <s v="SBG - Desktop"/>
    <x v="2"/>
    <s v="Sub-task"/>
    <s v="DESK-2159"/>
    <s v="DESK-2141&gt; RX PHASE 2 - Step 2 Titles"/>
    <s v="Sub-task"/>
    <x v="0"/>
    <d v="2015-05-05T11:54:00"/>
    <x v="1"/>
    <x v="0"/>
    <x v="6"/>
    <n v="1"/>
    <m/>
    <n v="141.1"/>
    <n v="24.900000000000002"/>
  </r>
  <r>
    <s v="SBG - Desktop"/>
    <x v="2"/>
    <s v="Sub-task"/>
    <s v="DESK-2162"/>
    <s v="DESK-2141&gt; No need to displayed &quot;View locations&quot; link before OMNI function launched"/>
    <s v="Sub-task"/>
    <x v="0"/>
    <d v="2015-05-05T11:48:00"/>
    <x v="1"/>
    <x v="0"/>
    <x v="6"/>
    <n v="0.5"/>
    <m/>
    <n v="141.1"/>
    <n v="24.900000000000002"/>
  </r>
  <r>
    <s v="SBG - Desktop"/>
    <x v="2"/>
    <s v="Sub-task"/>
    <s v="DESK-2163"/>
    <s v="DESK-2141&gt; Two picture are generated on noncdn server when upload one picture."/>
    <s v="Sub-task"/>
    <x v="0"/>
    <d v="2015-05-05T14:39:00"/>
    <x v="1"/>
    <x v="0"/>
    <x v="6"/>
    <n v="1"/>
    <m/>
    <n v="141.1"/>
    <n v="24.900000000000002"/>
  </r>
  <r>
    <s v="SBG - Desktop"/>
    <x v="2"/>
    <s v="Sub-task"/>
    <s v="DESK-2164"/>
    <s v="DESK-2141&gt; RX PHASE 2 - PROVIDE DETAILS - Upload file page issues"/>
    <s v="Sub-task"/>
    <x v="0"/>
    <d v="2015-05-05T15:32:00"/>
    <x v="1"/>
    <x v="0"/>
    <x v="6"/>
    <n v="2"/>
    <m/>
    <n v="141.1"/>
    <n v="24.900000000000002"/>
  </r>
  <r>
    <s v="SBG - Desktop"/>
    <x v="2"/>
    <s v="Sub-task"/>
    <s v="DESK-2165"/>
    <s v="DESK-2141&gt; Recommend package do not update after update the prescription details"/>
    <s v="Sub-task"/>
    <x v="0"/>
    <d v="2015-05-06T15:40:00"/>
    <x v="1"/>
    <x v="0"/>
    <x v="6"/>
    <n v="3"/>
    <m/>
    <n v="141.1"/>
    <n v="24.900000000000002"/>
  </r>
  <r>
    <s v="SBG - Desktop"/>
    <x v="2"/>
    <s v="Sub-task"/>
    <s v="DESK-2166"/>
    <s v="DESK-2141&gt; RX PHASE 2 - Landing page - package drop down"/>
    <s v="Sub-task"/>
    <x v="0"/>
    <d v="2015-05-06T17:51:00"/>
    <x v="1"/>
    <x v="0"/>
    <x v="6"/>
    <n v="0.5"/>
    <m/>
    <n v="141.1"/>
    <n v="24.900000000000002"/>
  </r>
  <r>
    <s v="SBG - Desktop"/>
    <x v="2"/>
    <s v="Sub-task"/>
    <s v="DESK-2166"/>
    <s v="DESK-2141&gt; RX PHASE 2 - Landing page - package drop down"/>
    <s v="Sub-task"/>
    <x v="0"/>
    <d v="2015-05-18T19:22:00"/>
    <x v="1"/>
    <x v="0"/>
    <x v="4"/>
    <n v="2"/>
    <m/>
    <n v="83"/>
    <n v="83"/>
  </r>
  <r>
    <s v="SBG - Desktop"/>
    <x v="2"/>
    <s v="Sub-task"/>
    <s v="DESK-2167"/>
    <s v="DESK-2141&gt; RX PHASE 2 - Landing Page - Additional Information bxo"/>
    <s v="Sub-task"/>
    <x v="0"/>
    <d v="2015-05-05T16:37:00"/>
    <x v="1"/>
    <x v="0"/>
    <x v="6"/>
    <n v="0.5"/>
    <m/>
    <n v="141.1"/>
    <n v="24.900000000000002"/>
  </r>
  <r>
    <s v="SBG - Desktop"/>
    <x v="2"/>
    <s v="Sub-task"/>
    <s v="DESK-2168"/>
    <s v="DESK-2141&gt; RX PHASE 2 - Landing page - Manual Entry"/>
    <s v="Sub-task"/>
    <x v="0"/>
    <d v="2015-05-06T17:50:00"/>
    <x v="1"/>
    <x v="0"/>
    <x v="6"/>
    <n v="2"/>
    <m/>
    <n v="141.1"/>
    <n v="24.900000000000002"/>
  </r>
  <r>
    <s v="SBG - Desktop"/>
    <x v="2"/>
    <s v="Sub-task"/>
    <s v="DESK-2169"/>
    <s v="DESK-2141&gt; RX PHASE 2 - Landing page - details confirmed 'edit details' button"/>
    <s v="Sub-task"/>
    <x v="0"/>
    <d v="2015-05-05T15:57:00"/>
    <x v="1"/>
    <x v="0"/>
    <x v="6"/>
    <n v="0.5"/>
    <m/>
    <n v="141.1"/>
    <n v="24.900000000000002"/>
  </r>
  <r>
    <s v="SBG - Desktop"/>
    <x v="2"/>
    <s v="Sub-task"/>
    <s v="DESK-2170"/>
    <s v="DESK-2141&gt; Don't show difference and Total difference if price do not change"/>
    <s v="Sub-task"/>
    <x v="0"/>
    <d v="2015-05-05T15:40:00"/>
    <x v="1"/>
    <x v="0"/>
    <x v="6"/>
    <n v="0.5"/>
    <m/>
    <n v="141.1"/>
    <n v="24.900000000000002"/>
  </r>
  <r>
    <s v="SBG - Desktop"/>
    <x v="2"/>
    <s v="Sub-task"/>
    <s v="DESK-2170"/>
    <s v="DESK-2141&gt; Don't show difference and Total difference if price do not change"/>
    <s v="Sub-task"/>
    <x v="0"/>
    <d v="2015-05-05T15:53:00"/>
    <x v="1"/>
    <x v="0"/>
    <x v="6"/>
    <n v="0.5"/>
    <m/>
    <n v="141.1"/>
    <n v="24.900000000000002"/>
  </r>
  <r>
    <s v="SBG - Desktop"/>
    <x v="2"/>
    <s v="Sub-task"/>
    <s v="DESK-2171"/>
    <s v="DESK-2141&gt; RX PHASE 2 - Uploaded details -- THANK YOU PAGE"/>
    <s v="Sub-task"/>
    <x v="0"/>
    <d v="2015-05-07T18:33:00"/>
    <x v="1"/>
    <x v="0"/>
    <x v="4"/>
    <n v="2.5"/>
    <m/>
    <n v="83"/>
    <n v="83"/>
  </r>
  <r>
    <s v="SBG - Desktop"/>
    <x v="2"/>
    <s v="Sub-task"/>
    <s v="DESK-2171"/>
    <s v="DESK-2141&gt; RX PHASE 2 - Uploaded details -- THANK YOU PAGE"/>
    <s v="Sub-task"/>
    <x v="0"/>
    <d v="2015-05-08T11:05:00"/>
    <x v="1"/>
    <x v="0"/>
    <x v="6"/>
    <n v="1.5"/>
    <m/>
    <n v="141.1"/>
    <n v="24.900000000000002"/>
  </r>
  <r>
    <s v="SBG - Desktop"/>
    <x v="2"/>
    <s v="Sub-task"/>
    <s v="DESK-2171"/>
    <s v="DESK-2141&gt; RX PHASE 2 - Uploaded details -- THANK YOU PAGE"/>
    <s v="Sub-task"/>
    <x v="0"/>
    <d v="2015-05-08T18:40:00"/>
    <x v="1"/>
    <x v="0"/>
    <x v="4"/>
    <n v="2.5"/>
    <m/>
    <n v="83"/>
    <n v="83"/>
  </r>
  <r>
    <s v="SBG - Desktop"/>
    <x v="2"/>
    <s v="Sub-task"/>
    <s v="DESK-2172"/>
    <s v="DESK-2141&gt; Tracking code issue on &quot;ENTER MANUALLY&quot; button on send later page."/>
    <s v="Sub-task"/>
    <x v="0"/>
    <d v="2015-05-06T11:03:00"/>
    <x v="1"/>
    <x v="0"/>
    <x v="6"/>
    <n v="1"/>
    <m/>
    <n v="141.1"/>
    <n v="24.900000000000002"/>
  </r>
  <r>
    <s v="SBG - Desktop"/>
    <x v="2"/>
    <s v="Sub-task"/>
    <s v="DESK-2173"/>
    <s v="DESK-2141&gt; The &quot;Edit Detail&quot; link should not be displayed when enter send later page."/>
    <s v="Sub-task"/>
    <x v="0"/>
    <d v="2015-05-06T10:56:00"/>
    <x v="1"/>
    <x v="0"/>
    <x v="6"/>
    <n v="0.5"/>
    <m/>
    <n v="141.1"/>
    <n v="24.900000000000002"/>
  </r>
  <r>
    <s v="SBG - Desktop"/>
    <x v="2"/>
    <s v="Sub-task"/>
    <s v="DESK-2173"/>
    <s v="DESK-2141&gt; The &quot;Edit Detail&quot; link should not be displayed when enter send later page."/>
    <s v="Sub-task"/>
    <x v="0"/>
    <d v="2015-05-13T10:27:00"/>
    <x v="1"/>
    <x v="0"/>
    <x v="6"/>
    <n v="0.5"/>
    <m/>
    <n v="141.1"/>
    <n v="24.900000000000002"/>
  </r>
  <r>
    <s v="SBG - Desktop"/>
    <x v="2"/>
    <s v="Sub-task"/>
    <s v="DESK-2174"/>
    <s v="DESK-2141&gt; You selected info error when select &quot;Upload file&quot;"/>
    <s v="Sub-task"/>
    <x v="0"/>
    <d v="2015-05-06T10:54:00"/>
    <x v="1"/>
    <x v="0"/>
    <x v="6"/>
    <n v="0.5"/>
    <m/>
    <n v="141.1"/>
    <n v="24.900000000000002"/>
  </r>
  <r>
    <s v="SBG - Desktop"/>
    <x v="2"/>
    <s v="Sub-task"/>
    <s v="DESK-2175"/>
    <s v="DESK-2141&gt; Page should not close the &quot;Upload File&quot; div after click &quot;X&quot; to remove the upload file."/>
    <s v="Sub-task"/>
    <x v="0"/>
    <d v="2015-05-07T15:30:00"/>
    <x v="1"/>
    <x v="0"/>
    <x v="6"/>
    <n v="1.5"/>
    <m/>
    <n v="141.1"/>
    <n v="24.900000000000002"/>
  </r>
  <r>
    <s v="SBG - Desktop"/>
    <x v="2"/>
    <s v="Sub-task"/>
    <s v="DESK-2176"/>
    <s v="DESK-2141&gt; No tracking code on &quot;Edit&quot; link on send later page."/>
    <s v="Sub-task"/>
    <x v="0"/>
    <d v="2015-05-05T18:33:00"/>
    <x v="1"/>
    <x v="0"/>
    <x v="6"/>
    <n v="1"/>
    <m/>
    <n v="141.1"/>
    <n v="24.900000000000002"/>
  </r>
  <r>
    <s v="SBG - Desktop"/>
    <x v="2"/>
    <s v="Sub-task"/>
    <s v="DESK-2177"/>
    <s v="DESK-2141&gt; RX PHASE 2 - OM EDIT - keep all values"/>
    <s v="Sub-task"/>
    <x v="0"/>
    <d v="2015-05-12T19:19:00"/>
    <x v="1"/>
    <x v="0"/>
    <x v="9"/>
    <n v="3"/>
    <m/>
    <n v="141.1"/>
    <n v="24.900000000000002"/>
  </r>
  <r>
    <s v="SBG - Desktop"/>
    <x v="2"/>
    <s v="Sub-task"/>
    <s v="DESK-2178"/>
    <s v="DESK-2141&gt; click survey page shows error"/>
    <s v="Sub-task"/>
    <x v="0"/>
    <d v="2015-05-07T14:06:00"/>
    <x v="1"/>
    <x v="0"/>
    <x v="6"/>
    <n v="1"/>
    <m/>
    <n v="141.1"/>
    <n v="24.900000000000002"/>
  </r>
  <r>
    <s v="SBG - Desktop"/>
    <x v="2"/>
    <s v="Sub-task"/>
    <s v="DESK-2179"/>
    <s v="DESK-2141&gt; The ADD column is still enabled when select Distance Ware"/>
    <s v="Sub-task"/>
    <x v="0"/>
    <d v="2015-05-07T16:37:00"/>
    <x v="1"/>
    <x v="0"/>
    <x v="6"/>
    <n v="1"/>
    <m/>
    <n v="141.1"/>
    <n v="24.900000000000002"/>
  </r>
  <r>
    <s v="SBG - Desktop"/>
    <x v="2"/>
    <s v="Sub-task"/>
    <s v="DESK-2180"/>
    <s v="DESK-2141&gt; The info is incorrect when mouse over question mark on Difference price."/>
    <s v="Sub-task"/>
    <x v="0"/>
    <d v="2015-05-07T16:44:00"/>
    <x v="1"/>
    <x v="0"/>
    <x v="6"/>
    <n v="1"/>
    <m/>
    <n v="141.1"/>
    <n v="24.900000000000002"/>
  </r>
  <r>
    <s v="SBG - Desktop"/>
    <x v="2"/>
    <s v="Sub-task"/>
    <s v="DESK-2182"/>
    <s v="DESK-2141&gt; PD and Near PD info are not displayed on send later page after confirm."/>
    <s v="Sub-task"/>
    <x v="0"/>
    <d v="2015-05-07T17:51:00"/>
    <x v="1"/>
    <x v="0"/>
    <x v="6"/>
    <n v="2"/>
    <m/>
    <n v="141.1"/>
    <n v="24.900000000000002"/>
  </r>
  <r>
    <s v="SBG - Desktop"/>
    <x v="0"/>
    <s v="Sub-task"/>
    <s v="DESK-2183"/>
    <s v="DESK-2141&gt; Total difference price CSS issue."/>
    <s v="Sub-task"/>
    <x v="0"/>
    <d v="2015-05-11T18:36:00"/>
    <x v="1"/>
    <x v="0"/>
    <x v="7"/>
    <n v="1"/>
    <m/>
    <n v="83"/>
    <n v="83"/>
  </r>
  <r>
    <s v="SBG - Desktop"/>
    <x v="2"/>
    <s v="Sub-task"/>
    <s v="DESK-2183"/>
    <s v="DESK-2141&gt; Total difference price CSS issue."/>
    <s v="Sub-task"/>
    <x v="0"/>
    <d v="2015-05-12T17:54:00"/>
    <x v="1"/>
    <x v="0"/>
    <x v="6"/>
    <n v="0.5"/>
    <m/>
    <n v="141.1"/>
    <n v="24.900000000000002"/>
  </r>
  <r>
    <s v="SBG - Desktop"/>
    <x v="0"/>
    <s v="Sub-task"/>
    <s v="DESK-2183"/>
    <s v="DESK-2141&gt; Total difference price CSS issue."/>
    <s v="Sub-task"/>
    <x v="0"/>
    <d v="2015-05-12T18:10:00"/>
    <x v="1"/>
    <x v="0"/>
    <x v="7"/>
    <n v="1.5"/>
    <m/>
    <n v="83"/>
    <n v="83"/>
  </r>
  <r>
    <s v="SBG - Desktop"/>
    <x v="2"/>
    <s v="Sub-task"/>
    <s v="DESK-2184"/>
    <s v="DESK-2141&gt; No tracking code on &quot;Confirm&quot; button on send later page Enter Manually function"/>
    <s v="Sub-task"/>
    <x v="0"/>
    <d v="2015-05-07T17:58:00"/>
    <x v="1"/>
    <x v="0"/>
    <x v="6"/>
    <n v="0.5"/>
    <m/>
    <n v="141.1"/>
    <n v="24.900000000000002"/>
  </r>
  <r>
    <s v="SBG - Desktop"/>
    <x v="2"/>
    <s v="Sub-task"/>
    <s v="DESK-2185"/>
    <s v="DESK-2141&gt; Do not scroll back to prescription section when click &quot;Confirm&quot; button with RED Error message displayed."/>
    <s v="Sub-task"/>
    <x v="0"/>
    <d v="2015-05-08T10:05:00"/>
    <x v="1"/>
    <x v="0"/>
    <x v="6"/>
    <n v="1"/>
    <m/>
    <n v="141.1"/>
    <n v="24.900000000000002"/>
  </r>
  <r>
    <s v="SBG - Desktop"/>
    <x v="2"/>
    <s v="Sub-task"/>
    <s v="DESK-2186"/>
    <s v="DESK-2141&gt; Page should scroll up to show total Difference after use &quot;Confirm&quot; the prescription."/>
    <s v="Sub-task"/>
    <x v="0"/>
    <d v="2015-05-08T10:27:00"/>
    <x v="1"/>
    <x v="0"/>
    <x v="6"/>
    <n v="1"/>
    <m/>
    <n v="141.1"/>
    <n v="24.900000000000002"/>
  </r>
  <r>
    <s v="SBG - Desktop"/>
    <x v="2"/>
    <s v="Sub-task"/>
    <s v="DESK-2187"/>
    <s v="DESK-2141&gt; Difference price displayed with nothing changed."/>
    <s v="Sub-task"/>
    <x v="0"/>
    <d v="2015-05-08T16:21:00"/>
    <x v="1"/>
    <x v="0"/>
    <x v="6"/>
    <n v="1"/>
    <m/>
    <n v="141.1"/>
    <n v="24.900000000000002"/>
  </r>
  <r>
    <s v="SBG - Desktop"/>
    <x v="2"/>
    <s v="Sub-task"/>
    <s v="DESK-2187"/>
    <s v="DESK-2141&gt; Difference price displayed with nothing changed."/>
    <s v="Sub-task"/>
    <x v="0"/>
    <d v="2015-05-14T11:49:00"/>
    <x v="1"/>
    <x v="0"/>
    <x v="6"/>
    <n v="1"/>
    <m/>
    <n v="141.1"/>
    <n v="24.900000000000002"/>
  </r>
  <r>
    <s v="SBG - Desktop"/>
    <x v="2"/>
    <s v="Sub-task"/>
    <s v="DESK-2187"/>
    <s v="DESK-2141&gt; Difference price displayed with nothing changed."/>
    <s v="Sub-task"/>
    <x v="0"/>
    <d v="2015-05-14T16:17:00"/>
    <x v="1"/>
    <x v="0"/>
    <x v="6"/>
    <n v="2"/>
    <m/>
    <n v="141.1"/>
    <n v="24.900000000000002"/>
  </r>
  <r>
    <s v="SBG - Desktop"/>
    <x v="2"/>
    <s v="Sub-task"/>
    <s v="DESK-2188"/>
    <s v="DESK-2141&gt; NO &quot;ENTER ALL DETAILS&quot; button displayed when user order 4 products."/>
    <s v="Sub-task"/>
    <x v="0"/>
    <d v="2015-05-08T15:24:00"/>
    <x v="1"/>
    <x v="0"/>
    <x v="6"/>
    <n v="1.5"/>
    <m/>
    <n v="141.1"/>
    <n v="24.900000000000002"/>
  </r>
  <r>
    <s v="SBG - Desktop"/>
    <x v="2"/>
    <s v="Sub-task"/>
    <s v="DESK-2189"/>
    <s v="DESK-2141&gt; The &quot;Submit Detail&quot; button is clickable when open the send later page."/>
    <s v="Sub-task"/>
    <x v="0"/>
    <d v="2015-05-08T16:20:00"/>
    <x v="1"/>
    <x v="0"/>
    <x v="6"/>
    <n v="1"/>
    <m/>
    <n v="141.1"/>
    <n v="24.900000000000002"/>
  </r>
  <r>
    <s v="SBG - Desktop"/>
    <x v="2"/>
    <s v="Sub-task"/>
    <s v="DESK-2192"/>
    <s v="DESK-2141&gt; Can not be clickable the whole line, just the button can be clickable."/>
    <s v="Sub-task"/>
    <x v="0"/>
    <d v="2015-05-12T17:37:00"/>
    <x v="1"/>
    <x v="0"/>
    <x v="6"/>
    <n v="1.5"/>
    <m/>
    <n v="141.1"/>
    <n v="24.900000000000002"/>
  </r>
  <r>
    <s v="SBG - Desktop"/>
    <x v="2"/>
    <s v="Sub-task"/>
    <s v="DESK-2195"/>
    <s v="DESK-2141&gt; RX PHASE 2 - Upload page recommended package"/>
    <s v="Sub-task"/>
    <x v="0"/>
    <d v="2015-05-13T10:47:00"/>
    <x v="1"/>
    <x v="0"/>
    <x v="6"/>
    <n v="1"/>
    <m/>
    <n v="141.1"/>
    <n v="24.900000000000002"/>
  </r>
  <r>
    <s v="SBG - Desktop"/>
    <x v="2"/>
    <s v="Sub-task"/>
    <s v="DESK-2196"/>
    <s v="DESK-2141&gt; RX PHASE 2 - Upload page tints"/>
    <s v="Sub-task"/>
    <x v="0"/>
    <d v="2015-05-13T10:52:00"/>
    <x v="1"/>
    <x v="0"/>
    <x v="6"/>
    <n v="1"/>
    <m/>
    <n v="141.1"/>
    <n v="24.900000000000002"/>
  </r>
  <r>
    <s v="SBG - Desktop"/>
    <x v="2"/>
    <s v="Sub-task"/>
    <s v="DESK-2197"/>
    <s v="DESK-2141&gt; RX PHASE 2 - UPLOAD PAGE (recommendation, $229?)"/>
    <s v="Sub-task"/>
    <x v="0"/>
    <d v="2015-05-13T14:24:00"/>
    <x v="1"/>
    <x v="0"/>
    <x v="6"/>
    <n v="1"/>
    <m/>
    <n v="141.1"/>
    <n v="24.900000000000002"/>
  </r>
  <r>
    <s v="SBG - Desktop"/>
    <x v="2"/>
    <s v="Sub-task"/>
    <s v="DESK-2198"/>
    <s v="DESK-2141&gt; RX Phase 2 - AR contact_us_1 does not work"/>
    <s v="Sub-task"/>
    <x v="0"/>
    <d v="2015-05-12T10:56:00"/>
    <x v="1"/>
    <x v="0"/>
    <x v="9"/>
    <n v="1"/>
    <m/>
    <n v="141.1"/>
    <n v="24.900000000000002"/>
  </r>
  <r>
    <s v="SBG - Desktop"/>
    <x v="2"/>
    <s v="Sub-task"/>
    <s v="DESK-2199"/>
    <s v="DESK-2141&gt; RX PHASE 2 - ADD VALUE disappears after clicking 'edit'"/>
    <s v="Sub-task"/>
    <x v="0"/>
    <d v="2015-05-12T12:33:00"/>
    <x v="1"/>
    <x v="0"/>
    <x v="9"/>
    <n v="2"/>
    <m/>
    <n v="141.1"/>
    <n v="24.900000000000002"/>
  </r>
  <r>
    <s v="SBG - Desktop"/>
    <x v="2"/>
    <s v="Sub-task"/>
    <s v="DESK-2201"/>
    <s v="DESK-2141&gt; partner-optician-feedback page should not start with HTTPS"/>
    <s v="Sub-task"/>
    <x v="0"/>
    <d v="2015-05-12T18:48:00"/>
    <x v="1"/>
    <x v="0"/>
    <x v="6"/>
    <n v="1"/>
    <m/>
    <n v="141.1"/>
    <n v="24.900000000000002"/>
  </r>
  <r>
    <s v="SBG - Desktop"/>
    <x v="2"/>
    <s v="Sub-task"/>
    <s v="DESK-2203"/>
    <s v="DESK-2141&gt; HKO Barcode and Order ID missing"/>
    <s v="Sub-task"/>
    <x v="0"/>
    <d v="2015-05-15T16:48:00"/>
    <x v="1"/>
    <x v="0"/>
    <x v="9"/>
    <n v="4"/>
    <m/>
    <n v="141.1"/>
    <n v="24.900000000000002"/>
  </r>
  <r>
    <s v="SBG - Desktop"/>
    <x v="2"/>
    <s v="Sub-task"/>
    <s v="DESK-2205"/>
    <s v="DESK-2141&gt; CSS issue on Send later page when there is a price difference"/>
    <s v="Sub-task"/>
    <x v="0"/>
    <d v="2015-05-14T11:07:00"/>
    <x v="1"/>
    <x v="0"/>
    <x v="6"/>
    <n v="0.5"/>
    <m/>
    <n v="141.1"/>
    <n v="24.900000000000002"/>
  </r>
  <r>
    <s v="SBG - Desktop"/>
    <x v="0"/>
    <s v="Sub-task"/>
    <s v="DESK-2205"/>
    <s v="DESK-2141&gt; CSS issue on Send later page when there is a price difference"/>
    <s v="Sub-task"/>
    <x v="0"/>
    <d v="2015-05-14T11:07:00"/>
    <x v="1"/>
    <x v="0"/>
    <x v="7"/>
    <n v="1.5"/>
    <m/>
    <n v="83"/>
    <n v="83"/>
  </r>
  <r>
    <s v="SBG - Desktop"/>
    <x v="2"/>
    <s v="Sub-task"/>
    <s v="DESK-2206"/>
    <s v="DESK-2141&gt; No recommend lens package displayed on send later page when user selected lens package is not available and we got a recommend lens package."/>
    <s v="Sub-task"/>
    <x v="0"/>
    <d v="2015-05-14T12:39:00"/>
    <x v="1"/>
    <x v="0"/>
    <x v="6"/>
    <n v="1"/>
    <m/>
    <n v="141.1"/>
    <n v="24.900000000000002"/>
  </r>
  <r>
    <s v="SBG - Desktop"/>
    <x v="2"/>
    <s v="Technical task"/>
    <s v="DESK-2207"/>
    <s v="DESK-2141&gt; Membership-&gt; Add prescription, &quot;Security Error&quot; when upload the file."/>
    <s v="Technical task"/>
    <x v="0"/>
    <d v="2015-05-14T17:16:00"/>
    <x v="1"/>
    <x v="0"/>
    <x v="6"/>
    <n v="2"/>
    <m/>
    <n v="141.1"/>
    <n v="24.900000000000002"/>
  </r>
  <r>
    <s v="SBG - Desktop"/>
    <x v="2"/>
    <s v="Technical task"/>
    <s v="DESK-2208"/>
    <s v="DESK-2141&gt; Submit Detail button should be gray before confirm the prescription info."/>
    <s v="Technical task"/>
    <x v="0"/>
    <d v="2015-05-14T18:24:00"/>
    <x v="1"/>
    <x v="0"/>
    <x v="6"/>
    <n v="1"/>
    <m/>
    <n v="141.1"/>
    <n v="24.900000000000002"/>
  </r>
  <r>
    <s v="SBG - Desktop"/>
    <x v="2"/>
    <s v="Technical task"/>
    <s v="DESK-2209"/>
    <s v="DESK-2141&gt; MultiServer---Synchronize the prescription detail fail"/>
    <s v="Technical task"/>
    <x v="0"/>
    <d v="2015-05-14T18:50:00"/>
    <x v="1"/>
    <x v="0"/>
    <x v="6"/>
    <n v="1"/>
    <m/>
    <n v="141.1"/>
    <n v="24.900000000000002"/>
  </r>
  <r>
    <s v="SBG - Desktop"/>
    <x v="2"/>
    <s v="Technical task"/>
    <s v="DESK-2209"/>
    <s v="DESK-2141&gt; MultiServer---Synchronize the prescription detail fail"/>
    <s v="Technical task"/>
    <x v="0"/>
    <d v="2015-05-14T19:34:00"/>
    <x v="1"/>
    <x v="0"/>
    <x v="6"/>
    <n v="1"/>
    <m/>
    <n v="141.1"/>
    <n v="24.900000000000002"/>
  </r>
  <r>
    <s v="SBG - Desktop"/>
    <x v="2"/>
    <s v="Sub-task"/>
    <s v="DESK-2210"/>
    <s v="DESK-2141&gt; RX PHASE 2 - UPLOAD PAGE - landing page issues"/>
    <s v="Sub-task"/>
    <x v="0"/>
    <d v="2015-05-13T11:09:00"/>
    <x v="1"/>
    <x v="0"/>
    <x v="6"/>
    <n v="1"/>
    <m/>
    <n v="141.1"/>
    <n v="24.900000000000002"/>
  </r>
  <r>
    <s v="SBG - Desktop"/>
    <x v="3"/>
    <s v="New Feature"/>
    <s v="DESK-2211"/>
    <s v="mother's Day Top Bar promotion - FR and SE"/>
    <s v="New Feature"/>
    <x v="0"/>
    <d v="2015-05-19T12:47:00"/>
    <x v="1"/>
    <x v="0"/>
    <x v="3"/>
    <n v="0.5"/>
    <m/>
    <n v="83"/>
    <n v="83"/>
  </r>
  <r>
    <s v="SBG - Desktop"/>
    <x v="2"/>
    <s v="New Feature"/>
    <s v="DESK-2211"/>
    <s v="mother's Day Top Bar promotion - FR and SE"/>
    <s v="New Feature"/>
    <x v="0"/>
    <d v="2015-05-20T18:53:00"/>
    <x v="1"/>
    <x v="0"/>
    <x v="4"/>
    <n v="3"/>
    <m/>
    <n v="83"/>
    <n v="83"/>
  </r>
  <r>
    <s v="SBG - Desktop"/>
    <x v="1"/>
    <s v="New Feature"/>
    <s v="DESK-2211"/>
    <s v="mother's Day Top Bar promotion - FR and SE"/>
    <s v="New Feature"/>
    <x v="0"/>
    <d v="2015-05-20T19:35:00"/>
    <x v="1"/>
    <x v="0"/>
    <x v="8"/>
    <n v="4"/>
    <m/>
    <n v="141.1"/>
    <n v="24.900000000000002"/>
  </r>
  <r>
    <s v="SBG - Desktop"/>
    <x v="0"/>
    <s v="New Feature"/>
    <s v="DESK-2212"/>
    <s v="May Bank Holidays UK and IE"/>
    <s v="New Feature"/>
    <x v="0"/>
    <d v="2015-05-20T18:25:00"/>
    <x v="1"/>
    <x v="0"/>
    <x v="7"/>
    <n v="1"/>
    <m/>
    <n v="83"/>
    <n v="83"/>
  </r>
  <r>
    <s v="SBG - Desktop"/>
    <x v="2"/>
    <s v="Technical task"/>
    <s v="DESK-2213"/>
    <s v="DESK-2141&gt; Only show Phase 2 new functions on VD"/>
    <s v="Technical task"/>
    <x v="0"/>
    <d v="2015-05-14T20:20:00"/>
    <x v="1"/>
    <x v="0"/>
    <x v="6"/>
    <n v="1"/>
    <m/>
    <n v="141.1"/>
    <n v="24.900000000000002"/>
  </r>
  <r>
    <s v="SBG - Desktop"/>
    <x v="1"/>
    <s v="Sub-task"/>
    <s v="DESK-2214"/>
    <s v="DESK-2244&gt; Prescription picture review dialog overlap text"/>
    <s v="Sub-task"/>
    <x v="0"/>
    <d v="2015-05-18T16:24:00"/>
    <x v="1"/>
    <x v="0"/>
    <x v="1"/>
    <n v="0.5"/>
    <m/>
    <n v="141.1"/>
    <n v="24.900000000000002"/>
  </r>
  <r>
    <s v="SBG - Desktop"/>
    <x v="0"/>
    <s v="Sub-task"/>
    <s v="DESK-2219"/>
    <s v="DESK-2142&gt; CSS tweaks"/>
    <s v="Sub-task"/>
    <x v="0"/>
    <d v="2015-05-19T11:58:00"/>
    <x v="1"/>
    <x v="0"/>
    <x v="7"/>
    <n v="0.66700000000000004"/>
    <m/>
    <n v="83"/>
    <n v="83"/>
  </r>
  <r>
    <s v="SBG - Desktop"/>
    <x v="2"/>
    <s v="Sub-task"/>
    <s v="DESK-2220"/>
    <s v="DESK-2142&gt; Restore the OMNICHANNEL text in RX p2"/>
    <s v="Sub-task"/>
    <x v="0"/>
    <d v="2015-05-19T14:29:00"/>
    <x v="1"/>
    <x v="0"/>
    <x v="6"/>
    <n v="2"/>
    <m/>
    <n v="141.1"/>
    <n v="24.900000000000002"/>
  </r>
  <r>
    <s v="SBG - Desktop"/>
    <x v="2"/>
    <s v="Task"/>
    <s v="DESK-2231"/>
    <s v="Clearance Page Promotion"/>
    <s v="Task"/>
    <x v="0"/>
    <d v="2015-05-26T07:47:00"/>
    <x v="1"/>
    <x v="0"/>
    <x v="10"/>
    <n v="7"/>
    <m/>
    <n v="141.1"/>
    <n v="24.900000000000002"/>
  </r>
  <r>
    <s v="SBG - Desktop"/>
    <x v="1"/>
    <s v="Sub-task"/>
    <s v="DESK-2232"/>
    <s v="DESK-2235&gt; Small translation issue in brand and brand_0 sitemaps"/>
    <s v="Sub-task"/>
    <x v="0"/>
    <d v="2015-05-26T18:05:00"/>
    <x v="1"/>
    <x v="0"/>
    <x v="1"/>
    <n v="1"/>
    <m/>
    <n v="141.1"/>
    <n v="24.900000000000002"/>
  </r>
  <r>
    <s v="SBG - Desktop"/>
    <x v="2"/>
    <s v="Sub-task"/>
    <s v="DESK-2232"/>
    <s v="DESK-2235&gt; Small translation issue in brand and brand_0 sitemaps"/>
    <s v="Sub-task"/>
    <x v="0"/>
    <d v="2015-05-27T10:14:00"/>
    <x v="1"/>
    <x v="0"/>
    <x v="11"/>
    <n v="6"/>
    <s v="Done for all sitemaps for all properties. Tests needed. Done only for desktop now."/>
    <n v="141.1"/>
    <n v="24.900000000000002"/>
  </r>
  <r>
    <s v="SBG - Desktop"/>
    <x v="2"/>
    <s v="Sub-task"/>
    <s v="DESK-2233"/>
    <s v="DESK-2235&gt; Hyphen issue for brands and brands_0 sitemaps"/>
    <s v="Sub-task"/>
    <x v="0"/>
    <d v="2015-05-27T18:57:00"/>
    <x v="1"/>
    <x v="0"/>
    <x v="11"/>
    <n v="2"/>
    <s v="fixed. Now in local testing."/>
    <n v="141.1"/>
    <n v="24.900000000000002"/>
  </r>
  <r>
    <s v="SBG - Desktop"/>
    <x v="2"/>
    <s v="Sub-task"/>
    <s v="DESK-2234"/>
    <s v="DESK-2235&gt; Hyphen issue for some sitemaps General"/>
    <s v="Sub-task"/>
    <x v="0"/>
    <d v="2015-05-28T10:28:00"/>
    <x v="1"/>
    <x v="0"/>
    <x v="11"/>
    <n v="1"/>
    <s v="done for general"/>
    <n v="141.1"/>
    <n v="24.900000000000002"/>
  </r>
  <r>
    <s v="SBG - Desktop"/>
    <x v="2"/>
    <s v="New Feature"/>
    <s v="DESK-2235"/>
    <s v="Sitemaps update - HREF lang for all pages"/>
    <s v="New Feature"/>
    <x v="0"/>
    <d v="2015-05-13T16:20:00"/>
    <x v="1"/>
    <x v="0"/>
    <x v="11"/>
    <n v="16"/>
    <s v="General and Brands done."/>
    <n v="141.1"/>
    <n v="24.900000000000002"/>
  </r>
  <r>
    <s v="SBG - Desktop"/>
    <x v="2"/>
    <s v="New Feature"/>
    <s v="DESK-2235"/>
    <s v="Sitemaps update - HREF lang for all pages"/>
    <s v="New Feature"/>
    <x v="0"/>
    <d v="2015-05-13T17:03:00"/>
    <x v="1"/>
    <x v="0"/>
    <x v="11"/>
    <n v="2"/>
    <s v="SPORTS done. checking needed."/>
    <n v="141.1"/>
    <n v="24.900000000000002"/>
  </r>
  <r>
    <s v="SBG - Desktop"/>
    <x v="2"/>
    <s v="New Feature"/>
    <s v="DESK-2235"/>
    <s v="Sitemaps update - HREF lang for all pages"/>
    <s v="New Feature"/>
    <x v="0"/>
    <d v="2015-05-13T17:34:00"/>
    <x v="1"/>
    <x v="0"/>
    <x v="11"/>
    <n v="1"/>
    <s v="CONTENT done"/>
    <n v="141.1"/>
    <n v="24.900000000000002"/>
  </r>
  <r>
    <s v="SBG - Desktop"/>
    <x v="2"/>
    <s v="New Feature"/>
    <s v="DESK-2235"/>
    <s v="Sitemaps update - HREF lang for all pages"/>
    <s v="New Feature"/>
    <x v="0"/>
    <d v="2015-05-13T18:38:00"/>
    <x v="1"/>
    <x v="0"/>
    <x v="11"/>
    <n v="2"/>
    <s v="CONTACT LENSES LANDING, CONTACT LENSES PRODUCT"/>
    <n v="141.1"/>
    <n v="24.900000000000002"/>
  </r>
  <r>
    <s v="SBG - Desktop"/>
    <x v="1"/>
    <s v="New Feature"/>
    <s v="DESK-2235"/>
    <s v="Sitemaps update - HREF lang for all pages"/>
    <s v="New Feature"/>
    <x v="0"/>
    <d v="2015-05-15T19:04:00"/>
    <x v="1"/>
    <x v="0"/>
    <x v="1"/>
    <n v="2.5"/>
    <m/>
    <n v="141.1"/>
    <n v="24.900000000000002"/>
  </r>
  <r>
    <s v="SBG - Desktop"/>
    <x v="1"/>
    <s v="New Feature"/>
    <s v="DESK-2235"/>
    <s v="Sitemaps update - HREF lang for all pages"/>
    <s v="New Feature"/>
    <x v="0"/>
    <d v="2015-05-18T12:27:00"/>
    <x v="1"/>
    <x v="0"/>
    <x v="1"/>
    <n v="3"/>
    <m/>
    <n v="141.1"/>
    <n v="24.900000000000002"/>
  </r>
  <r>
    <s v="SBG - Desktop"/>
    <x v="2"/>
    <s v="New Feature"/>
    <s v="DESK-2235"/>
    <s v="Sitemaps update - HREF lang for all pages"/>
    <s v="New Feature"/>
    <x v="0"/>
    <d v="2015-05-19T14:51:00"/>
    <x v="1"/>
    <x v="0"/>
    <x v="11"/>
    <n v="1"/>
    <s v="Commited cheching on the nosale brands at desktop version. Now there is checking from nosale_brand table at hreflang part and at the main part for all brands. \sbg4.10.3\application\default\models\SitemapModel.php"/>
    <n v="141.1"/>
    <n v="24.900000000000002"/>
  </r>
  <r>
    <s v="SBG - Desktop"/>
    <x v="1"/>
    <s v="New Feature"/>
    <s v="DESK-2235"/>
    <s v="Sitemaps update - HREF lang for all pages"/>
    <s v="New Feature"/>
    <x v="0"/>
    <d v="2015-05-19T18:40:00"/>
    <x v="1"/>
    <x v="0"/>
    <x v="1"/>
    <n v="6"/>
    <m/>
    <n v="141.1"/>
    <n v="24.900000000000002"/>
  </r>
  <r>
    <s v="SBG - Desktop"/>
    <x v="1"/>
    <s v="New Feature"/>
    <s v="DESK-2235"/>
    <s v="Sitemaps update - HREF lang for all pages"/>
    <s v="New Feature"/>
    <x v="0"/>
    <d v="2015-05-20T18:39:00"/>
    <x v="1"/>
    <x v="0"/>
    <x v="1"/>
    <n v="4"/>
    <m/>
    <n v="141.1"/>
    <n v="24.900000000000002"/>
  </r>
  <r>
    <s v="SBG - Desktop"/>
    <x v="1"/>
    <s v="New Feature"/>
    <s v="DESK-2235"/>
    <s v="Sitemaps update - HREF lang for all pages"/>
    <s v="New Feature"/>
    <x v="0"/>
    <d v="2015-05-21T12:08:00"/>
    <x v="1"/>
    <x v="0"/>
    <x v="1"/>
    <n v="3"/>
    <m/>
    <n v="141.1"/>
    <n v="24.900000000000002"/>
  </r>
  <r>
    <s v="SBG - Desktop"/>
    <x v="1"/>
    <s v="New Feature"/>
    <s v="DESK-2235"/>
    <s v="Sitemaps update - HREF lang for all pages"/>
    <s v="New Feature"/>
    <x v="0"/>
    <d v="2015-05-22T12:09:00"/>
    <x v="1"/>
    <x v="0"/>
    <x v="1"/>
    <n v="4"/>
    <m/>
    <n v="141.1"/>
    <n v="24.900000000000002"/>
  </r>
  <r>
    <s v="SBG - Desktop"/>
    <x v="1"/>
    <s v="New Feature"/>
    <s v="DESK-2235"/>
    <s v="Sitemaps update - HREF lang for all pages"/>
    <s v="New Feature"/>
    <x v="0"/>
    <d v="2015-05-25T18:30:00"/>
    <x v="1"/>
    <x v="0"/>
    <x v="1"/>
    <n v="2"/>
    <m/>
    <n v="141.1"/>
    <n v="24.900000000000002"/>
  </r>
  <r>
    <s v="SBG - Desktop"/>
    <x v="1"/>
    <s v="New Feature"/>
    <s v="DESK-2235"/>
    <s v="Sitemaps update - HREF lang for all pages"/>
    <s v="New Feature"/>
    <x v="0"/>
    <d v="2015-05-26T18:33:00"/>
    <x v="1"/>
    <x v="0"/>
    <x v="1"/>
    <n v="3"/>
    <m/>
    <n v="141.1"/>
    <n v="24.900000000000002"/>
  </r>
  <r>
    <s v="SBG - Desktop"/>
    <x v="1"/>
    <s v="New Feature"/>
    <s v="DESK-2235"/>
    <s v="Sitemaps update - HREF lang for all pages"/>
    <s v="New Feature"/>
    <x v="0"/>
    <d v="2015-05-27T20:02:00"/>
    <x v="1"/>
    <x v="0"/>
    <x v="1"/>
    <n v="3"/>
    <m/>
    <n v="141.1"/>
    <n v="24.900000000000002"/>
  </r>
  <r>
    <s v="SBG - Desktop"/>
    <x v="1"/>
    <s v="New Feature"/>
    <s v="DESK-2235"/>
    <s v="Sitemaps update - HREF lang for all pages"/>
    <s v="New Feature"/>
    <x v="0"/>
    <d v="2015-05-28T20:03:00"/>
    <x v="1"/>
    <x v="0"/>
    <x v="1"/>
    <n v="4"/>
    <m/>
    <n v="141.1"/>
    <n v="24.900000000000002"/>
  </r>
  <r>
    <s v="SBG - Desktop"/>
    <x v="1"/>
    <s v="New Feature"/>
    <s v="DESK-2235"/>
    <s v="Sitemaps update - HREF lang for all pages"/>
    <s v="New Feature"/>
    <x v="0"/>
    <d v="2015-05-29T20:03:00"/>
    <x v="1"/>
    <x v="0"/>
    <x v="1"/>
    <n v="4"/>
    <m/>
    <n v="141.1"/>
    <n v="24.900000000000002"/>
  </r>
  <r>
    <s v="SBG - Desktop"/>
    <x v="1"/>
    <s v="New Feature"/>
    <s v="DESK-2235"/>
    <s v="Sitemaps update - HREF lang for all pages"/>
    <s v="New Feature"/>
    <x v="0"/>
    <d v="2015-05-29T20:04:00"/>
    <x v="1"/>
    <x v="0"/>
    <x v="1"/>
    <n v="1"/>
    <m/>
    <n v="141.1"/>
    <n v="24.900000000000002"/>
  </r>
  <r>
    <s v="SBG - Desktop"/>
    <x v="2"/>
    <s v="Sub-task"/>
    <s v="DESK-2236"/>
    <s v="DESK-2235&gt; Hyphen Issue Sports pages"/>
    <s v="Sub-task"/>
    <x v="0"/>
    <d v="2015-05-28T11:16:00"/>
    <x v="1"/>
    <x v="0"/>
    <x v="11"/>
    <n v="0.5"/>
    <s v="done"/>
    <n v="141.1"/>
    <n v="24.900000000000002"/>
  </r>
  <r>
    <s v="SBG - Desktop"/>
    <x v="2"/>
    <s v="Sub-task"/>
    <s v="DESK-2237"/>
    <s v="DESK-2235&gt; Frame Style and Frame Shape Translations in Sitemaps"/>
    <s v="Sub-task"/>
    <x v="0"/>
    <d v="2015-05-27T12:44:00"/>
    <x v="1"/>
    <x v="0"/>
    <x v="11"/>
    <n v="1"/>
    <s v="Finished with brands.xml - now it work fine with translations. Not worked because 'Semi+Rimless' etc doesn't exist in translations. But 'Semi Rimless' etc does."/>
    <n v="141.1"/>
    <n v="24.900000000000002"/>
  </r>
  <r>
    <s v="SBG - Desktop"/>
    <x v="2"/>
    <s v="Sub-task"/>
    <s v="DESK-2237"/>
    <s v="DESK-2235&gt; Frame Style and Frame Shape Translations in Sitemaps"/>
    <s v="Sub-task"/>
    <x v="0"/>
    <d v="2015-05-27T15:12:00"/>
    <x v="1"/>
    <x v="0"/>
    <x v="11"/>
    <n v="1.5"/>
    <s v="done for all issues at xml also must be done for domains"/>
    <n v="141.1"/>
    <n v="24.900000000000002"/>
  </r>
  <r>
    <s v="SBG - Desktop"/>
    <x v="2"/>
    <s v="Sub-task"/>
    <s v="DESK-2246"/>
    <s v="DESK-2244&gt; RX PHASE 2 - FRAME ONLY ON RX ORDERS"/>
    <s v="Sub-task"/>
    <x v="0"/>
    <d v="2015-05-21T15:01:00"/>
    <x v="1"/>
    <x v="0"/>
    <x v="9"/>
    <n v="1"/>
    <m/>
    <n v="141.1"/>
    <n v="24.900000000000002"/>
  </r>
  <r>
    <s v="SBG - Desktop"/>
    <x v="2"/>
    <s v="Sub-task"/>
    <s v="DESK-2260"/>
    <s v="DESK-2231&gt; Small banner do not show on top. CSS issue."/>
    <s v="Sub-task"/>
    <x v="0"/>
    <d v="2015-05-21T06:49:00"/>
    <x v="1"/>
    <x v="0"/>
    <x v="10"/>
    <n v="8"/>
    <m/>
    <n v="141.1"/>
    <n v="24.900000000000002"/>
  </r>
  <r>
    <s v="SBG - Desktop"/>
    <x v="2"/>
    <s v="Bug"/>
    <s v="DESK-2270"/>
    <s v="Disable quick search for any website using ALGOLIA search!"/>
    <s v="Bug"/>
    <x v="1"/>
    <d v="2015-04-28T12:40:00"/>
    <x v="0"/>
    <x v="0"/>
    <x v="2"/>
    <n v="2"/>
    <m/>
    <n v="141.1"/>
    <n v="24.900000000000002"/>
  </r>
  <r>
    <s v="SBG - Desktop"/>
    <x v="2"/>
    <s v="New Feature"/>
    <s v="DESK-2271"/>
    <s v="New design for Algolia Search implementation"/>
    <s v="New Feature"/>
    <x v="0"/>
    <d v="2015-04-14T18:32:00"/>
    <x v="0"/>
    <x v="0"/>
    <x v="4"/>
    <n v="3"/>
    <m/>
    <n v="83"/>
    <n v="83"/>
  </r>
  <r>
    <s v="SBG - Desktop"/>
    <x v="2"/>
    <s v="New Feature"/>
    <s v="DESK-2271"/>
    <s v="New design for Algolia Search implementation"/>
    <s v="New Feature"/>
    <x v="0"/>
    <d v="2015-04-15T18:34:00"/>
    <x v="0"/>
    <x v="0"/>
    <x v="4"/>
    <n v="4"/>
    <m/>
    <n v="83"/>
    <n v="83"/>
  </r>
  <r>
    <s v="SBG - Desktop"/>
    <x v="2"/>
    <s v="New Feature"/>
    <s v="DESK-2271"/>
    <s v="New design for Algolia Search implementation"/>
    <s v="New Feature"/>
    <x v="0"/>
    <d v="2015-04-22T10:14:00"/>
    <x v="0"/>
    <x v="0"/>
    <x v="4"/>
    <n v="1.5"/>
    <m/>
    <n v="83"/>
    <n v="83"/>
  </r>
  <r>
    <s v="SBG - Desktop"/>
    <x v="2"/>
    <s v="New Feature"/>
    <s v="DESK-2271"/>
    <s v="New design for Algolia Search implementation"/>
    <s v="New Feature"/>
    <x v="0"/>
    <d v="2015-04-24T18:32:00"/>
    <x v="0"/>
    <x v="0"/>
    <x v="4"/>
    <n v="5.5"/>
    <m/>
    <n v="83"/>
    <n v="83"/>
  </r>
  <r>
    <s v="SBG - Desktop"/>
    <x v="2"/>
    <s v="New Feature"/>
    <s v="DESK-2271"/>
    <s v="New design for Algolia Search implementation"/>
    <s v="New Feature"/>
    <x v="0"/>
    <d v="2015-04-29T18:33:00"/>
    <x v="0"/>
    <x v="0"/>
    <x v="4"/>
    <n v="2.5"/>
    <m/>
    <n v="83"/>
    <n v="83"/>
  </r>
  <r>
    <s v="SBG - Desktop"/>
    <x v="2"/>
    <s v="New Feature"/>
    <s v="DESK-2271"/>
    <s v="New design for Algolia Search implementation"/>
    <s v="New Feature"/>
    <x v="0"/>
    <d v="2015-04-30T12:38:00"/>
    <x v="0"/>
    <x v="0"/>
    <x v="2"/>
    <n v="6"/>
    <m/>
    <n v="141.1"/>
    <n v="24.900000000000002"/>
  </r>
  <r>
    <s v="SBG - Desktop"/>
    <x v="2"/>
    <s v="New Feature"/>
    <s v="DESK-2275"/>
    <s v="Homepage Top Selling products section"/>
    <s v="New Feature"/>
    <x v="0"/>
    <d v="2015-04-03T18:33:00"/>
    <x v="0"/>
    <x v="0"/>
    <x v="4"/>
    <n v="1.5"/>
    <m/>
    <n v="83"/>
    <n v="83"/>
  </r>
  <r>
    <s v="SBG - Desktop"/>
    <x v="2"/>
    <s v="New Feature"/>
    <s v="DESK-2275"/>
    <s v="Homepage Top Selling products section"/>
    <s v="New Feature"/>
    <x v="0"/>
    <d v="2015-04-03T18:39:00"/>
    <x v="0"/>
    <x v="0"/>
    <x v="6"/>
    <n v="8"/>
    <m/>
    <n v="141.1"/>
    <n v="24.900000000000002"/>
  </r>
  <r>
    <s v="SBG - Desktop"/>
    <x v="0"/>
    <s v="New Feature"/>
    <s v="DESK-2275"/>
    <s v="Homepage Top Selling products section"/>
    <s v="New Feature"/>
    <x v="0"/>
    <d v="2015-04-07T14:22:00"/>
    <x v="0"/>
    <x v="0"/>
    <x v="7"/>
    <n v="1.5"/>
    <s v="fix images"/>
    <n v="83"/>
    <n v="83"/>
  </r>
  <r>
    <s v="SBG - Desktop"/>
    <x v="2"/>
    <s v="New Feature"/>
    <s v="DESK-2275"/>
    <s v="Homepage Top Selling products section"/>
    <s v="New Feature"/>
    <x v="0"/>
    <d v="2015-04-07T16:09:00"/>
    <x v="0"/>
    <x v="0"/>
    <x v="6"/>
    <n v="8"/>
    <s v="All finished."/>
    <n v="141.1"/>
    <n v="24.900000000000002"/>
  </r>
  <r>
    <s v="SBG - Desktop"/>
    <x v="1"/>
    <s v="New Feature"/>
    <s v="DESK-2275"/>
    <s v="Homepage Top Selling products section"/>
    <s v="New Feature"/>
    <x v="0"/>
    <d v="2015-04-07T18:29:00"/>
    <x v="0"/>
    <x v="0"/>
    <x v="8"/>
    <n v="0.5"/>
    <m/>
    <n v="141.1"/>
    <n v="24.900000000000002"/>
  </r>
  <r>
    <s v="SBG - Desktop"/>
    <x v="2"/>
    <s v="New Feature"/>
    <s v="DESK-2275"/>
    <s v="Homepage Top Selling products section"/>
    <s v="New Feature"/>
    <x v="0"/>
    <d v="2015-04-07T18:34:00"/>
    <x v="0"/>
    <x v="0"/>
    <x v="4"/>
    <n v="3"/>
    <m/>
    <n v="83"/>
    <n v="83"/>
  </r>
  <r>
    <s v="SBG - Desktop"/>
    <x v="2"/>
    <s v="New Feature"/>
    <s v="DESK-2275"/>
    <s v="Homepage Top Selling products section"/>
    <s v="New Feature"/>
    <x v="0"/>
    <d v="2015-04-08T18:25:00"/>
    <x v="0"/>
    <x v="0"/>
    <x v="4"/>
    <n v="2"/>
    <m/>
    <n v="83"/>
    <n v="83"/>
  </r>
  <r>
    <s v="SBG - Desktop"/>
    <x v="1"/>
    <s v="New Feature"/>
    <s v="DESK-2275"/>
    <s v="Homepage Top Selling products section"/>
    <s v="New Feature"/>
    <x v="0"/>
    <d v="2015-04-08T18:31:00"/>
    <x v="0"/>
    <x v="0"/>
    <x v="8"/>
    <n v="2"/>
    <m/>
    <n v="141.1"/>
    <n v="24.900000000000002"/>
  </r>
  <r>
    <s v="SBG - Desktop"/>
    <x v="2"/>
    <s v="New Feature"/>
    <s v="DESK-2275"/>
    <s v="Homepage Top Selling products section"/>
    <s v="New Feature"/>
    <x v="0"/>
    <d v="2015-04-09T14:53:00"/>
    <x v="0"/>
    <x v="0"/>
    <x v="6"/>
    <n v="1"/>
    <s v="Merger code to trunk and modify display number."/>
    <n v="141.1"/>
    <n v="24.900000000000002"/>
  </r>
  <r>
    <s v="SBG - Desktop"/>
    <x v="1"/>
    <s v="New Feature"/>
    <s v="DESK-2275"/>
    <s v="Homepage Top Selling products section"/>
    <s v="New Feature"/>
    <x v="0"/>
    <d v="2015-04-09T18:50:00"/>
    <x v="0"/>
    <x v="0"/>
    <x v="8"/>
    <n v="1.5"/>
    <m/>
    <n v="141.1"/>
    <n v="24.900000000000002"/>
  </r>
  <r>
    <s v="SBG - Desktop"/>
    <x v="2"/>
    <s v="New Feature"/>
    <s v="DESK-2275"/>
    <s v="Homepage Top Selling products section"/>
    <s v="New Feature"/>
    <x v="0"/>
    <d v="2015-04-13T18:27:00"/>
    <x v="0"/>
    <x v="0"/>
    <x v="4"/>
    <n v="1.5"/>
    <m/>
    <n v="83"/>
    <n v="83"/>
  </r>
  <r>
    <s v="SBG - Desktop"/>
    <x v="1"/>
    <s v="New Feature"/>
    <s v="DESK-2275"/>
    <s v="Homepage Top Selling products section"/>
    <s v="New Feature"/>
    <x v="0"/>
    <d v="2015-04-14T11:38:00"/>
    <x v="0"/>
    <x v="0"/>
    <x v="5"/>
    <n v="2"/>
    <m/>
    <n v="141.1"/>
    <n v="24.900000000000002"/>
  </r>
  <r>
    <s v="SBG - Desktop"/>
    <x v="1"/>
    <s v="New Feature"/>
    <s v="DESK-2276"/>
    <s v="New Payment partner - Go Interpay"/>
    <s v="New Feature"/>
    <x v="0"/>
    <d v="2015-04-01T10:47:00"/>
    <x v="0"/>
    <x v="0"/>
    <x v="5"/>
    <n v="4"/>
    <m/>
    <n v="141.1"/>
    <n v="24.900000000000002"/>
  </r>
  <r>
    <s v="SBG - Desktop"/>
    <x v="1"/>
    <s v="New Feature"/>
    <s v="DESK-2276"/>
    <s v="New Payment partner - Go Interpay"/>
    <s v="New Feature"/>
    <x v="0"/>
    <d v="2015-04-01T18:45:00"/>
    <x v="0"/>
    <x v="0"/>
    <x v="1"/>
    <n v="8"/>
    <m/>
    <n v="141.1"/>
    <n v="24.900000000000002"/>
  </r>
  <r>
    <s v="SBG - Desktop"/>
    <x v="1"/>
    <s v="New Feature"/>
    <s v="DESK-2276"/>
    <s v="New Payment partner - Go Interpay"/>
    <s v="New Feature"/>
    <x v="0"/>
    <d v="2015-04-02T10:09:00"/>
    <x v="0"/>
    <x v="0"/>
    <x v="1"/>
    <n v="6"/>
    <m/>
    <n v="141.1"/>
    <n v="24.900000000000002"/>
  </r>
  <r>
    <s v="SBG - Desktop"/>
    <x v="1"/>
    <s v="New Feature"/>
    <s v="DESK-2276"/>
    <s v="New Payment partner - Go Interpay"/>
    <s v="New Feature"/>
    <x v="0"/>
    <d v="2015-04-03T11:53:00"/>
    <x v="0"/>
    <x v="0"/>
    <x v="1"/>
    <n v="5"/>
    <m/>
    <n v="141.1"/>
    <n v="24.900000000000002"/>
  </r>
  <r>
    <s v="SBG - Desktop"/>
    <x v="1"/>
    <s v="New Feature"/>
    <s v="DESK-2276"/>
    <s v="New Payment partner - Go Interpay"/>
    <s v="New Feature"/>
    <x v="0"/>
    <d v="2015-04-04T10:40:00"/>
    <x v="0"/>
    <x v="0"/>
    <x v="8"/>
    <n v="8"/>
    <m/>
    <n v="141.1"/>
    <n v="24.900000000000002"/>
  </r>
  <r>
    <s v="SBG - Desktop"/>
    <x v="1"/>
    <s v="New Feature"/>
    <s v="DESK-2276"/>
    <s v="New Payment partner - Go Interpay"/>
    <s v="New Feature"/>
    <x v="0"/>
    <d v="2015-04-07T10:15:00"/>
    <x v="0"/>
    <x v="0"/>
    <x v="1"/>
    <n v="7"/>
    <m/>
    <n v="141.1"/>
    <n v="24.900000000000002"/>
  </r>
  <r>
    <s v="SBG - Desktop"/>
    <x v="1"/>
    <s v="New Feature"/>
    <s v="DESK-2276"/>
    <s v="New Payment partner - Go Interpay"/>
    <s v="New Feature"/>
    <x v="0"/>
    <d v="2015-04-07T11:25:00"/>
    <x v="0"/>
    <x v="0"/>
    <x v="5"/>
    <n v="1"/>
    <m/>
    <n v="141.1"/>
    <n v="24.900000000000002"/>
  </r>
  <r>
    <s v="SBG - Desktop"/>
    <x v="1"/>
    <s v="New Feature"/>
    <s v="DESK-2276"/>
    <s v="New Payment partner - Go Interpay"/>
    <s v="New Feature"/>
    <x v="0"/>
    <d v="2015-04-08T10:15:00"/>
    <x v="0"/>
    <x v="0"/>
    <x v="1"/>
    <n v="8"/>
    <s v="Merge TC to Testlink"/>
    <n v="141.1"/>
    <n v="24.900000000000002"/>
  </r>
  <r>
    <s v="SBG - Desktop"/>
    <x v="1"/>
    <s v="New Feature"/>
    <s v="DESK-2276"/>
    <s v="New Payment partner - Go Interpay"/>
    <s v="New Feature"/>
    <x v="0"/>
    <d v="2015-04-08T11:26:00"/>
    <x v="0"/>
    <x v="0"/>
    <x v="5"/>
    <n v="1"/>
    <m/>
    <n v="141.1"/>
    <n v="24.900000000000002"/>
  </r>
  <r>
    <s v="SBG - Desktop"/>
    <x v="1"/>
    <s v="New Feature"/>
    <s v="DESK-2276"/>
    <s v="New Payment partner - Go Interpay"/>
    <s v="New Feature"/>
    <x v="0"/>
    <d v="2015-04-09T10:57:00"/>
    <x v="0"/>
    <x v="0"/>
    <x v="1"/>
    <n v="7"/>
    <m/>
    <n v="141.1"/>
    <n v="24.900000000000002"/>
  </r>
  <r>
    <s v="SBG - Desktop"/>
    <x v="1"/>
    <s v="New Feature"/>
    <s v="DESK-2276"/>
    <s v="New Payment partner - Go Interpay"/>
    <s v="New Feature"/>
    <x v="0"/>
    <d v="2015-04-09T11:27:00"/>
    <x v="0"/>
    <x v="0"/>
    <x v="5"/>
    <n v="1"/>
    <m/>
    <n v="141.1"/>
    <n v="24.900000000000002"/>
  </r>
  <r>
    <s v="SBG - Desktop"/>
    <x v="1"/>
    <s v="New Feature"/>
    <s v="DESK-2276"/>
    <s v="New Payment partner - Go Interpay"/>
    <s v="New Feature"/>
    <x v="0"/>
    <d v="2015-04-10T11:27:00"/>
    <x v="0"/>
    <x v="0"/>
    <x v="5"/>
    <n v="1"/>
    <m/>
    <n v="141.1"/>
    <n v="24.900000000000002"/>
  </r>
  <r>
    <s v="SBG - Desktop"/>
    <x v="0"/>
    <s v="New Feature"/>
    <s v="DESK-2276"/>
    <s v="New Payment partner - Go Interpay"/>
    <s v="New Feature"/>
    <x v="0"/>
    <d v="2015-04-10T18:30:00"/>
    <x v="0"/>
    <x v="0"/>
    <x v="7"/>
    <n v="2.5"/>
    <s v="fix css"/>
    <n v="83"/>
    <n v="83"/>
  </r>
  <r>
    <s v="SBG - Desktop"/>
    <x v="1"/>
    <s v="New Feature"/>
    <s v="DESK-2276"/>
    <s v="New Payment partner - Go Interpay"/>
    <s v="New Feature"/>
    <x v="0"/>
    <d v="2015-04-10T18:36:00"/>
    <x v="0"/>
    <x v="0"/>
    <x v="1"/>
    <n v="5"/>
    <m/>
    <n v="141.1"/>
    <n v="24.900000000000002"/>
  </r>
  <r>
    <s v="SBG - Desktop"/>
    <x v="0"/>
    <s v="New Feature"/>
    <s v="DESK-2276"/>
    <s v="New Payment partner - Go Interpay"/>
    <s v="New Feature"/>
    <x v="0"/>
    <d v="2015-04-13T18:38:00"/>
    <x v="0"/>
    <x v="0"/>
    <x v="7"/>
    <n v="2"/>
    <s v="fix css bug"/>
    <n v="83"/>
    <n v="83"/>
  </r>
  <r>
    <s v="SBG - Desktop"/>
    <x v="0"/>
    <s v="New Feature"/>
    <s v="DESK-2276"/>
    <s v="New Payment partner - Go Interpay"/>
    <s v="New Feature"/>
    <x v="0"/>
    <d v="2015-04-14T18:34:00"/>
    <x v="0"/>
    <x v="0"/>
    <x v="7"/>
    <n v="2.5"/>
    <s v="write banner_boleto_BR html"/>
    <n v="83"/>
    <n v="83"/>
  </r>
  <r>
    <s v="SBG - Desktop"/>
    <x v="1"/>
    <s v="New Feature"/>
    <s v="DESK-2276"/>
    <s v="New Payment partner - Go Interpay"/>
    <s v="New Feature"/>
    <x v="0"/>
    <d v="2015-04-14T18:41:00"/>
    <x v="0"/>
    <x v="0"/>
    <x v="1"/>
    <n v="5.5"/>
    <m/>
    <n v="141.1"/>
    <n v="24.900000000000002"/>
  </r>
  <r>
    <s v="SBG - Desktop"/>
    <x v="1"/>
    <s v="New Feature"/>
    <s v="DESK-2276"/>
    <s v="New Payment partner - Go Interpay"/>
    <s v="New Feature"/>
    <x v="0"/>
    <d v="2015-04-15T18:43:00"/>
    <x v="0"/>
    <x v="0"/>
    <x v="1"/>
    <n v="8"/>
    <m/>
    <n v="141.1"/>
    <n v="24.900000000000002"/>
  </r>
  <r>
    <s v="SBG - Desktop"/>
    <x v="1"/>
    <s v="New Feature"/>
    <s v="DESK-2276"/>
    <s v="New Payment partner - Go Interpay"/>
    <s v="New Feature"/>
    <x v="0"/>
    <d v="2015-04-16T18:43:00"/>
    <x v="0"/>
    <x v="0"/>
    <x v="1"/>
    <n v="8"/>
    <m/>
    <n v="141.1"/>
    <n v="24.900000000000002"/>
  </r>
  <r>
    <s v="SBG - Desktop"/>
    <x v="0"/>
    <s v="New Feature"/>
    <s v="DESK-2276"/>
    <s v="New Payment partner - Go Interpay"/>
    <s v="New Feature"/>
    <x v="0"/>
    <d v="2015-04-17T18:32:00"/>
    <x v="0"/>
    <x v="0"/>
    <x v="7"/>
    <n v="2.5"/>
    <m/>
    <n v="83"/>
    <n v="83"/>
  </r>
  <r>
    <s v="SBG - Desktop"/>
    <x v="1"/>
    <s v="New Feature"/>
    <s v="DESK-2276"/>
    <s v="New Payment partner - Go Interpay"/>
    <s v="New Feature"/>
    <x v="0"/>
    <d v="2015-04-17T18:44:00"/>
    <x v="0"/>
    <x v="0"/>
    <x v="1"/>
    <n v="8"/>
    <m/>
    <n v="141.1"/>
    <n v="24.900000000000002"/>
  </r>
  <r>
    <s v="SBG - Desktop"/>
    <x v="1"/>
    <s v="New Feature"/>
    <s v="DESK-2276"/>
    <s v="New Payment partner - Go Interpay"/>
    <s v="New Feature"/>
    <x v="0"/>
    <d v="2015-04-20T18:44:00"/>
    <x v="0"/>
    <x v="0"/>
    <x v="1"/>
    <n v="8"/>
    <m/>
    <n v="141.1"/>
    <n v="24.900000000000002"/>
  </r>
  <r>
    <s v="SBG - Desktop"/>
    <x v="1"/>
    <s v="New Feature"/>
    <s v="DESK-2276"/>
    <s v="New Payment partner - Go Interpay"/>
    <s v="New Feature"/>
    <x v="0"/>
    <d v="2015-04-21T10:42:00"/>
    <x v="0"/>
    <x v="0"/>
    <x v="1"/>
    <n v="7"/>
    <m/>
    <n v="141.1"/>
    <n v="24.900000000000002"/>
  </r>
  <r>
    <s v="SBG - Desktop"/>
    <x v="1"/>
    <s v="New Feature"/>
    <s v="DESK-2276"/>
    <s v="New Payment partner - Go Interpay"/>
    <s v="New Feature"/>
    <x v="0"/>
    <d v="2015-04-22T18:57:00"/>
    <x v="0"/>
    <x v="0"/>
    <x v="1"/>
    <n v="8"/>
    <m/>
    <n v="141.1"/>
    <n v="24.900000000000002"/>
  </r>
  <r>
    <s v="SBG - Desktop"/>
    <x v="1"/>
    <s v="New Feature"/>
    <s v="DESK-2276"/>
    <s v="New Payment partner - Go Interpay"/>
    <s v="New Feature"/>
    <x v="0"/>
    <d v="2015-04-23T10:43:00"/>
    <x v="0"/>
    <x v="0"/>
    <x v="1"/>
    <n v="8"/>
    <m/>
    <n v="141.1"/>
    <n v="24.900000000000002"/>
  </r>
  <r>
    <s v="SBG - Desktop"/>
    <x v="1"/>
    <s v="New Feature"/>
    <s v="DESK-2276"/>
    <s v="New Payment partner - Go Interpay"/>
    <s v="New Feature"/>
    <x v="0"/>
    <d v="2015-04-23T16:41:00"/>
    <x v="0"/>
    <x v="0"/>
    <x v="5"/>
    <n v="1"/>
    <m/>
    <n v="141.1"/>
    <n v="24.900000000000002"/>
  </r>
  <r>
    <s v="SBG - Desktop"/>
    <x v="1"/>
    <s v="New Feature"/>
    <s v="DESK-2276"/>
    <s v="New Payment partner - Go Interpay"/>
    <s v="New Feature"/>
    <x v="0"/>
    <d v="2015-04-24T11:51:00"/>
    <x v="0"/>
    <x v="0"/>
    <x v="5"/>
    <n v="2"/>
    <m/>
    <n v="141.1"/>
    <n v="24.900000000000002"/>
  </r>
  <r>
    <s v="SBG - Desktop"/>
    <x v="1"/>
    <s v="New Feature"/>
    <s v="DESK-2276"/>
    <s v="New Payment partner - Go Interpay"/>
    <s v="New Feature"/>
    <x v="0"/>
    <d v="2015-04-24T18:57:00"/>
    <x v="0"/>
    <x v="0"/>
    <x v="1"/>
    <n v="4"/>
    <m/>
    <n v="141.1"/>
    <n v="24.900000000000002"/>
  </r>
  <r>
    <s v="SBG - Desktop"/>
    <x v="1"/>
    <s v="New Feature"/>
    <s v="DESK-2276"/>
    <s v="New Payment partner - Go Interpay"/>
    <s v="New Feature"/>
    <x v="0"/>
    <d v="2015-04-27T10:46:00"/>
    <x v="0"/>
    <x v="0"/>
    <x v="1"/>
    <n v="4"/>
    <m/>
    <n v="141.1"/>
    <n v="24.900000000000002"/>
  </r>
  <r>
    <s v="SBG - Desktop"/>
    <x v="1"/>
    <s v="New Feature"/>
    <s v="DESK-2276"/>
    <s v="New Payment partner - Go Interpay"/>
    <s v="New Feature"/>
    <x v="0"/>
    <d v="2015-04-27T11:50:00"/>
    <x v="0"/>
    <x v="0"/>
    <x v="5"/>
    <n v="1"/>
    <m/>
    <n v="141.1"/>
    <n v="24.900000000000002"/>
  </r>
  <r>
    <s v="SBG - Desktop"/>
    <x v="2"/>
    <s v="New Feature"/>
    <s v="DESK-2276"/>
    <s v="New Payment partner - Go Interpay"/>
    <s v="New Feature"/>
    <x v="0"/>
    <d v="2015-04-27T17:20:00"/>
    <x v="0"/>
    <x v="0"/>
    <x v="2"/>
    <n v="3"/>
    <m/>
    <n v="141.1"/>
    <n v="24.900000000000002"/>
  </r>
  <r>
    <s v="SBG - Desktop"/>
    <x v="0"/>
    <s v="New Feature"/>
    <s v="DESK-2276"/>
    <s v="New Payment partner - Go Interpay"/>
    <s v="New Feature"/>
    <x v="0"/>
    <d v="2015-04-27T18:36:00"/>
    <x v="0"/>
    <x v="0"/>
    <x v="7"/>
    <n v="6"/>
    <s v="css bug"/>
    <n v="83"/>
    <n v="83"/>
  </r>
  <r>
    <s v="SBG - Desktop"/>
    <x v="2"/>
    <s v="New Feature"/>
    <s v="DESK-2276"/>
    <s v="New Payment partner - Go Interpay"/>
    <s v="New Feature"/>
    <x v="0"/>
    <d v="2015-04-27T18:42:00"/>
    <x v="0"/>
    <x v="0"/>
    <x v="2"/>
    <n v="2"/>
    <m/>
    <n v="141.1"/>
    <n v="24.900000000000002"/>
  </r>
  <r>
    <s v="SBG - Desktop"/>
    <x v="1"/>
    <s v="New Feature"/>
    <s v="DESK-2276"/>
    <s v="New Payment partner - Go Interpay"/>
    <s v="New Feature"/>
    <x v="0"/>
    <d v="2015-04-28T10:12:00"/>
    <x v="0"/>
    <x v="0"/>
    <x v="1"/>
    <n v="3"/>
    <m/>
    <n v="141.1"/>
    <n v="24.900000000000002"/>
  </r>
  <r>
    <s v="SBG - Desktop"/>
    <x v="1"/>
    <s v="New Feature"/>
    <s v="DESK-2276"/>
    <s v="New Payment partner - Go Interpay"/>
    <s v="New Feature"/>
    <x v="0"/>
    <d v="2015-04-28T11:50:00"/>
    <x v="0"/>
    <x v="0"/>
    <x v="5"/>
    <n v="3"/>
    <m/>
    <n v="141.1"/>
    <n v="24.900000000000002"/>
  </r>
  <r>
    <s v="SBG - Desktop"/>
    <x v="1"/>
    <s v="New Feature"/>
    <s v="DESK-2276"/>
    <s v="New Payment partner - Go Interpay"/>
    <s v="New Feature"/>
    <x v="0"/>
    <d v="2015-04-29T18:16:00"/>
    <x v="0"/>
    <x v="0"/>
    <x v="5"/>
    <n v="4"/>
    <m/>
    <n v="141.1"/>
    <n v="24.900000000000002"/>
  </r>
  <r>
    <s v="SBG - Desktop"/>
    <x v="1"/>
    <s v="New Feature"/>
    <s v="DESK-2276"/>
    <s v="New Payment partner - Go Interpay"/>
    <s v="New Feature"/>
    <x v="0"/>
    <d v="2015-04-29T18:36:00"/>
    <x v="0"/>
    <x v="0"/>
    <x v="1"/>
    <n v="2"/>
    <m/>
    <n v="141.1"/>
    <n v="24.900000000000002"/>
  </r>
  <r>
    <s v="SBG - Desktop"/>
    <x v="1"/>
    <s v="New Feature"/>
    <s v="DESK-2276"/>
    <s v="New Payment partner - Go Interpay"/>
    <s v="New Feature"/>
    <x v="0"/>
    <d v="2015-05-04T18:44:00"/>
    <x v="1"/>
    <x v="0"/>
    <x v="1"/>
    <n v="4"/>
    <m/>
    <n v="141.1"/>
    <n v="24.900000000000002"/>
  </r>
  <r>
    <s v="SBG - Desktop"/>
    <x v="1"/>
    <s v="New Feature"/>
    <s v="DESK-2276"/>
    <s v="New Payment partner - Go Interpay"/>
    <s v="New Feature"/>
    <x v="0"/>
    <d v="2015-05-06T15:22:00"/>
    <x v="1"/>
    <x v="0"/>
    <x v="5"/>
    <n v="1"/>
    <m/>
    <n v="141.1"/>
    <n v="24.900000000000002"/>
  </r>
  <r>
    <s v="SBG - Desktop"/>
    <x v="1"/>
    <s v="New Feature"/>
    <s v="DESK-2276"/>
    <s v="New Payment partner - Go Interpay"/>
    <s v="New Feature"/>
    <x v="0"/>
    <d v="2015-05-11T18:38:00"/>
    <x v="1"/>
    <x v="0"/>
    <x v="1"/>
    <n v="6"/>
    <m/>
    <n v="141.1"/>
    <n v="24.900000000000002"/>
  </r>
  <r>
    <s v="SBG - Desktop"/>
    <x v="1"/>
    <s v="New Feature"/>
    <s v="DESK-2276"/>
    <s v="New Payment partner - Go Interpay"/>
    <s v="New Feature"/>
    <x v="0"/>
    <d v="2015-05-12T18:38:00"/>
    <x v="1"/>
    <x v="0"/>
    <x v="1"/>
    <n v="2"/>
    <m/>
    <n v="141.1"/>
    <n v="24.900000000000002"/>
  </r>
  <r>
    <s v="SBG - Desktop"/>
    <x v="2"/>
    <s v="New Feature"/>
    <s v="DESK-2276"/>
    <s v="New Payment partner - Go Interpay"/>
    <s v="New Feature"/>
    <x v="0"/>
    <d v="2015-05-19T22:51:00"/>
    <x v="1"/>
    <x v="0"/>
    <x v="2"/>
    <n v="3"/>
    <m/>
    <n v="141.1"/>
    <n v="24.900000000000002"/>
  </r>
  <r>
    <s v="SBG - Desktop"/>
    <x v="2"/>
    <s v="New Feature"/>
    <s v="DESK-2276"/>
    <s v="New Payment partner - Go Interpay"/>
    <s v="New Feature"/>
    <x v="0"/>
    <d v="2015-05-21T22:51:00"/>
    <x v="1"/>
    <x v="0"/>
    <x v="2"/>
    <n v="4"/>
    <m/>
    <n v="141.1"/>
    <n v="24.900000000000002"/>
  </r>
  <r>
    <s v="SBG - Desktop"/>
    <x v="2"/>
    <s v="New Feature"/>
    <s v="DESK-2276"/>
    <s v="New Payment partner - Go Interpay"/>
    <s v="New Feature"/>
    <x v="0"/>
    <d v="2015-05-25T18:01:00"/>
    <x v="1"/>
    <x v="0"/>
    <x v="2"/>
    <n v="8"/>
    <m/>
    <n v="141.1"/>
    <n v="24.900000000000002"/>
  </r>
  <r>
    <s v="SBG - Desktop"/>
    <x v="2"/>
    <s v="New Feature"/>
    <s v="DESK-2277"/>
    <s v="Limit Items per Order German Website"/>
    <s v="New Feature"/>
    <x v="0"/>
    <d v="2015-04-03T18:43:00"/>
    <x v="0"/>
    <x v="0"/>
    <x v="4"/>
    <n v="0.5"/>
    <m/>
    <n v="83"/>
    <n v="83"/>
  </r>
  <r>
    <s v="SBG - Desktop"/>
    <x v="2"/>
    <s v="Sub-task"/>
    <s v="DESK-2309"/>
    <s v="DESK-2272&gt; &quot;fast shipping&quot; mixed with product image on modal window of more colors"/>
    <s v="Sub-task"/>
    <x v="0"/>
    <d v="2015-04-01T18:35:00"/>
    <x v="0"/>
    <x v="0"/>
    <x v="4"/>
    <n v="2"/>
    <m/>
    <n v="83"/>
    <n v="83"/>
  </r>
  <r>
    <s v="SBG - Desktop"/>
    <x v="2"/>
    <s v="Sub-task"/>
    <s v="DESK-2341"/>
    <s v="DESK-2275&gt; text incorrect for domains where first_shipping = 0.00"/>
    <s v="Sub-task"/>
    <x v="0"/>
    <d v="2015-04-08T10:29:00"/>
    <x v="0"/>
    <x v="0"/>
    <x v="6"/>
    <n v="1"/>
    <m/>
    <n v="141.1"/>
    <n v="24.900000000000002"/>
  </r>
  <r>
    <s v="SBG - Desktop"/>
    <x v="1"/>
    <s v="Sub-task"/>
    <s v="DESK-2341"/>
    <s v="DESK-2275&gt; text incorrect for domains where first_shipping = 0.00"/>
    <s v="Sub-task"/>
    <x v="0"/>
    <d v="2015-04-08T11:52:00"/>
    <x v="0"/>
    <x v="0"/>
    <x v="8"/>
    <n v="1"/>
    <m/>
    <n v="141.1"/>
    <n v="24.900000000000002"/>
  </r>
  <r>
    <s v="SBG - Desktop"/>
    <x v="2"/>
    <s v="Sub-task"/>
    <s v="DESK-2342"/>
    <s v="DESK-2275&gt; click should open in new window"/>
    <s v="Sub-task"/>
    <x v="0"/>
    <d v="2015-04-08T11:14:00"/>
    <x v="0"/>
    <x v="0"/>
    <x v="6"/>
    <n v="0.5"/>
    <m/>
    <n v="141.1"/>
    <n v="24.900000000000002"/>
  </r>
  <r>
    <s v="SBG - Desktop"/>
    <x v="1"/>
    <s v="Sub-task"/>
    <s v="DESK-2342"/>
    <s v="DESK-2275&gt; click should open in new window"/>
    <s v="Sub-task"/>
    <x v="0"/>
    <d v="2015-04-08T17:18:00"/>
    <x v="0"/>
    <x v="0"/>
    <x v="8"/>
    <n v="1"/>
    <m/>
    <n v="141.1"/>
    <n v="24.900000000000002"/>
  </r>
  <r>
    <s v="SBG - Desktop"/>
    <x v="1"/>
    <s v="Sub-task"/>
    <s v="DESK-2343"/>
    <s v="DESK-2275&gt; translation breaks the css"/>
    <s v="Sub-task"/>
    <x v="0"/>
    <d v="2015-04-08T17:44:00"/>
    <x v="0"/>
    <x v="0"/>
    <x v="8"/>
    <n v="1"/>
    <m/>
    <n v="141.1"/>
    <n v="24.900000000000002"/>
  </r>
  <r>
    <s v="SBG - Desktop"/>
    <x v="2"/>
    <s v="Sub-task"/>
    <s v="DESK-2343"/>
    <s v="DESK-2275&gt; translation breaks the css"/>
    <s v="Sub-task"/>
    <x v="0"/>
    <d v="2015-04-08T18:25:00"/>
    <x v="0"/>
    <x v="0"/>
    <x v="4"/>
    <n v="2"/>
    <m/>
    <n v="83"/>
    <n v="83"/>
  </r>
  <r>
    <s v="SBG - Desktop"/>
    <x v="2"/>
    <s v="Sub-task"/>
    <s v="DESK-2344"/>
    <s v="DESK-2275&gt; product quantity for top sellers are incorrect"/>
    <s v="Sub-task"/>
    <x v="0"/>
    <d v="2015-04-08T15:25:00"/>
    <x v="0"/>
    <x v="0"/>
    <x v="6"/>
    <n v="1"/>
    <m/>
    <n v="141.1"/>
    <n v="24.900000000000002"/>
  </r>
  <r>
    <s v="SBG - Desktop"/>
    <x v="1"/>
    <s v="Sub-task"/>
    <s v="DESK-2344"/>
    <s v="DESK-2275&gt; product quantity for top sellers are incorrect"/>
    <s v="Sub-task"/>
    <x v="0"/>
    <d v="2015-04-08T18:11:00"/>
    <x v="0"/>
    <x v="0"/>
    <x v="8"/>
    <n v="2"/>
    <m/>
    <n v="141.1"/>
    <n v="24.900000000000002"/>
  </r>
  <r>
    <s v="SBG - Desktop"/>
    <x v="2"/>
    <s v="Sub-task"/>
    <s v="DESK-2345"/>
    <s v="DESK-2275&gt; click should show another 4 products"/>
    <s v="Sub-task"/>
    <x v="0"/>
    <d v="2015-04-08T15:41:00"/>
    <x v="0"/>
    <x v="0"/>
    <x v="6"/>
    <n v="1"/>
    <m/>
    <n v="141.1"/>
    <n v="24.900000000000002"/>
  </r>
  <r>
    <s v="SBG - Desktop"/>
    <x v="1"/>
    <s v="Sub-task"/>
    <s v="DESK-2345"/>
    <s v="DESK-2275&gt; click should show another 4 products"/>
    <s v="Sub-task"/>
    <x v="0"/>
    <d v="2015-04-09T18:20:00"/>
    <x v="0"/>
    <x v="0"/>
    <x v="8"/>
    <n v="1.5"/>
    <m/>
    <n v="141.1"/>
    <n v="24.900000000000002"/>
  </r>
  <r>
    <s v="SBG - Desktop"/>
    <x v="1"/>
    <s v="Sub-task"/>
    <s v="DESK-2346"/>
    <s v="DESK-2275&gt; css issues on homepage"/>
    <s v="Sub-task"/>
    <x v="0"/>
    <d v="2015-04-09T18:18:00"/>
    <x v="0"/>
    <x v="0"/>
    <x v="8"/>
    <n v="2"/>
    <m/>
    <n v="141.1"/>
    <n v="24.900000000000002"/>
  </r>
  <r>
    <s v="SBG - Desktop"/>
    <x v="2"/>
    <s v="Sub-task"/>
    <s v="DESK-2346"/>
    <s v="DESK-2275&gt; css issues on homepage"/>
    <s v="Sub-task"/>
    <x v="0"/>
    <d v="2015-04-09T18:33:00"/>
    <x v="0"/>
    <x v="0"/>
    <x v="4"/>
    <n v="3"/>
    <m/>
    <n v="83"/>
    <n v="83"/>
  </r>
  <r>
    <s v="SBG - Desktop"/>
    <x v="0"/>
    <s v="Sub-task"/>
    <s v="DESK-2348"/>
    <s v="DESK-2276&gt; Move Birth Date to the main address field and add the (?) content"/>
    <s v="Sub-task"/>
    <x v="0"/>
    <d v="2015-04-10T12:50:00"/>
    <x v="0"/>
    <x v="0"/>
    <x v="7"/>
    <n v="0.5"/>
    <m/>
    <n v="83"/>
    <n v="83"/>
  </r>
  <r>
    <s v="SBG - Desktop"/>
    <x v="0"/>
    <s v="Sub-task"/>
    <s v="DESK-2349"/>
    <s v="DESK-2276&gt; UI in checkout page is too messy"/>
    <s v="Sub-task"/>
    <x v="0"/>
    <d v="2015-04-10T12:49:00"/>
    <x v="0"/>
    <x v="0"/>
    <x v="7"/>
    <n v="1"/>
    <s v="Modify the icon"/>
    <n v="83"/>
    <n v="83"/>
  </r>
  <r>
    <s v="SBG - Desktop"/>
    <x v="0"/>
    <s v="Sub-task"/>
    <s v="DESK-2351"/>
    <s v="DESK-2276&gt; Cannot select VISA or Master Card"/>
    <s v="Sub-task"/>
    <x v="0"/>
    <d v="2015-04-10T18:34:00"/>
    <x v="0"/>
    <x v="0"/>
    <x v="7"/>
    <n v="4"/>
    <m/>
    <n v="83"/>
    <n v="83"/>
  </r>
  <r>
    <s v="SBG - Desktop"/>
    <x v="1"/>
    <s v="Sub-task"/>
    <s v="DESK-2354"/>
    <s v="DESK-2276&gt; No Entrance for AMEX / VISA ELECTRON card"/>
    <s v="Sub-task"/>
    <x v="0"/>
    <d v="2015-05-14T11:36:00"/>
    <x v="1"/>
    <x v="0"/>
    <x v="5"/>
    <n v="1"/>
    <m/>
    <n v="141.1"/>
    <n v="24.900000000000002"/>
  </r>
  <r>
    <s v="SBG - Desktop"/>
    <x v="1"/>
    <s v="Sub-task"/>
    <s v="DESK-2355"/>
    <s v="DESK-2276&gt; Instalment tasks"/>
    <s v="Sub-task"/>
    <x v="0"/>
    <d v="2015-04-13T18:33:00"/>
    <x v="0"/>
    <x v="0"/>
    <x v="1"/>
    <n v="8"/>
    <m/>
    <n v="141.1"/>
    <n v="24.900000000000002"/>
  </r>
  <r>
    <s v="SBG - Desktop"/>
    <x v="2"/>
    <s v="Sub-task"/>
    <s v="DESK-2370"/>
    <s v="DESK-2276&gt; Add some items in OM for GoInterPay orders"/>
    <s v="Sub-task"/>
    <x v="0"/>
    <d v="2015-04-21T15:26:00"/>
    <x v="0"/>
    <x v="0"/>
    <x v="12"/>
    <n v="5"/>
    <m/>
    <n v="141.1"/>
    <n v="24.900000000000002"/>
  </r>
  <r>
    <s v="SBG - Desktop"/>
    <x v="2"/>
    <s v="Sub-task"/>
    <s v="DESK-2375"/>
    <s v="DESK-2276&gt; Add some items to cart and then sign in, click check out met &quot;JavascriptVoid(0)&quot;"/>
    <s v="Sub-task"/>
    <x v="0"/>
    <d v="2015-05-04T16:30:00"/>
    <x v="1"/>
    <x v="0"/>
    <x v="6"/>
    <n v="0.5"/>
    <m/>
    <n v="141.1"/>
    <n v="24.900000000000002"/>
  </r>
  <r>
    <s v="SBG - Desktop"/>
    <x v="2"/>
    <s v="Sub-task"/>
    <s v="DESK-2386"/>
    <s v="DESK-2276&gt; Moving SBG BOLATO code to om"/>
    <s v="Sub-task"/>
    <x v="0"/>
    <d v="2015-05-06T13:32:00"/>
    <x v="1"/>
    <x v="0"/>
    <x v="2"/>
    <n v="0.5"/>
    <m/>
    <n v="141.1"/>
    <n v="24.900000000000002"/>
  </r>
  <r>
    <s v="SBG - Desktop"/>
    <x v="2"/>
    <s v="Sub-task"/>
    <s v="DESK-2386"/>
    <s v="DESK-2276&gt; Moving SBG BOLATO code to om"/>
    <s v="Sub-task"/>
    <x v="0"/>
    <d v="2015-05-07T12:31:00"/>
    <x v="1"/>
    <x v="0"/>
    <x v="2"/>
    <n v="8"/>
    <m/>
    <n v="141.1"/>
    <n v="24.900000000000002"/>
  </r>
  <r>
    <s v="SBG - Desktop"/>
    <x v="2"/>
    <s v="Task"/>
    <s v="DESK-2393"/>
    <s v="Discuss Algolia backend With samuel"/>
    <s v="Task"/>
    <x v="0"/>
    <d v="2015-04-28T12:47:00"/>
    <x v="0"/>
    <x v="0"/>
    <x v="2"/>
    <n v="6"/>
    <m/>
    <n v="141.1"/>
    <n v="24.900000000000002"/>
  </r>
  <r>
    <s v="SBG - Desktop"/>
    <x v="1"/>
    <s v="Task"/>
    <s v="DESK-2394"/>
    <s v="Facebook custom audience pixel implementation"/>
    <s v="Task"/>
    <x v="0"/>
    <d v="2015-04-10T11:43:00"/>
    <x v="0"/>
    <x v="0"/>
    <x v="5"/>
    <n v="1"/>
    <m/>
    <n v="141.1"/>
    <n v="24.900000000000002"/>
  </r>
  <r>
    <s v="SBG - Desktop"/>
    <x v="1"/>
    <s v="Task"/>
    <s v="DESK-2394"/>
    <s v="Facebook custom audience pixel implementation"/>
    <s v="Task"/>
    <x v="0"/>
    <d v="2015-04-10T17:21:00"/>
    <x v="0"/>
    <x v="0"/>
    <x v="1"/>
    <n v="3"/>
    <m/>
    <n v="141.1"/>
    <n v="24.900000000000002"/>
  </r>
  <r>
    <s v="SBG - Desktop"/>
    <x v="1"/>
    <s v="Task"/>
    <s v="DESK-2395"/>
    <s v="Remove Automatic Spacing for Chinese Language in SEO Tags"/>
    <s v="Task"/>
    <x v="0"/>
    <d v="2015-04-10T17:10:00"/>
    <x v="0"/>
    <x v="0"/>
    <x v="8"/>
    <n v="1"/>
    <m/>
    <n v="141.1"/>
    <n v="24.900000000000002"/>
  </r>
  <r>
    <s v="SBG - Desktop"/>
    <x v="1"/>
    <s v="Task"/>
    <s v="DESK-2395"/>
    <s v="Remove Automatic Spacing for Chinese Language in SEO Tags"/>
    <s v="Task"/>
    <x v="0"/>
    <d v="2015-04-21T18:21:00"/>
    <x v="0"/>
    <x v="0"/>
    <x v="8"/>
    <n v="0.5"/>
    <m/>
    <n v="141.1"/>
    <n v="24.900000000000002"/>
  </r>
  <r>
    <s v="SBG - Desktop"/>
    <x v="1"/>
    <s v="Task"/>
    <s v="DESK-2395"/>
    <s v="Remove Automatic Spacing for Chinese Language in SEO Tags"/>
    <s v="Task"/>
    <x v="0"/>
    <d v="2015-04-28T11:05:00"/>
    <x v="0"/>
    <x v="0"/>
    <x v="8"/>
    <n v="1"/>
    <m/>
    <n v="141.1"/>
    <n v="24.900000000000002"/>
  </r>
  <r>
    <s v="SBG - Desktop"/>
    <x v="1"/>
    <s v="Task"/>
    <s v="DESK-2395"/>
    <s v="Remove Automatic Spacing for Chinese Language in SEO Tags"/>
    <s v="Task"/>
    <x v="0"/>
    <d v="2015-05-07T17:28:00"/>
    <x v="1"/>
    <x v="0"/>
    <x v="8"/>
    <n v="2"/>
    <m/>
    <n v="141.1"/>
    <n v="24.900000000000002"/>
  </r>
  <r>
    <s v="SBG - Desktop"/>
    <x v="2"/>
    <s v="Task"/>
    <s v="DESK-2397"/>
    <s v="link logo to HIF partner website"/>
    <s v="Task"/>
    <x v="0"/>
    <d v="2015-04-15T18:33:00"/>
    <x v="0"/>
    <x v="0"/>
    <x v="4"/>
    <n v="1"/>
    <m/>
    <n v="83"/>
    <n v="83"/>
  </r>
  <r>
    <s v="SBG - Desktop"/>
    <x v="1"/>
    <s v="Task"/>
    <s v="DESK-2398"/>
    <s v="Zanox - Remove VAT from total price"/>
    <s v="Task"/>
    <x v="0"/>
    <d v="2015-04-02T10:47:00"/>
    <x v="0"/>
    <x v="0"/>
    <x v="5"/>
    <n v="2"/>
    <m/>
    <n v="141.1"/>
    <n v="24.900000000000002"/>
  </r>
  <r>
    <s v="SBG - Desktop"/>
    <x v="1"/>
    <s v="Task"/>
    <s v="DESK-2398"/>
    <s v="Zanox - Remove VAT from total price"/>
    <s v="Task"/>
    <x v="0"/>
    <d v="2015-04-17T12:05:00"/>
    <x v="0"/>
    <x v="0"/>
    <x v="5"/>
    <n v="1"/>
    <m/>
    <n v="141.1"/>
    <n v="24.900000000000002"/>
  </r>
  <r>
    <s v="SBG - Desktop"/>
    <x v="1"/>
    <s v="Task"/>
    <s v="DESK-2399"/>
    <s v="New Home Page banners SPRING"/>
    <s v="Task"/>
    <x v="0"/>
    <d v="2015-04-01T18:36:00"/>
    <x v="0"/>
    <x v="0"/>
    <x v="8"/>
    <n v="1"/>
    <m/>
    <n v="141.1"/>
    <n v="24.900000000000002"/>
  </r>
  <r>
    <s v="SBG - Desktop"/>
    <x v="2"/>
    <s v="Task"/>
    <s v="DESK-2399"/>
    <s v="New Home Page banners SPRING"/>
    <s v="Task"/>
    <x v="0"/>
    <d v="2015-04-02T18:30:00"/>
    <x v="0"/>
    <x v="0"/>
    <x v="4"/>
    <n v="1"/>
    <m/>
    <n v="83"/>
    <n v="83"/>
  </r>
  <r>
    <s v="SBG - Desktop"/>
    <x v="1"/>
    <s v="Task"/>
    <s v="DESK-2399"/>
    <s v="New Home Page banners SPRING"/>
    <s v="Task"/>
    <x v="0"/>
    <d v="2015-04-02T18:32:00"/>
    <x v="0"/>
    <x v="0"/>
    <x v="8"/>
    <n v="4"/>
    <m/>
    <n v="141.1"/>
    <n v="24.900000000000002"/>
  </r>
  <r>
    <s v="SBG - Desktop"/>
    <x v="1"/>
    <s v="Task"/>
    <s v="DESK-2400"/>
    <s v="Order Tracking status"/>
    <s v="Task"/>
    <x v="0"/>
    <d v="2015-04-01T17:08:00"/>
    <x v="0"/>
    <x v="0"/>
    <x v="8"/>
    <n v="4"/>
    <m/>
    <n v="141.1"/>
    <n v="24.900000000000002"/>
  </r>
  <r>
    <s v="SBG - Desktop"/>
    <x v="1"/>
    <s v="Task"/>
    <s v="DESK-2400"/>
    <s v="Order Tracking status"/>
    <s v="Task"/>
    <x v="0"/>
    <d v="2015-04-02T17:16:00"/>
    <x v="0"/>
    <x v="0"/>
    <x v="8"/>
    <n v="1.5"/>
    <m/>
    <n v="141.1"/>
    <n v="24.900000000000002"/>
  </r>
  <r>
    <s v="SBG - Desktop"/>
    <x v="1"/>
    <s v="Task"/>
    <s v="DESK-2402"/>
    <s v="TED BAKER - hide logos and redirect"/>
    <s v="Task"/>
    <x v="0"/>
    <d v="2015-04-02T10:48:00"/>
    <x v="0"/>
    <x v="0"/>
    <x v="5"/>
    <n v="1"/>
    <m/>
    <n v="141.1"/>
    <n v="24.900000000000002"/>
  </r>
  <r>
    <s v="SBG - Desktop"/>
    <x v="1"/>
    <s v="Task"/>
    <s v="DESK-2402"/>
    <s v="TED BAKER - hide logos and redirect"/>
    <s v="Task"/>
    <x v="0"/>
    <d v="2015-04-08T17:22:00"/>
    <x v="0"/>
    <x v="0"/>
    <x v="5"/>
    <n v="2"/>
    <m/>
    <n v="141.1"/>
    <n v="24.900000000000002"/>
  </r>
  <r>
    <s v="SBG - Desktop"/>
    <x v="2"/>
    <s v="Task"/>
    <s v="DESK-2403"/>
    <s v="Launch 23/3 or earlier | Criteo Retargeting Tags for AU"/>
    <s v="Task"/>
    <x v="0"/>
    <d v="2015-05-06T12:22:00"/>
    <x v="1"/>
    <x v="0"/>
    <x v="2"/>
    <n v="1"/>
    <m/>
    <n v="141.1"/>
    <n v="24.900000000000002"/>
  </r>
  <r>
    <s v="SBG - Desktop"/>
    <x v="1"/>
    <s v="Improvement"/>
    <s v="DESK-2404"/>
    <s v="NEW RX PAGE - COMPUTER ADD"/>
    <s v="Improvement"/>
    <x v="0"/>
    <d v="2015-04-01T10:46:00"/>
    <x v="0"/>
    <x v="0"/>
    <x v="5"/>
    <n v="4"/>
    <m/>
    <n v="141.1"/>
    <n v="24.900000000000002"/>
  </r>
  <r>
    <s v="SBG - Desktop"/>
    <x v="2"/>
    <s v="Improvement"/>
    <s v="DESK-2404"/>
    <s v="NEW RX PAGE - COMPUTER ADD"/>
    <s v="Improvement"/>
    <x v="0"/>
    <d v="2015-04-13T12:51:00"/>
    <x v="0"/>
    <x v="0"/>
    <x v="6"/>
    <n v="0.5"/>
    <m/>
    <n v="141.1"/>
    <n v="24.900000000000002"/>
  </r>
  <r>
    <s v="SBG - Desktop"/>
    <x v="1"/>
    <s v="Improvement"/>
    <s v="DESK-2404"/>
    <s v="NEW RX PAGE - COMPUTER ADD"/>
    <s v="Improvement"/>
    <x v="0"/>
    <d v="2015-04-13T18:09:00"/>
    <x v="0"/>
    <x v="0"/>
    <x v="5"/>
    <n v="1"/>
    <m/>
    <n v="141.1"/>
    <n v="24.900000000000002"/>
  </r>
  <r>
    <s v="SBG - Desktop"/>
    <x v="1"/>
    <s v="Improvement"/>
    <s v="DESK-2404"/>
    <s v="NEW RX PAGE - COMPUTER ADD"/>
    <s v="Improvement"/>
    <x v="0"/>
    <d v="2015-04-14T10:04:00"/>
    <x v="0"/>
    <x v="0"/>
    <x v="5"/>
    <n v="1"/>
    <m/>
    <n v="141.1"/>
    <n v="24.900000000000002"/>
  </r>
  <r>
    <s v="SBG - Desktop"/>
    <x v="1"/>
    <s v="Improvement"/>
    <s v="DESK-2405"/>
    <s v="Algolia Search Worldwide rollout (catalog localization)"/>
    <s v="Improvement"/>
    <x v="0"/>
    <d v="2015-04-27T16:54:00"/>
    <x v="0"/>
    <x v="0"/>
    <x v="5"/>
    <n v="4"/>
    <m/>
    <n v="141.1"/>
    <n v="24.900000000000002"/>
  </r>
  <r>
    <s v="SBG - Desktop"/>
    <x v="1"/>
    <s v="Improvement"/>
    <s v="DESK-2405"/>
    <s v="Algolia Search Worldwide rollout (catalog localization)"/>
    <s v="Improvement"/>
    <x v="0"/>
    <d v="2015-04-30T17:28:00"/>
    <x v="0"/>
    <x v="0"/>
    <x v="5"/>
    <n v="4"/>
    <m/>
    <n v="141.1"/>
    <n v="24.900000000000002"/>
  </r>
  <r>
    <s v="SBG - Desktop"/>
    <x v="1"/>
    <s v="Improvement"/>
    <s v="DESK-2405"/>
    <s v="Algolia Search Worldwide rollout (catalog localization)"/>
    <s v="Improvement"/>
    <x v="0"/>
    <d v="2015-05-05T11:26:00"/>
    <x v="1"/>
    <x v="0"/>
    <x v="5"/>
    <n v="4"/>
    <m/>
    <n v="141.1"/>
    <n v="24.900000000000002"/>
  </r>
  <r>
    <s v="SBG - Desktop"/>
    <x v="1"/>
    <s v="Improvement"/>
    <s v="DESK-2405"/>
    <s v="Algolia Search Worldwide rollout (catalog localization)"/>
    <s v="Improvement"/>
    <x v="0"/>
    <d v="2015-05-06T17:50:00"/>
    <x v="1"/>
    <x v="0"/>
    <x v="5"/>
    <n v="7"/>
    <m/>
    <n v="141.1"/>
    <n v="24.900000000000002"/>
  </r>
  <r>
    <s v="SBG - Desktop"/>
    <x v="3"/>
    <s v="Improvement"/>
    <s v="DESK-2405"/>
    <s v="Algolia Search Worldwide rollout (catalog localization)"/>
    <s v="Improvement"/>
    <x v="0"/>
    <d v="2015-05-07T16:12:00"/>
    <x v="1"/>
    <x v="0"/>
    <x v="3"/>
    <n v="1"/>
    <m/>
    <n v="83"/>
    <n v="83"/>
  </r>
  <r>
    <s v="SBG - Desktop"/>
    <x v="1"/>
    <s v="Improvement"/>
    <s v="DESK-2405"/>
    <s v="Algolia Search Worldwide rollout (catalog localization)"/>
    <s v="Improvement"/>
    <x v="0"/>
    <d v="2015-05-07T18:35:00"/>
    <x v="1"/>
    <x v="0"/>
    <x v="5"/>
    <n v="4"/>
    <m/>
    <n v="141.1"/>
    <n v="24.900000000000002"/>
  </r>
  <r>
    <s v="SBG - Desktop"/>
    <x v="0"/>
    <s v="Improvement"/>
    <s v="DESK-2406"/>
    <s v="Update RX popup"/>
    <s v="Improvement"/>
    <x v="0"/>
    <d v="2015-04-01T18:38:00"/>
    <x v="0"/>
    <x v="0"/>
    <x v="7"/>
    <n v="0.5"/>
    <m/>
    <n v="83"/>
    <n v="83"/>
  </r>
  <r>
    <s v="SBG - Desktop"/>
    <x v="2"/>
    <s v="Improvement"/>
    <s v="DESK-2406"/>
    <s v="Update RX popup"/>
    <s v="Improvement"/>
    <x v="0"/>
    <d v="2015-04-01T18:57:00"/>
    <x v="0"/>
    <x v="0"/>
    <x v="6"/>
    <n v="4"/>
    <m/>
    <n v="141.1"/>
    <n v="24.900000000000002"/>
  </r>
  <r>
    <s v="SBG - Desktop"/>
    <x v="2"/>
    <s v="Improvement"/>
    <s v="DESK-2406"/>
    <s v="Update RX popup"/>
    <s v="Improvement"/>
    <x v="0"/>
    <d v="2015-04-02T15:47:00"/>
    <x v="0"/>
    <x v="0"/>
    <x v="6"/>
    <n v="5"/>
    <s v="Update the picture suffix naming rules."/>
    <n v="141.1"/>
    <n v="24.900000000000002"/>
  </r>
  <r>
    <s v="SBG - Desktop"/>
    <x v="0"/>
    <s v="Improvement"/>
    <s v="DESK-2406"/>
    <s v="Update RX popup"/>
    <s v="Improvement"/>
    <x v="0"/>
    <d v="2015-04-02T18:36:00"/>
    <x v="0"/>
    <x v="0"/>
    <x v="7"/>
    <n v="2"/>
    <m/>
    <n v="83"/>
    <n v="83"/>
  </r>
  <r>
    <s v="SBG - Desktop"/>
    <x v="1"/>
    <s v="Improvement"/>
    <s v="DESK-2407"/>
    <s v="Contact Lenses Power dropdown"/>
    <s v="Improvement"/>
    <x v="0"/>
    <d v="2015-04-07T15:04:00"/>
    <x v="0"/>
    <x v="0"/>
    <x v="8"/>
    <n v="1"/>
    <m/>
    <n v="141.1"/>
    <n v="24.900000000000002"/>
  </r>
  <r>
    <s v="SBG - Desktop"/>
    <x v="1"/>
    <s v="Improvement"/>
    <s v="DESK-2407"/>
    <s v="Contact Lenses Power dropdown"/>
    <s v="Improvement"/>
    <x v="0"/>
    <d v="2015-04-08T11:13:00"/>
    <x v="0"/>
    <x v="0"/>
    <x v="8"/>
    <n v="1"/>
    <m/>
    <n v="141.1"/>
    <n v="24.900000000000002"/>
  </r>
  <r>
    <s v="SBG - Desktop"/>
    <x v="3"/>
    <s v="Improvement"/>
    <s v="DESK-2407"/>
    <s v="Contact Lenses Power dropdown"/>
    <s v="Improvement"/>
    <x v="0"/>
    <d v="2015-04-09T16:23:00"/>
    <x v="0"/>
    <x v="0"/>
    <x v="3"/>
    <n v="0.5"/>
    <m/>
    <n v="83"/>
    <n v="83"/>
  </r>
  <r>
    <s v="SBG - Desktop"/>
    <x v="1"/>
    <s v="Improvement"/>
    <s v="DESK-2407"/>
    <s v="Contact Lenses Power dropdown"/>
    <s v="Improvement"/>
    <x v="0"/>
    <d v="2015-04-09T18:15:00"/>
    <x v="0"/>
    <x v="0"/>
    <x v="8"/>
    <n v="1.5"/>
    <m/>
    <n v="141.1"/>
    <n v="24.900000000000002"/>
  </r>
  <r>
    <s v="SBG - Desktop"/>
    <x v="1"/>
    <s v="Improvement"/>
    <s v="DESK-2407"/>
    <s v="Contact Lenses Power dropdown"/>
    <s v="Improvement"/>
    <x v="0"/>
    <d v="2015-04-13T11:42:00"/>
    <x v="0"/>
    <x v="0"/>
    <x v="5"/>
    <n v="1"/>
    <m/>
    <n v="141.1"/>
    <n v="24.900000000000002"/>
  </r>
  <r>
    <s v="SBG - Desktop"/>
    <x v="1"/>
    <s v="Improvement"/>
    <s v="DESK-2407"/>
    <s v="Contact Lenses Power dropdown"/>
    <s v="Improvement"/>
    <x v="0"/>
    <d v="2015-04-17T08:21:00"/>
    <x v="0"/>
    <x v="0"/>
    <x v="5"/>
    <n v="8"/>
    <m/>
    <n v="141.1"/>
    <n v="24.900000000000002"/>
  </r>
  <r>
    <s v="SBG - Desktop"/>
    <x v="1"/>
    <s v="Improvement"/>
    <s v="DESK-2408"/>
    <s v="Grid pages Filter simplification"/>
    <s v="Improvement"/>
    <x v="0"/>
    <d v="2015-04-27T18:36:00"/>
    <x v="0"/>
    <x v="0"/>
    <x v="8"/>
    <n v="2"/>
    <m/>
    <n v="141.1"/>
    <n v="24.900000000000002"/>
  </r>
  <r>
    <s v="SBG - Desktop"/>
    <x v="1"/>
    <s v="Improvement"/>
    <s v="DESK-2408"/>
    <s v="Grid pages Filter simplification"/>
    <s v="Improvement"/>
    <x v="0"/>
    <d v="2015-04-28T17:22:00"/>
    <x v="0"/>
    <x v="0"/>
    <x v="8"/>
    <n v="2"/>
    <m/>
    <n v="141.1"/>
    <n v="24.900000000000002"/>
  </r>
  <r>
    <s v="SBG - Desktop"/>
    <x v="1"/>
    <s v="Improvement"/>
    <s v="DESK-2408"/>
    <s v="Grid pages Filter simplification"/>
    <s v="Improvement"/>
    <x v="0"/>
    <d v="2015-04-30T18:36:00"/>
    <x v="0"/>
    <x v="0"/>
    <x v="8"/>
    <n v="2"/>
    <m/>
    <n v="141.1"/>
    <n v="24.900000000000002"/>
  </r>
  <r>
    <s v="SBG - Desktop"/>
    <x v="3"/>
    <s v="Improvement"/>
    <s v="DESK-2409"/>
    <s v="UK return slip update"/>
    <s v="Improvement"/>
    <x v="0"/>
    <d v="2015-04-03T10:24:00"/>
    <x v="0"/>
    <x v="0"/>
    <x v="3"/>
    <n v="0.16700000000000001"/>
    <s v="done"/>
    <n v="83"/>
    <n v="83"/>
  </r>
  <r>
    <s v="SBG - Desktop"/>
    <x v="1"/>
    <s v="Improvement"/>
    <s v="DESK-2411"/>
    <s v="HREF lang sitemap update"/>
    <s v="Improvement"/>
    <x v="0"/>
    <d v="2015-04-02T10:09:00"/>
    <x v="0"/>
    <x v="0"/>
    <x v="1"/>
    <n v="2"/>
    <m/>
    <n v="141.1"/>
    <n v="24.900000000000002"/>
  </r>
  <r>
    <s v="SBG - Desktop"/>
    <x v="1"/>
    <s v="Improvement"/>
    <s v="DESK-2411"/>
    <s v="HREF lang sitemap update"/>
    <s v="Improvement"/>
    <x v="0"/>
    <d v="2015-04-03T11:10:00"/>
    <x v="0"/>
    <x v="0"/>
    <x v="1"/>
    <n v="2"/>
    <m/>
    <n v="141.1"/>
    <n v="24.900000000000002"/>
  </r>
  <r>
    <s v="SBG - Desktop"/>
    <x v="2"/>
    <s v="Sub-task"/>
    <s v="DESK-2414"/>
    <s v="DESK-2405&gt; Use Search category and Brand filter at the same time, sth. wrong"/>
    <s v="Sub-task"/>
    <x v="0"/>
    <d v="2015-04-30T18:44:00"/>
    <x v="0"/>
    <x v="0"/>
    <x v="4"/>
    <n v="2"/>
    <m/>
    <n v="83"/>
    <n v="83"/>
  </r>
  <r>
    <s v="SBG - Desktop"/>
    <x v="2"/>
    <s v="Sub-task"/>
    <s v="DESK-2416"/>
    <s v="DESK-2405&gt; New search - WHOLE line should be a link"/>
    <s v="Sub-task"/>
    <x v="0"/>
    <d v="2015-04-07T18:33:00"/>
    <x v="0"/>
    <x v="0"/>
    <x v="4"/>
    <n v="2"/>
    <m/>
    <n v="83"/>
    <n v="83"/>
  </r>
  <r>
    <s v="SBG - Desktop"/>
    <x v="1"/>
    <s v="Sub-task"/>
    <s v="DESK-2416"/>
    <s v="DESK-2405&gt; New search - WHOLE line should be a link"/>
    <s v="Sub-task"/>
    <x v="0"/>
    <d v="2015-04-09T10:15:00"/>
    <x v="0"/>
    <x v="0"/>
    <x v="1"/>
    <n v="1"/>
    <m/>
    <n v="141.1"/>
    <n v="24.900000000000002"/>
  </r>
  <r>
    <s v="SBG - Desktop"/>
    <x v="3"/>
    <s v="Sub-task"/>
    <s v="DESK-2416"/>
    <s v="DESK-2405&gt; New search - WHOLE line should be a link"/>
    <s v="Sub-task"/>
    <x v="0"/>
    <d v="2015-04-09T16:23:00"/>
    <x v="0"/>
    <x v="0"/>
    <x v="3"/>
    <n v="0.5"/>
    <m/>
    <n v="83"/>
    <n v="83"/>
  </r>
  <r>
    <s v="SBG - Desktop"/>
    <x v="2"/>
    <s v="Sub-task"/>
    <s v="DESK-2423"/>
    <s v="DESK-2405&gt; Some Contact lenses do not have FREE SHIPPING"/>
    <s v="Sub-task"/>
    <x v="0"/>
    <d v="2015-05-06T13:30:00"/>
    <x v="1"/>
    <x v="0"/>
    <x v="2"/>
    <n v="2"/>
    <m/>
    <n v="141.1"/>
    <n v="24.900000000000002"/>
  </r>
  <r>
    <s v="SBG - Desktop"/>
    <x v="2"/>
    <s v="Sub-task"/>
    <s v="DESK-2425"/>
    <s v="DESK-2405&gt; CSS issue on lens colour"/>
    <s v="Sub-task"/>
    <x v="0"/>
    <d v="2015-04-24T18:33:00"/>
    <x v="0"/>
    <x v="0"/>
    <x v="4"/>
    <n v="3"/>
    <m/>
    <n v="83"/>
    <n v="83"/>
  </r>
  <r>
    <s v="SBG - Desktop"/>
    <x v="0"/>
    <s v="Sub-task"/>
    <s v="DESK-2425"/>
    <s v="DESK-2405&gt; CSS issue on lens colour"/>
    <s v="Sub-task"/>
    <x v="0"/>
    <d v="2015-04-24T18:36:00"/>
    <x v="0"/>
    <x v="0"/>
    <x v="7"/>
    <n v="2"/>
    <m/>
    <n v="83"/>
    <n v="83"/>
  </r>
  <r>
    <s v="SBG - Desktop"/>
    <x v="1"/>
    <s v="Sub-task"/>
    <s v="DESK-2426"/>
    <s v="DESK-2405&gt; No need to list product category in the grid name"/>
    <s v="Sub-task"/>
    <x v="0"/>
    <d v="2015-04-29T15:22:00"/>
    <x v="0"/>
    <x v="0"/>
    <x v="5"/>
    <n v="1"/>
    <m/>
    <n v="141.1"/>
    <n v="24.900000000000002"/>
  </r>
  <r>
    <s v="SBG - Desktop"/>
    <x v="2"/>
    <s v="Sub-task"/>
    <s v="DESK-2427"/>
    <s v="DESK-2405&gt; Adjust CSS to take full width"/>
    <s v="Sub-task"/>
    <x v="0"/>
    <d v="2015-04-28T17:48:00"/>
    <x v="0"/>
    <x v="0"/>
    <x v="4"/>
    <n v="2"/>
    <m/>
    <n v="83"/>
    <n v="83"/>
  </r>
  <r>
    <s v="SBG - Desktop"/>
    <x v="2"/>
    <s v="Sub-task"/>
    <s v="DESK-2428"/>
    <s v="DESK-2405&gt; Special features"/>
    <s v="Sub-task"/>
    <x v="0"/>
    <d v="2015-04-30T18:44:00"/>
    <x v="0"/>
    <x v="0"/>
    <x v="4"/>
    <n v="2.5"/>
    <m/>
    <n v="83"/>
    <n v="83"/>
  </r>
  <r>
    <s v="SBG - Desktop"/>
    <x v="2"/>
    <s v="Sub-task"/>
    <s v="DESK-2433"/>
    <s v="DESK-2405&gt; Marketing promotion CSS issue on new Search results page"/>
    <s v="Sub-task"/>
    <x v="0"/>
    <d v="2015-04-27T18:28:00"/>
    <x v="0"/>
    <x v="0"/>
    <x v="4"/>
    <n v="5.5"/>
    <m/>
    <n v="83"/>
    <n v="83"/>
  </r>
  <r>
    <s v="SBG - Desktop"/>
    <x v="1"/>
    <s v="Sub-task"/>
    <s v="DESK-2433"/>
    <s v="DESK-2405&gt; Marketing promotion CSS issue on new Search results page"/>
    <s v="Sub-task"/>
    <x v="0"/>
    <d v="2015-04-27T18:44:00"/>
    <x v="0"/>
    <x v="0"/>
    <x v="5"/>
    <n v="1"/>
    <m/>
    <n v="141.1"/>
    <n v="24.900000000000002"/>
  </r>
  <r>
    <s v="SBG - Desktop"/>
    <x v="1"/>
    <s v="Sub-task"/>
    <s v="DESK-2434"/>
    <s v="DESK-2405&gt; Press ENTER on the search results page = should send API request not reload page"/>
    <s v="Sub-task"/>
    <x v="0"/>
    <d v="2015-05-05T11:26:00"/>
    <x v="1"/>
    <x v="0"/>
    <x v="5"/>
    <n v="1"/>
    <m/>
    <n v="141.1"/>
    <n v="24.900000000000002"/>
  </r>
  <r>
    <s v="SBG - Desktop"/>
    <x v="2"/>
    <s v="Sub-task"/>
    <s v="DESK-2436"/>
    <s v="DESK-2405&gt; Partial API Bug"/>
    <s v="Sub-task"/>
    <x v="0"/>
    <d v="2015-05-21T22:50:00"/>
    <x v="1"/>
    <x v="0"/>
    <x v="2"/>
    <n v="4"/>
    <m/>
    <n v="141.1"/>
    <n v="24.900000000000002"/>
  </r>
  <r>
    <s v="SBG - Desktop"/>
    <x v="2"/>
    <s v="Sub-task"/>
    <s v="DESK-2436"/>
    <s v="DESK-2405&gt; Partial API Bug"/>
    <s v="Sub-task"/>
    <x v="0"/>
    <d v="2015-05-28T16:21:00"/>
    <x v="1"/>
    <x v="0"/>
    <x v="2"/>
    <n v="4"/>
    <m/>
    <n v="141.1"/>
    <n v="24.900000000000002"/>
  </r>
  <r>
    <s v="SBG - Desktop"/>
    <x v="2"/>
    <s v="Sub-task"/>
    <s v="DESK-2436"/>
    <s v="DESK-2405&gt; Partial API Bug"/>
    <s v="Sub-task"/>
    <x v="0"/>
    <d v="2015-05-29T18:38:00"/>
    <x v="1"/>
    <x v="0"/>
    <x v="2"/>
    <n v="8"/>
    <m/>
    <n v="141.1"/>
    <n v="24.900000000000002"/>
  </r>
  <r>
    <s v="SBG - Desktop"/>
    <x v="2"/>
    <s v="Technical task"/>
    <s v="DESK-2455"/>
    <s v="DESK-2405&gt; Algolia API implementation"/>
    <s v="Technical task"/>
    <x v="0"/>
    <d v="2015-04-04T18:30:00"/>
    <x v="0"/>
    <x v="0"/>
    <x v="2"/>
    <n v="8"/>
    <m/>
    <n v="141.1"/>
    <n v="24.900000000000002"/>
  </r>
  <r>
    <s v="SBG - Desktop"/>
    <x v="2"/>
    <s v="Technical task"/>
    <s v="DESK-2455"/>
    <s v="DESK-2405&gt; Algolia API implementation"/>
    <s v="Technical task"/>
    <x v="0"/>
    <d v="2015-04-07T16:39:00"/>
    <x v="0"/>
    <x v="0"/>
    <x v="2"/>
    <n v="7"/>
    <m/>
    <n v="141.1"/>
    <n v="24.900000000000002"/>
  </r>
  <r>
    <s v="SBG - Desktop"/>
    <x v="2"/>
    <s v="Technical task"/>
    <s v="DESK-2455"/>
    <s v="DESK-2405&gt; Algolia API implementation"/>
    <s v="Technical task"/>
    <x v="0"/>
    <d v="2015-04-11T18:33:00"/>
    <x v="0"/>
    <x v="0"/>
    <x v="2"/>
    <n v="4"/>
    <m/>
    <n v="141.1"/>
    <n v="24.900000000000002"/>
  </r>
  <r>
    <s v="SBG - Desktop"/>
    <x v="2"/>
    <s v="Technical task"/>
    <s v="DESK-2455"/>
    <s v="DESK-2405&gt; Algolia API implementation"/>
    <s v="Technical task"/>
    <x v="0"/>
    <d v="2015-04-13T18:56:00"/>
    <x v="0"/>
    <x v="0"/>
    <x v="2"/>
    <n v="8"/>
    <s v="coding and rebuild the table"/>
    <n v="141.1"/>
    <n v="24.900000000000002"/>
  </r>
  <r>
    <s v="SBG - Desktop"/>
    <x v="2"/>
    <s v="Technical task"/>
    <s v="DESK-2455"/>
    <s v="DESK-2405&gt; Algolia API implementation"/>
    <s v="Technical task"/>
    <x v="0"/>
    <d v="2015-04-14T18:56:00"/>
    <x v="0"/>
    <x v="0"/>
    <x v="2"/>
    <n v="8"/>
    <s v="fixed shape, type, material bug"/>
    <n v="141.1"/>
    <n v="24.900000000000002"/>
  </r>
  <r>
    <s v="SBG - Desktop"/>
    <x v="2"/>
    <s v="Technical task"/>
    <s v="DESK-2455"/>
    <s v="DESK-2405&gt; Algolia API implementation"/>
    <s v="Technical task"/>
    <x v="0"/>
    <d v="2015-04-15T18:55:00"/>
    <x v="0"/>
    <x v="0"/>
    <x v="2"/>
    <n v="8"/>
    <m/>
    <n v="141.1"/>
    <n v="24.900000000000002"/>
  </r>
  <r>
    <s v="SBG - Desktop"/>
    <x v="2"/>
    <s v="Technical task"/>
    <s v="DESK-2455"/>
    <s v="DESK-2405&gt; Algolia API implementation"/>
    <s v="Technical task"/>
    <x v="0"/>
    <d v="2015-04-16T18:54:00"/>
    <x v="0"/>
    <x v="0"/>
    <x v="2"/>
    <n v="8"/>
    <s v="split the one table to tree table and test because one table couldn't store so much row"/>
    <n v="141.1"/>
    <n v="24.900000000000002"/>
  </r>
  <r>
    <s v="SBG - Desktop"/>
    <x v="2"/>
    <s v="Technical task"/>
    <s v="DESK-2455"/>
    <s v="DESK-2405&gt; Algolia API implementation"/>
    <s v="Technical task"/>
    <x v="0"/>
    <d v="2015-04-18T18:28:00"/>
    <x v="0"/>
    <x v="0"/>
    <x v="2"/>
    <n v="8"/>
    <m/>
    <n v="141.1"/>
    <n v="24.900000000000002"/>
  </r>
  <r>
    <s v="SBG - Desktop"/>
    <x v="2"/>
    <s v="Technical task"/>
    <s v="DESK-2455"/>
    <s v="DESK-2405&gt; Algolia API implementation"/>
    <s v="Technical task"/>
    <x v="0"/>
    <d v="2015-04-20T10:12:00"/>
    <x v="0"/>
    <x v="0"/>
    <x v="2"/>
    <n v="8"/>
    <m/>
    <n v="141.1"/>
    <n v="24.900000000000002"/>
  </r>
  <r>
    <s v="SBG - Desktop"/>
    <x v="2"/>
    <s v="Technical task"/>
    <s v="DESK-2455"/>
    <s v="DESK-2405&gt; Algolia API implementation"/>
    <s v="Technical task"/>
    <x v="0"/>
    <d v="2015-04-21T10:13:00"/>
    <x v="0"/>
    <x v="0"/>
    <x v="2"/>
    <n v="8"/>
    <m/>
    <n v="141.1"/>
    <n v="24.900000000000002"/>
  </r>
  <r>
    <s v="SBG - Desktop"/>
    <x v="2"/>
    <s v="Technical task"/>
    <s v="DESK-2455"/>
    <s v="DESK-2405&gt; Algolia API implementation"/>
    <s v="Technical task"/>
    <x v="0"/>
    <d v="2015-04-22T10:13:00"/>
    <x v="0"/>
    <x v="0"/>
    <x v="2"/>
    <n v="8"/>
    <m/>
    <n v="141.1"/>
    <n v="24.900000000000002"/>
  </r>
  <r>
    <s v="SBG - Desktop"/>
    <x v="2"/>
    <s v="Technical task"/>
    <s v="DESK-2455"/>
    <s v="DESK-2405&gt; Algolia API implementation"/>
    <s v="Technical task"/>
    <x v="0"/>
    <d v="2015-04-23T10:14:00"/>
    <x v="0"/>
    <x v="0"/>
    <x v="2"/>
    <n v="8"/>
    <m/>
    <n v="141.1"/>
    <n v="24.900000000000002"/>
  </r>
  <r>
    <s v="SBG - Desktop"/>
    <x v="2"/>
    <s v="Technical task"/>
    <s v="DESK-2455"/>
    <s v="DESK-2405&gt; Algolia API implementation"/>
    <s v="Technical task"/>
    <x v="0"/>
    <d v="2015-04-24T18:14:00"/>
    <x v="0"/>
    <x v="0"/>
    <x v="2"/>
    <n v="8"/>
    <m/>
    <n v="141.1"/>
    <n v="24.900000000000002"/>
  </r>
  <r>
    <s v="SBG - Desktop"/>
    <x v="2"/>
    <s v="Technical task"/>
    <s v="DESK-2455"/>
    <s v="DESK-2405&gt; Algolia API implementation"/>
    <s v="Technical task"/>
    <x v="0"/>
    <d v="2015-05-04T18:35:00"/>
    <x v="1"/>
    <x v="0"/>
    <x v="2"/>
    <n v="8"/>
    <m/>
    <n v="141.1"/>
    <n v="24.900000000000002"/>
  </r>
  <r>
    <s v="SBG - Desktop"/>
    <x v="2"/>
    <s v="Technical task"/>
    <s v="DESK-2455"/>
    <s v="DESK-2405&gt; Algolia API implementation"/>
    <s v="Technical task"/>
    <x v="0"/>
    <d v="2015-05-05T18:02:00"/>
    <x v="1"/>
    <x v="0"/>
    <x v="2"/>
    <n v="8"/>
    <m/>
    <n v="141.1"/>
    <n v="24.900000000000002"/>
  </r>
  <r>
    <s v="SBG - Desktop"/>
    <x v="1"/>
    <s v="Technical task"/>
    <s v="DESK-2455"/>
    <s v="DESK-2405&gt; Algolia API implementation"/>
    <s v="Technical task"/>
    <x v="0"/>
    <d v="2015-05-25T18:28:00"/>
    <x v="1"/>
    <x v="0"/>
    <x v="1"/>
    <n v="1"/>
    <m/>
    <n v="141.1"/>
    <n v="24.900000000000002"/>
  </r>
  <r>
    <s v="SBG - Desktop"/>
    <x v="1"/>
    <s v="Technical task"/>
    <s v="DESK-2472"/>
    <s v="DESK-2410&gt; Package name in Summary"/>
    <s v="Technical task"/>
    <x v="0"/>
    <d v="2015-04-20T11:45:00"/>
    <x v="0"/>
    <x v="0"/>
    <x v="5"/>
    <n v="2"/>
    <m/>
    <n v="141.1"/>
    <n v="24.900000000000002"/>
  </r>
  <r>
    <s v="SBG - Desktop"/>
    <x v="1"/>
    <s v="Technical task"/>
    <s v="DESK-2472"/>
    <s v="DESK-2410&gt; Package name in Summary"/>
    <s v="Technical task"/>
    <x v="0"/>
    <d v="2015-04-22T12:21:00"/>
    <x v="0"/>
    <x v="0"/>
    <x v="5"/>
    <n v="4"/>
    <m/>
    <n v="141.1"/>
    <n v="24.900000000000002"/>
  </r>
  <r>
    <s v="SBG - Desktop"/>
    <x v="1"/>
    <s v="Technical task"/>
    <s v="DESK-2472"/>
    <s v="DESK-2410&gt; Package name in Summary"/>
    <s v="Technical task"/>
    <x v="0"/>
    <d v="2015-04-24T10:21:00"/>
    <x v="0"/>
    <x v="0"/>
    <x v="5"/>
    <n v="6"/>
    <m/>
    <n v="141.1"/>
    <n v="24.900000000000002"/>
  </r>
  <r>
    <s v="SBG - Desktop"/>
    <x v="3"/>
    <s v="Bug"/>
    <s v="DESK-2483"/>
    <s v="CSS issue quick view"/>
    <s v="Bug"/>
    <x v="1"/>
    <d v="2015-05-26T10:00:00"/>
    <x v="1"/>
    <x v="0"/>
    <x v="3"/>
    <n v="0.5"/>
    <m/>
    <n v="83"/>
    <n v="83"/>
  </r>
  <r>
    <s v="SBG - Desktop"/>
    <x v="0"/>
    <s v="Bug"/>
    <s v="DESK-2483"/>
    <s v="CSS issue quick view"/>
    <s v="Bug"/>
    <x v="1"/>
    <d v="2015-05-26T18:32:00"/>
    <x v="1"/>
    <x v="0"/>
    <x v="7"/>
    <n v="0.5"/>
    <m/>
    <n v="83"/>
    <n v="83"/>
  </r>
  <r>
    <s v="SBG - Desktop"/>
    <x v="0"/>
    <s v="Bug"/>
    <s v="DESK-2483"/>
    <s v="CSS issue quick view"/>
    <s v="Bug"/>
    <x v="1"/>
    <d v="2015-05-31T15:08:00"/>
    <x v="1"/>
    <x v="0"/>
    <x v="7"/>
    <n v="20"/>
    <m/>
    <n v="83"/>
    <n v="83"/>
  </r>
  <r>
    <s v="SBG - Desktop"/>
    <x v="3"/>
    <s v="Bug"/>
    <s v="DESK-2484"/>
    <s v="BR Checkout - Do not use Country Dropdown for BILLING"/>
    <s v="Bug"/>
    <x v="1"/>
    <d v="2015-05-28T12:53:00"/>
    <x v="1"/>
    <x v="0"/>
    <x v="3"/>
    <n v="0.5"/>
    <m/>
    <n v="83"/>
    <n v="83"/>
  </r>
  <r>
    <s v="SBG - Desktop"/>
    <x v="2"/>
    <s v="Bug"/>
    <s v="DESK-2485"/>
    <s v="Reading / Computer ADD optional"/>
    <s v="Bug"/>
    <x v="1"/>
    <d v="2015-04-13T12:30:00"/>
    <x v="0"/>
    <x v="0"/>
    <x v="6"/>
    <n v="1.5"/>
    <s v="Modify and test."/>
    <n v="141.1"/>
    <n v="24.900000000000002"/>
  </r>
  <r>
    <s v="SBG - Desktop"/>
    <x v="1"/>
    <s v="Bug"/>
    <s v="DESK-2485"/>
    <s v="Reading / Computer ADD optional"/>
    <s v="Bug"/>
    <x v="1"/>
    <d v="2015-04-13T18:09:00"/>
    <x v="0"/>
    <x v="0"/>
    <x v="5"/>
    <n v="1"/>
    <m/>
    <n v="141.1"/>
    <n v="24.900000000000002"/>
  </r>
  <r>
    <s v="SBG - Desktop"/>
    <x v="1"/>
    <s v="Bug"/>
    <s v="DESK-2485"/>
    <s v="Reading / Computer ADD optional"/>
    <s v="Bug"/>
    <x v="1"/>
    <d v="2015-04-14T10:15:00"/>
    <x v="0"/>
    <x v="0"/>
    <x v="5"/>
    <n v="1"/>
    <m/>
    <n v="141.1"/>
    <n v="24.900000000000002"/>
  </r>
  <r>
    <s v="SBG - Desktop"/>
    <x v="1"/>
    <s v="Bug"/>
    <s v="DESK-2485"/>
    <s v="Reading / Computer ADD optional"/>
    <s v="Bug"/>
    <x v="1"/>
    <d v="2015-05-08T10:48:00"/>
    <x v="1"/>
    <x v="0"/>
    <x v="5"/>
    <n v="2"/>
    <m/>
    <n v="141.1"/>
    <n v="24.900000000000002"/>
  </r>
  <r>
    <s v="SBG - Desktop"/>
    <x v="2"/>
    <s v="Bug"/>
    <s v="DESK-2486"/>
    <s v="DISCONTINUED PRODUCTS &gt; Send to Algolia a Delete request for this record"/>
    <s v="Bug"/>
    <x v="1"/>
    <d v="2015-05-22T18:03:00"/>
    <x v="1"/>
    <x v="0"/>
    <x v="2"/>
    <n v="8"/>
    <m/>
    <n v="141.1"/>
    <n v="24.900000000000002"/>
  </r>
  <r>
    <s v="SBG - Desktop"/>
    <x v="2"/>
    <s v="Bug"/>
    <s v="DESK-2486"/>
    <s v="DISCONTINUED PRODUCTS &gt; Send to Algolia a Delete request for this record"/>
    <s v="Bug"/>
    <x v="1"/>
    <d v="2015-05-27T18:02:00"/>
    <x v="1"/>
    <x v="0"/>
    <x v="2"/>
    <n v="8"/>
    <m/>
    <n v="141.1"/>
    <n v="24.900000000000002"/>
  </r>
  <r>
    <s v="SBG - Desktop"/>
    <x v="1"/>
    <s v="Bug"/>
    <s v="DESK-2487"/>
    <s v="Click any logo in Health Fund email, redirect to a page with messy css style"/>
    <s v="Bug"/>
    <x v="1"/>
    <d v="2015-05-14T11:45:00"/>
    <x v="1"/>
    <x v="0"/>
    <x v="1"/>
    <n v="1.5"/>
    <m/>
    <n v="141.1"/>
    <n v="24.900000000000002"/>
  </r>
  <r>
    <s v="SBG - Desktop"/>
    <x v="1"/>
    <s v="Bug"/>
    <s v="DESK-2487"/>
    <s v="Click any logo in Health Fund email, redirect to a page with messy css style"/>
    <s v="Bug"/>
    <x v="1"/>
    <d v="2015-05-15T12:54:00"/>
    <x v="1"/>
    <x v="0"/>
    <x v="1"/>
    <n v="0.5"/>
    <m/>
    <n v="141.1"/>
    <n v="24.900000000000002"/>
  </r>
  <r>
    <s v="SBG - Desktop"/>
    <x v="0"/>
    <s v="New Feature"/>
    <s v="DESK-2490"/>
    <s v="New Logo"/>
    <s v="New Feature"/>
    <x v="0"/>
    <d v="2015-05-08T15:45:00"/>
    <x v="1"/>
    <x v="0"/>
    <x v="7"/>
    <n v="1"/>
    <m/>
    <n v="83"/>
    <n v="83"/>
  </r>
  <r>
    <s v="SBG - Desktop"/>
    <x v="0"/>
    <s v="New Feature"/>
    <s v="DESK-2490"/>
    <s v="New Logo"/>
    <s v="New Feature"/>
    <x v="0"/>
    <d v="2015-05-08T18:43:00"/>
    <x v="1"/>
    <x v="0"/>
    <x v="7"/>
    <n v="1"/>
    <m/>
    <n v="83"/>
    <n v="83"/>
  </r>
  <r>
    <s v="SBG - Desktop"/>
    <x v="2"/>
    <s v="New Feature"/>
    <s v="DESK-2491"/>
    <s v="Marketing top bar on all pages for selected domains"/>
    <s v="New Feature"/>
    <x v="0"/>
    <d v="2015-04-14T18:38:00"/>
    <x v="0"/>
    <x v="0"/>
    <x v="4"/>
    <n v="5"/>
    <m/>
    <n v="83"/>
    <n v="83"/>
  </r>
  <r>
    <s v="SBG - Desktop"/>
    <x v="1"/>
    <s v="New Feature"/>
    <s v="DESK-2491"/>
    <s v="Marketing top bar on all pages for selected domains"/>
    <s v="New Feature"/>
    <x v="0"/>
    <d v="2015-04-15T11:32:00"/>
    <x v="0"/>
    <x v="0"/>
    <x v="5"/>
    <n v="2"/>
    <m/>
    <n v="141.1"/>
    <n v="24.900000000000002"/>
  </r>
  <r>
    <s v="SBG - Desktop"/>
    <x v="2"/>
    <s v="New Feature"/>
    <s v="DESK-2491"/>
    <s v="Marketing top bar on all pages for selected domains"/>
    <s v="New Feature"/>
    <x v="0"/>
    <d v="2015-04-17T18:33:00"/>
    <x v="0"/>
    <x v="0"/>
    <x v="4"/>
    <n v="2"/>
    <m/>
    <n v="83"/>
    <n v="83"/>
  </r>
  <r>
    <s v="SBG - Desktop"/>
    <x v="2"/>
    <s v="New Feature"/>
    <s v="DESK-2491"/>
    <s v="Marketing top bar on all pages for selected domains"/>
    <s v="New Feature"/>
    <x v="0"/>
    <d v="2015-04-20T18:36:00"/>
    <x v="0"/>
    <x v="0"/>
    <x v="4"/>
    <n v="6"/>
    <m/>
    <n v="83"/>
    <n v="83"/>
  </r>
  <r>
    <s v="SBG - Desktop"/>
    <x v="1"/>
    <s v="New Feature"/>
    <s v="DESK-2491"/>
    <s v="Marketing top bar on all pages for selected domains"/>
    <s v="New Feature"/>
    <x v="0"/>
    <d v="2015-04-21T17:32:00"/>
    <x v="0"/>
    <x v="0"/>
    <x v="5"/>
    <n v="2"/>
    <m/>
    <n v="141.1"/>
    <n v="24.900000000000002"/>
  </r>
  <r>
    <s v="SBG - Desktop"/>
    <x v="2"/>
    <s v="New Feature"/>
    <s v="DESK-2491"/>
    <s v="Marketing top bar on all pages for selected domains"/>
    <s v="New Feature"/>
    <x v="0"/>
    <d v="2015-04-21T18:45:00"/>
    <x v="0"/>
    <x v="0"/>
    <x v="4"/>
    <n v="3"/>
    <m/>
    <n v="83"/>
    <n v="83"/>
  </r>
  <r>
    <s v="SBG - Desktop"/>
    <x v="1"/>
    <s v="New Feature"/>
    <s v="DESK-2491"/>
    <s v="Marketing top bar on all pages for selected domains"/>
    <s v="New Feature"/>
    <x v="0"/>
    <d v="2015-04-22T17:10:00"/>
    <x v="0"/>
    <x v="0"/>
    <x v="8"/>
    <n v="0.5"/>
    <m/>
    <n v="141.1"/>
    <n v="24.900000000000002"/>
  </r>
  <r>
    <s v="SBG - Desktop"/>
    <x v="1"/>
    <s v="New Feature"/>
    <s v="DESK-2491"/>
    <s v="Marketing top bar on all pages for selected domains"/>
    <s v="New Feature"/>
    <x v="0"/>
    <d v="2015-04-23T16:41:00"/>
    <x v="0"/>
    <x v="0"/>
    <x v="5"/>
    <n v="2"/>
    <m/>
    <n v="141.1"/>
    <n v="24.900000000000002"/>
  </r>
  <r>
    <s v="SBG - Desktop"/>
    <x v="1"/>
    <s v="New Feature"/>
    <s v="DESK-2491"/>
    <s v="Marketing top bar on all pages for selected domains"/>
    <s v="New Feature"/>
    <x v="0"/>
    <d v="2015-04-23T16:41:00"/>
    <x v="0"/>
    <x v="0"/>
    <x v="5"/>
    <n v="1"/>
    <m/>
    <n v="141.1"/>
    <n v="24.900000000000002"/>
  </r>
  <r>
    <s v="SBG - Desktop"/>
    <x v="1"/>
    <s v="New Feature"/>
    <s v="DESK-2491"/>
    <s v="Marketing top bar on all pages for selected domains"/>
    <s v="New Feature"/>
    <x v="0"/>
    <d v="2015-04-29T17:55:00"/>
    <x v="0"/>
    <x v="0"/>
    <x v="8"/>
    <n v="3"/>
    <m/>
    <n v="141.1"/>
    <n v="24.900000000000002"/>
  </r>
  <r>
    <s v="SBG - Desktop"/>
    <x v="1"/>
    <s v="New Feature"/>
    <s v="DESK-2491"/>
    <s v="Marketing top bar on all pages for selected domains"/>
    <s v="New Feature"/>
    <x v="0"/>
    <d v="2015-04-30T18:36:00"/>
    <x v="0"/>
    <x v="0"/>
    <x v="8"/>
    <n v="3"/>
    <m/>
    <n v="141.1"/>
    <n v="24.900000000000002"/>
  </r>
  <r>
    <s v="SBG - Desktop"/>
    <x v="2"/>
    <s v="New Feature"/>
    <s v="DESK-2492"/>
    <s v="OMNI HTML Update"/>
    <s v="New Feature"/>
    <x v="0"/>
    <d v="2015-04-27T18:29:00"/>
    <x v="0"/>
    <x v="0"/>
    <x v="4"/>
    <n v="3"/>
    <m/>
    <n v="83"/>
    <n v="83"/>
  </r>
  <r>
    <s v="SBG - Desktop"/>
    <x v="2"/>
    <s v="New Feature"/>
    <s v="DESK-2492"/>
    <s v="OMNI HTML Update"/>
    <s v="New Feature"/>
    <x v="0"/>
    <d v="2015-04-28T18:33:00"/>
    <x v="0"/>
    <x v="0"/>
    <x v="4"/>
    <n v="6"/>
    <m/>
    <n v="83"/>
    <n v="83"/>
  </r>
  <r>
    <s v="SBG - Desktop"/>
    <x v="2"/>
    <s v="New Feature"/>
    <s v="DESK-2492"/>
    <s v="OMNI HTML Update"/>
    <s v="New Feature"/>
    <x v="0"/>
    <d v="2015-04-29T18:32:00"/>
    <x v="0"/>
    <x v="0"/>
    <x v="4"/>
    <n v="2"/>
    <m/>
    <n v="83"/>
    <n v="83"/>
  </r>
  <r>
    <s v="SBG - Desktop"/>
    <x v="2"/>
    <s v="New Feature"/>
    <s v="DESK-2492"/>
    <s v="OMNI HTML Update"/>
    <s v="New Feature"/>
    <x v="0"/>
    <d v="2015-04-30T18:45:00"/>
    <x v="0"/>
    <x v="0"/>
    <x v="4"/>
    <n v="2.5"/>
    <m/>
    <n v="83"/>
    <n v="83"/>
  </r>
  <r>
    <s v="SBG - Desktop"/>
    <x v="2"/>
    <s v="New Feature"/>
    <s v="DESK-2492"/>
    <s v="OMNI HTML Update"/>
    <s v="New Feature"/>
    <x v="0"/>
    <d v="2015-05-07T18:30:00"/>
    <x v="1"/>
    <x v="0"/>
    <x v="4"/>
    <n v="1"/>
    <m/>
    <n v="83"/>
    <n v="83"/>
  </r>
  <r>
    <s v="SBG - Desktop"/>
    <x v="2"/>
    <s v="New Feature"/>
    <s v="DESK-2492"/>
    <s v="OMNI HTML Update"/>
    <s v="New Feature"/>
    <x v="0"/>
    <d v="2015-05-08T18:40:00"/>
    <x v="1"/>
    <x v="0"/>
    <x v="4"/>
    <n v="1.5"/>
    <m/>
    <n v="83"/>
    <n v="83"/>
  </r>
  <r>
    <s v="SBG - Desktop"/>
    <x v="0"/>
    <s v="New Feature"/>
    <s v="DESK-2493"/>
    <s v="New Logo"/>
    <s v="New Feature"/>
    <x v="0"/>
    <d v="2015-04-21T09:55:00"/>
    <x v="0"/>
    <x v="0"/>
    <x v="0"/>
    <n v="0.5"/>
    <m/>
    <n v="83"/>
    <n v="83"/>
  </r>
  <r>
    <s v="SBG - Desktop"/>
    <x v="2"/>
    <s v="New Feature"/>
    <s v="DESK-2494"/>
    <s v="add one brand Smith Goggles"/>
    <s v="New Feature"/>
    <x v="0"/>
    <d v="2015-05-07T16:27:00"/>
    <x v="1"/>
    <x v="0"/>
    <x v="6"/>
    <n v="1"/>
    <m/>
    <n v="141.1"/>
    <n v="24.900000000000002"/>
  </r>
  <r>
    <s v="SBG - Desktop"/>
    <x v="2"/>
    <s v="New Feature"/>
    <s v="DESK-2495"/>
    <s v="Please Add Student Discount link in the footer to the following domains "/>
    <s v="New Feature"/>
    <x v="0"/>
    <d v="2015-05-04T17:24:00"/>
    <x v="1"/>
    <x v="0"/>
    <x v="11"/>
    <n v="4"/>
    <s v="works on local"/>
    <n v="141.1"/>
    <n v="24.900000000000002"/>
  </r>
  <r>
    <s v="SBG - Desktop"/>
    <x v="1"/>
    <s v="New Feature"/>
    <s v="DESK-2495"/>
    <s v="Please Add Student Discount link in the footer to the following domains "/>
    <s v="New Feature"/>
    <x v="0"/>
    <d v="2015-05-05T12:01:00"/>
    <x v="1"/>
    <x v="0"/>
    <x v="8"/>
    <n v="2"/>
    <m/>
    <n v="141.1"/>
    <n v="24.900000000000002"/>
  </r>
  <r>
    <s v="SBG - Desktop"/>
    <x v="1"/>
    <s v="New Feature"/>
    <s v="DESK-2495"/>
    <s v="Please Add Student Discount link in the footer to the following domains "/>
    <s v="New Feature"/>
    <x v="0"/>
    <d v="2015-05-07T18:01:00"/>
    <x v="1"/>
    <x v="0"/>
    <x v="8"/>
    <n v="1"/>
    <m/>
    <n v="141.1"/>
    <n v="24.900000000000002"/>
  </r>
  <r>
    <s v="SBG - Desktop"/>
    <x v="3"/>
    <s v="New Feature"/>
    <s v="DESK-2496"/>
    <s v="Medibank integration"/>
    <s v="New Feature"/>
    <x v="0"/>
    <d v="2015-05-07T12:46:00"/>
    <x v="1"/>
    <x v="0"/>
    <x v="3"/>
    <n v="0.5"/>
    <m/>
    <n v="83"/>
    <n v="83"/>
  </r>
  <r>
    <s v="SBG - Desktop"/>
    <x v="0"/>
    <s v="New Feature"/>
    <s v="DESK-2496"/>
    <s v="Medibank integration"/>
    <s v="New Feature"/>
    <x v="0"/>
    <d v="2015-05-08T18:43:00"/>
    <x v="1"/>
    <x v="0"/>
    <x v="7"/>
    <n v="6"/>
    <m/>
    <n v="83"/>
    <n v="83"/>
  </r>
  <r>
    <s v="SBG - Desktop"/>
    <x v="2"/>
    <s v="New Feature"/>
    <s v="DESK-2496"/>
    <s v="Medibank integration"/>
    <s v="New Feature"/>
    <x v="0"/>
    <d v="2015-05-11T17:01:00"/>
    <x v="1"/>
    <x v="0"/>
    <x v="2"/>
    <n v="1"/>
    <m/>
    <n v="141.1"/>
    <n v="24.900000000000002"/>
  </r>
  <r>
    <s v="SBG - Desktop"/>
    <x v="0"/>
    <s v="New Feature"/>
    <s v="DESK-2496"/>
    <s v="Medibank integration"/>
    <s v="New Feature"/>
    <x v="0"/>
    <d v="2015-05-11T18:36:00"/>
    <x v="1"/>
    <x v="0"/>
    <x v="7"/>
    <n v="7"/>
    <m/>
    <n v="83"/>
    <n v="83"/>
  </r>
  <r>
    <s v="SBG - Desktop"/>
    <x v="1"/>
    <s v="New Feature"/>
    <s v="DESK-2496"/>
    <s v="Medibank integration"/>
    <s v="New Feature"/>
    <x v="0"/>
    <d v="2015-05-11T18:38:00"/>
    <x v="1"/>
    <x v="0"/>
    <x v="1"/>
    <n v="3"/>
    <m/>
    <n v="141.1"/>
    <n v="24.900000000000002"/>
  </r>
  <r>
    <s v="SBG - Desktop"/>
    <x v="2"/>
    <s v="New Feature"/>
    <s v="DESK-2496"/>
    <s v="Medibank integration"/>
    <s v="New Feature"/>
    <x v="0"/>
    <d v="2015-05-13T18:44:00"/>
    <x v="1"/>
    <x v="0"/>
    <x v="4"/>
    <n v="4"/>
    <m/>
    <n v="83"/>
    <n v="83"/>
  </r>
  <r>
    <s v="SBG - Desktop"/>
    <x v="1"/>
    <s v="New Feature"/>
    <s v="DESK-2496"/>
    <s v="Medibank integration"/>
    <s v="New Feature"/>
    <x v="0"/>
    <d v="2015-05-14T11:47:00"/>
    <x v="1"/>
    <x v="0"/>
    <x v="1"/>
    <n v="2"/>
    <m/>
    <n v="141.1"/>
    <n v="24.900000000000002"/>
  </r>
  <r>
    <s v="SBG - Desktop"/>
    <x v="1"/>
    <s v="New Feature"/>
    <s v="DESK-2496"/>
    <s v="Medibank integration"/>
    <s v="New Feature"/>
    <x v="0"/>
    <d v="2015-05-15T12:54:00"/>
    <x v="1"/>
    <x v="0"/>
    <x v="1"/>
    <n v="4"/>
    <m/>
    <n v="141.1"/>
    <n v="24.900000000000002"/>
  </r>
  <r>
    <s v="SBG - Desktop"/>
    <x v="0"/>
    <s v="New Feature"/>
    <s v="DESK-2496"/>
    <s v="Medibank integration"/>
    <s v="New Feature"/>
    <x v="0"/>
    <d v="2015-05-15T18:29:00"/>
    <x v="1"/>
    <x v="0"/>
    <x v="7"/>
    <n v="1"/>
    <m/>
    <n v="83"/>
    <n v="83"/>
  </r>
  <r>
    <s v="SBG - Desktop"/>
    <x v="1"/>
    <s v="New Feature"/>
    <s v="DESK-2496"/>
    <s v="Medibank integration"/>
    <s v="New Feature"/>
    <x v="0"/>
    <d v="2015-05-18T17:14:00"/>
    <x v="1"/>
    <x v="0"/>
    <x v="1"/>
    <n v="4"/>
    <m/>
    <n v="141.1"/>
    <n v="24.900000000000002"/>
  </r>
  <r>
    <s v="SBG - Desktop"/>
    <x v="1"/>
    <s v="New Feature"/>
    <s v="DESK-2496"/>
    <s v="Medibank integration"/>
    <s v="New Feature"/>
    <x v="0"/>
    <d v="2015-05-19T18:41:00"/>
    <x v="1"/>
    <x v="0"/>
    <x v="1"/>
    <n v="3"/>
    <m/>
    <n v="141.1"/>
    <n v="24.900000000000002"/>
  </r>
  <r>
    <s v="SBG - Desktop"/>
    <x v="1"/>
    <s v="New Feature"/>
    <s v="DESK-2496"/>
    <s v="Medibank integration"/>
    <s v="New Feature"/>
    <x v="0"/>
    <d v="2015-05-20T18:39:00"/>
    <x v="1"/>
    <x v="0"/>
    <x v="1"/>
    <n v="4"/>
    <m/>
    <n v="141.1"/>
    <n v="24.900000000000002"/>
  </r>
  <r>
    <s v="SBG - Desktop"/>
    <x v="2"/>
    <s v="New Feature"/>
    <s v="DESK-2496"/>
    <s v="Medibank integration"/>
    <s v="New Feature"/>
    <x v="0"/>
    <d v="2015-05-20T18:53:00"/>
    <x v="1"/>
    <x v="0"/>
    <x v="4"/>
    <n v="3.3000000000000002E-2"/>
    <m/>
    <n v="83"/>
    <n v="83"/>
  </r>
  <r>
    <s v="SBG - Desktop"/>
    <x v="1"/>
    <s v="New Feature"/>
    <s v="DESK-2496"/>
    <s v="Medibank integration"/>
    <s v="New Feature"/>
    <x v="0"/>
    <d v="2015-05-21T12:06:00"/>
    <x v="1"/>
    <x v="0"/>
    <x v="1"/>
    <n v="6"/>
    <m/>
    <n v="141.1"/>
    <n v="24.900000000000002"/>
  </r>
  <r>
    <s v="SBG - Desktop"/>
    <x v="1"/>
    <s v="New Feature"/>
    <s v="DESK-2496"/>
    <s v="Medibank integration"/>
    <s v="New Feature"/>
    <x v="0"/>
    <d v="2015-05-21T16:30:00"/>
    <x v="1"/>
    <x v="0"/>
    <x v="5"/>
    <n v="3"/>
    <m/>
    <n v="141.1"/>
    <n v="24.900000000000002"/>
  </r>
  <r>
    <s v="SBG - Desktop"/>
    <x v="1"/>
    <s v="New Feature"/>
    <s v="DESK-2496"/>
    <s v="Medibank integration"/>
    <s v="New Feature"/>
    <x v="0"/>
    <d v="2015-05-22T12:09:00"/>
    <x v="1"/>
    <x v="0"/>
    <x v="1"/>
    <n v="4.5"/>
    <m/>
    <n v="141.1"/>
    <n v="24.900000000000002"/>
  </r>
  <r>
    <s v="SBG - Desktop"/>
    <x v="3"/>
    <s v="New Feature"/>
    <s v="DESK-2496"/>
    <s v="Medibank integration"/>
    <s v="New Feature"/>
    <x v="0"/>
    <d v="2015-05-22T12:44:00"/>
    <x v="1"/>
    <x v="0"/>
    <x v="3"/>
    <n v="0.5"/>
    <m/>
    <n v="83"/>
    <n v="83"/>
  </r>
  <r>
    <s v="SBG - Desktop"/>
    <x v="3"/>
    <s v="New Feature"/>
    <s v="DESK-2496"/>
    <s v="Medibank integration"/>
    <s v="New Feature"/>
    <x v="0"/>
    <d v="2015-05-22T12:45:00"/>
    <x v="1"/>
    <x v="0"/>
    <x v="3"/>
    <n v="0.5"/>
    <m/>
    <n v="83"/>
    <n v="83"/>
  </r>
  <r>
    <s v="SBG - Desktop"/>
    <x v="1"/>
    <s v="New Feature"/>
    <s v="DESK-2496"/>
    <s v="Medibank integration"/>
    <s v="New Feature"/>
    <x v="0"/>
    <d v="2015-05-25T18:31:00"/>
    <x v="1"/>
    <x v="0"/>
    <x v="1"/>
    <n v="3"/>
    <m/>
    <n v="141.1"/>
    <n v="24.900000000000002"/>
  </r>
  <r>
    <s v="SBG - Desktop"/>
    <x v="2"/>
    <s v="New Feature"/>
    <s v="DESK-2496"/>
    <s v="Medibank integration"/>
    <s v="New Feature"/>
    <x v="0"/>
    <d v="2015-05-26T14:54:00"/>
    <x v="1"/>
    <x v="0"/>
    <x v="9"/>
    <n v="5"/>
    <m/>
    <n v="141.1"/>
    <n v="24.900000000000002"/>
  </r>
  <r>
    <s v="SBG - Desktop"/>
    <x v="1"/>
    <s v="New Feature"/>
    <s v="DESK-2496"/>
    <s v="Medibank integration"/>
    <s v="New Feature"/>
    <x v="0"/>
    <d v="2015-05-26T14:59:00"/>
    <x v="1"/>
    <x v="0"/>
    <x v="1"/>
    <n v="4"/>
    <m/>
    <n v="141.1"/>
    <n v="24.900000000000002"/>
  </r>
  <r>
    <s v="SBG - Desktop"/>
    <x v="2"/>
    <s v="New Feature"/>
    <s v="DESK-2496"/>
    <s v="Medibank integration"/>
    <s v="New Feature"/>
    <x v="0"/>
    <d v="2015-05-27T16:25:00"/>
    <x v="1"/>
    <x v="0"/>
    <x v="9"/>
    <n v="1"/>
    <m/>
    <n v="141.1"/>
    <n v="24.900000000000002"/>
  </r>
  <r>
    <s v="SBG - Desktop"/>
    <x v="3"/>
    <s v="New Feature"/>
    <s v="DESK-2496"/>
    <s v="Medibank integration"/>
    <s v="New Feature"/>
    <x v="0"/>
    <d v="2015-05-28T15:05:00"/>
    <x v="1"/>
    <x v="0"/>
    <x v="3"/>
    <n v="0.5"/>
    <m/>
    <n v="83"/>
    <n v="83"/>
  </r>
  <r>
    <s v="SBG - Desktop"/>
    <x v="1"/>
    <s v="New Feature"/>
    <s v="DESK-2496"/>
    <s v="Medibank integration"/>
    <s v="New Feature"/>
    <x v="0"/>
    <d v="2015-05-28T20:03:00"/>
    <x v="1"/>
    <x v="0"/>
    <x v="1"/>
    <n v="3"/>
    <m/>
    <n v="141.1"/>
    <n v="24.900000000000002"/>
  </r>
  <r>
    <s v="SBG - Desktop"/>
    <x v="2"/>
    <s v="Sub-task"/>
    <s v="DESK-2497"/>
    <s v="DESK-2491&gt; The small banner should not have &quot;X&quot; sign to close the small banner."/>
    <s v="Sub-task"/>
    <x v="0"/>
    <d v="2015-04-21T18:45:00"/>
    <x v="0"/>
    <x v="0"/>
    <x v="4"/>
    <n v="3.3000000000000002E-2"/>
    <m/>
    <n v="83"/>
    <n v="83"/>
  </r>
  <r>
    <s v="SBG - Desktop"/>
    <x v="0"/>
    <s v="Sub-task"/>
    <s v="DESK-2497"/>
    <s v="DESK-2491&gt; The small banner should not have &quot;X&quot; sign to close the small banner."/>
    <s v="Sub-task"/>
    <x v="0"/>
    <d v="2015-04-23T18:41:00"/>
    <x v="0"/>
    <x v="0"/>
    <x v="7"/>
    <n v="2"/>
    <m/>
    <n v="83"/>
    <n v="83"/>
  </r>
  <r>
    <s v="SBG - Desktop"/>
    <x v="1"/>
    <s v="Sub-task"/>
    <s v="DESK-2497"/>
    <s v="DESK-2491&gt; The small banner should not have &quot;X&quot; sign to close the small banner."/>
    <s v="Sub-task"/>
    <x v="0"/>
    <d v="2015-05-28T11:34:00"/>
    <x v="1"/>
    <x v="0"/>
    <x v="5"/>
    <n v="1"/>
    <m/>
    <n v="141.1"/>
    <n v="24.900000000000002"/>
  </r>
  <r>
    <s v="SBG - Desktop"/>
    <x v="1"/>
    <s v="Sub-task"/>
    <s v="DESK-2498"/>
    <s v="DESK-2491&gt; The small banner disappeared when click the &quot;X&quot; sign on big banner."/>
    <s v="Sub-task"/>
    <x v="0"/>
    <d v="2015-05-28T11:33:00"/>
    <x v="1"/>
    <x v="0"/>
    <x v="5"/>
    <n v="1"/>
    <m/>
    <n v="141.1"/>
    <n v="24.900000000000002"/>
  </r>
  <r>
    <s v="SBG - Desktop"/>
    <x v="3"/>
    <s v="Sub-task"/>
    <s v="DESK-2499"/>
    <s v="DESK-2496&gt; VD website invoice update to include Medibank"/>
    <s v="Sub-task"/>
    <x v="0"/>
    <d v="2015-05-12T12:46:00"/>
    <x v="1"/>
    <x v="0"/>
    <x v="3"/>
    <n v="0.5"/>
    <m/>
    <n v="83"/>
    <n v="83"/>
  </r>
  <r>
    <s v="SBG - Desktop"/>
    <x v="1"/>
    <s v="Sub-task"/>
    <s v="DESK-2499"/>
    <s v="DESK-2496&gt; VD website invoice update to include Medibank"/>
    <s v="Sub-task"/>
    <x v="0"/>
    <d v="2015-05-14T11:45:00"/>
    <x v="1"/>
    <x v="0"/>
    <x v="1"/>
    <n v="1.5"/>
    <m/>
    <n v="141.1"/>
    <n v="24.900000000000002"/>
  </r>
  <r>
    <s v="SBG - Desktop"/>
    <x v="3"/>
    <s v="Sub-task"/>
    <s v="DESK-2499"/>
    <s v="DESK-2496&gt; VD website invoice update to include Medibank"/>
    <s v="Sub-task"/>
    <x v="0"/>
    <d v="2015-05-22T12:44:00"/>
    <x v="1"/>
    <x v="0"/>
    <x v="3"/>
    <n v="0.5"/>
    <m/>
    <n v="83"/>
    <n v="83"/>
  </r>
  <r>
    <s v="SBG - Desktop"/>
    <x v="3"/>
    <s v="Sub-task"/>
    <s v="DESK-2499"/>
    <s v="DESK-2496&gt; VD website invoice update to include Medibank"/>
    <s v="Sub-task"/>
    <x v="0"/>
    <d v="2015-05-22T12:45:00"/>
    <x v="1"/>
    <x v="0"/>
    <x v="3"/>
    <n v="0.5"/>
    <m/>
    <n v="83"/>
    <n v="83"/>
  </r>
  <r>
    <s v="SBG - Desktop"/>
    <x v="3"/>
    <s v="Sub-task"/>
    <s v="DESK-2499"/>
    <s v="DESK-2496&gt; VD website invoice update to include Medibank"/>
    <s v="Sub-task"/>
    <x v="0"/>
    <d v="2015-05-28T15:05:00"/>
    <x v="1"/>
    <x v="0"/>
    <x v="3"/>
    <n v="0.5"/>
    <m/>
    <n v="83"/>
    <n v="83"/>
  </r>
  <r>
    <s v="SBG - Desktop"/>
    <x v="3"/>
    <s v="Sub-task"/>
    <s v="DESK-2500"/>
    <s v="DESK-2496&gt; Insert MEDIBANK logo on VD health fund page"/>
    <s v="Sub-task"/>
    <x v="0"/>
    <d v="2015-05-07T12:46:00"/>
    <x v="1"/>
    <x v="0"/>
    <x v="3"/>
    <n v="0.5"/>
    <m/>
    <n v="83"/>
    <n v="83"/>
  </r>
  <r>
    <s v="SBG - Desktop"/>
    <x v="2"/>
    <s v="Sub-task"/>
    <s v="DESK-2500"/>
    <s v="DESK-2496&gt; Insert MEDIBANK logo on VD health fund page"/>
    <s v="Sub-task"/>
    <x v="0"/>
    <d v="2015-05-07T18:33:00"/>
    <x v="1"/>
    <x v="0"/>
    <x v="4"/>
    <n v="1.5"/>
    <m/>
    <n v="83"/>
    <n v="83"/>
  </r>
  <r>
    <s v="SBG - Desktop"/>
    <x v="2"/>
    <s v="Sub-task"/>
    <s v="DESK-2500"/>
    <s v="DESK-2496&gt; Insert MEDIBANK logo on VD health fund page"/>
    <s v="Sub-task"/>
    <x v="0"/>
    <d v="2015-05-11T18:45:00"/>
    <x v="1"/>
    <x v="0"/>
    <x v="4"/>
    <n v="5"/>
    <m/>
    <n v="83"/>
    <n v="83"/>
  </r>
  <r>
    <s v="SBG - Desktop"/>
    <x v="1"/>
    <s v="Sub-task"/>
    <s v="DESK-2500"/>
    <s v="DESK-2496&gt; Insert MEDIBANK logo on VD health fund page"/>
    <s v="Sub-task"/>
    <x v="0"/>
    <d v="2015-05-12T18:35:00"/>
    <x v="1"/>
    <x v="0"/>
    <x v="1"/>
    <n v="2"/>
    <m/>
    <n v="141.1"/>
    <n v="24.900000000000002"/>
  </r>
  <r>
    <s v="SBG - Desktop"/>
    <x v="2"/>
    <s v="Sub-task"/>
    <s v="DESK-2500"/>
    <s v="DESK-2496&gt; Insert MEDIBANK logo on VD health fund page"/>
    <s v="Sub-task"/>
    <x v="0"/>
    <d v="2015-05-12T18:35:00"/>
    <x v="1"/>
    <x v="0"/>
    <x v="4"/>
    <n v="2"/>
    <m/>
    <n v="83"/>
    <n v="83"/>
  </r>
  <r>
    <s v="SBG - Desktop"/>
    <x v="1"/>
    <s v="Sub-task"/>
    <s v="DESK-2500"/>
    <s v="DESK-2496&gt; Insert MEDIBANK logo on VD health fund page"/>
    <s v="Sub-task"/>
    <x v="0"/>
    <d v="2015-05-14T11:45:00"/>
    <x v="1"/>
    <x v="0"/>
    <x v="1"/>
    <n v="2"/>
    <m/>
    <n v="141.1"/>
    <n v="24.900000000000002"/>
  </r>
  <r>
    <s v="SBG - Desktop"/>
    <x v="1"/>
    <s v="Sub-task"/>
    <s v="DESK-2500"/>
    <s v="DESK-2496&gt; Insert MEDIBANK logo on VD health fund page"/>
    <s v="Sub-task"/>
    <x v="0"/>
    <d v="2015-05-15T19:03:00"/>
    <x v="1"/>
    <x v="0"/>
    <x v="1"/>
    <n v="1.5"/>
    <m/>
    <n v="141.1"/>
    <n v="24.900000000000002"/>
  </r>
  <r>
    <s v="SBG - Desktop"/>
    <x v="2"/>
    <s v="Sub-task"/>
    <s v="DESK-2500"/>
    <s v="DESK-2496&gt; Insert MEDIBANK logo on VD health fund page"/>
    <s v="Sub-task"/>
    <x v="0"/>
    <d v="2015-05-18T19:21:00"/>
    <x v="1"/>
    <x v="0"/>
    <x v="4"/>
    <n v="2"/>
    <m/>
    <n v="83"/>
    <n v="83"/>
  </r>
  <r>
    <s v="SBG - Desktop"/>
    <x v="3"/>
    <s v="Sub-task"/>
    <s v="DESK-2500"/>
    <s v="DESK-2496&gt; Insert MEDIBANK logo on VD health fund page"/>
    <s v="Sub-task"/>
    <x v="0"/>
    <d v="2015-05-22T12:44:00"/>
    <x v="1"/>
    <x v="0"/>
    <x v="3"/>
    <n v="0.5"/>
    <m/>
    <n v="83"/>
    <n v="83"/>
  </r>
  <r>
    <s v="SBG - Desktop"/>
    <x v="3"/>
    <s v="Sub-task"/>
    <s v="DESK-2500"/>
    <s v="DESK-2496&gt; Insert MEDIBANK logo on VD health fund page"/>
    <s v="Sub-task"/>
    <x v="0"/>
    <d v="2015-05-22T12:44:00"/>
    <x v="1"/>
    <x v="0"/>
    <x v="3"/>
    <n v="0.5"/>
    <m/>
    <n v="83"/>
    <n v="83"/>
  </r>
  <r>
    <s v="SBG - Desktop"/>
    <x v="3"/>
    <s v="Sub-task"/>
    <s v="DESK-2500"/>
    <s v="DESK-2496&gt; Insert MEDIBANK logo on VD health fund page"/>
    <s v="Sub-task"/>
    <x v="0"/>
    <d v="2015-05-28T15:05:00"/>
    <x v="1"/>
    <x v="0"/>
    <x v="3"/>
    <n v="0.5"/>
    <m/>
    <n v="83"/>
    <n v="83"/>
  </r>
  <r>
    <s v="SBG - Desktop"/>
    <x v="1"/>
    <s v="Sub-task"/>
    <s v="DESK-2500"/>
    <s v="DESK-2496&gt; Insert MEDIBANK logo on VD health fund page"/>
    <s v="Sub-task"/>
    <x v="0"/>
    <d v="2015-05-28T17:16:00"/>
    <x v="1"/>
    <x v="0"/>
    <x v="1"/>
    <n v="1"/>
    <m/>
    <n v="141.1"/>
    <n v="24.900000000000002"/>
  </r>
  <r>
    <s v="SBG - Desktop"/>
    <x v="1"/>
    <s v="Sub-task"/>
    <s v="DESK-2501"/>
    <s v="DESK-2496&gt; Medibank logo has HBF link"/>
    <s v="Sub-task"/>
    <x v="0"/>
    <d v="2015-05-18T18:20:00"/>
    <x v="1"/>
    <x v="0"/>
    <x v="1"/>
    <n v="0.5"/>
    <m/>
    <n v="141.1"/>
    <n v="24.900000000000002"/>
  </r>
  <r>
    <s v="SBG - Desktop"/>
    <x v="1"/>
    <s v="Sub-task"/>
    <s v="DESK-2507"/>
    <s v="DESK-2496&gt; Always pop up &quot;Pls Verify your info&quot; under certain condition"/>
    <s v="Sub-task"/>
    <x v="0"/>
    <d v="2015-05-28T17:03:00"/>
    <x v="1"/>
    <x v="0"/>
    <x v="1"/>
    <n v="1"/>
    <m/>
    <n v="141.1"/>
    <n v="24.900000000000002"/>
  </r>
  <r>
    <s v="SBG - Desktop"/>
    <x v="1"/>
    <s v="Task"/>
    <s v="DESK-2510"/>
    <s v="Mobile H Tags implementation"/>
    <s v="Task"/>
    <x v="0"/>
    <d v="2015-04-09T11:31:00"/>
    <x v="0"/>
    <x v="0"/>
    <x v="5"/>
    <n v="2"/>
    <m/>
    <n v="141.1"/>
    <n v="24.900000000000002"/>
  </r>
  <r>
    <s v="SBG - Desktop"/>
    <x v="2"/>
    <s v="Task"/>
    <s v="DESK-2510"/>
    <s v="Mobile H Tags implementation"/>
    <s v="Task"/>
    <x v="0"/>
    <d v="2015-04-16T18:37:00"/>
    <x v="0"/>
    <x v="0"/>
    <x v="4"/>
    <n v="4"/>
    <m/>
    <n v="83"/>
    <n v="83"/>
  </r>
  <r>
    <s v="SBG - Desktop"/>
    <x v="2"/>
    <s v="Task"/>
    <s v="DESK-2510"/>
    <s v="Mobile H Tags implementation"/>
    <s v="Task"/>
    <x v="0"/>
    <d v="2015-04-22T10:05:00"/>
    <x v="0"/>
    <x v="0"/>
    <x v="4"/>
    <n v="2"/>
    <m/>
    <n v="83"/>
    <n v="83"/>
  </r>
  <r>
    <s v="SBG - Desktop"/>
    <x v="2"/>
    <s v="Task"/>
    <s v="DESK-2511"/>
    <s v="VD - remove TUH logo"/>
    <s v="Task"/>
    <x v="0"/>
    <d v="2015-04-29T18:31:00"/>
    <x v="0"/>
    <x v="0"/>
    <x v="4"/>
    <n v="1"/>
    <m/>
    <n v="83"/>
    <n v="83"/>
  </r>
  <r>
    <s v="SBG - Desktop"/>
    <x v="0"/>
    <s v="Task"/>
    <s v="DESK-2512"/>
    <s v="Banner Hosting"/>
    <s v="Task"/>
    <x v="0"/>
    <d v="2015-04-17T14:51:00"/>
    <x v="0"/>
    <x v="0"/>
    <x v="7"/>
    <n v="30"/>
    <m/>
    <n v="83"/>
    <n v="83"/>
  </r>
  <r>
    <s v="SBG - Desktop"/>
    <x v="0"/>
    <s v="Task"/>
    <s v="DESK-2512"/>
    <s v="Banner Hosting"/>
    <s v="Task"/>
    <x v="0"/>
    <d v="2015-04-20T14:46:00"/>
    <x v="0"/>
    <x v="0"/>
    <x v="7"/>
    <n v="10"/>
    <m/>
    <n v="83"/>
    <n v="83"/>
  </r>
  <r>
    <s v="SBG - Desktop"/>
    <x v="0"/>
    <s v="Task"/>
    <s v="DESK-2512"/>
    <s v="Banner Hosting"/>
    <s v="Task"/>
    <x v="0"/>
    <d v="2015-04-20T18:35:00"/>
    <x v="0"/>
    <x v="0"/>
    <x v="7"/>
    <n v="3.5"/>
    <m/>
    <n v="83"/>
    <n v="83"/>
  </r>
  <r>
    <s v="SBG - Desktop"/>
    <x v="3"/>
    <s v="Task"/>
    <s v="DESK-2514"/>
    <s v="AB test launch Quick view on all ENGLISH domains"/>
    <s v="Task"/>
    <x v="0"/>
    <d v="2015-05-22T12:45:00"/>
    <x v="1"/>
    <x v="0"/>
    <x v="3"/>
    <n v="0.5"/>
    <m/>
    <n v="83"/>
    <n v="83"/>
  </r>
  <r>
    <s v="SBG - Desktop"/>
    <x v="0"/>
    <s v="Task"/>
    <s v="DESK-2517"/>
    <s v="VD only - add Peoplecare to logo overview"/>
    <s v="Task"/>
    <x v="0"/>
    <d v="2015-04-23T18:27:00"/>
    <x v="0"/>
    <x v="0"/>
    <x v="7"/>
    <n v="4"/>
    <m/>
    <n v="83"/>
    <n v="83"/>
  </r>
  <r>
    <s v="SBG - Desktop"/>
    <x v="2"/>
    <s v="Task"/>
    <s v="DESK-2517"/>
    <s v="VD only - add Peoplecare to logo overview"/>
    <s v="Task"/>
    <x v="0"/>
    <d v="2015-05-11T18:45:00"/>
    <x v="1"/>
    <x v="0"/>
    <x v="4"/>
    <n v="1"/>
    <m/>
    <n v="83"/>
    <n v="83"/>
  </r>
  <r>
    <s v="SBG - Desktop"/>
    <x v="2"/>
    <s v="Task"/>
    <s v="DESK-2518"/>
    <s v="Please change GET 5% REWARDS on the UK domain to STUDENT DISCOUNT"/>
    <s v="Task"/>
    <x v="0"/>
    <d v="2015-05-06T12:15:00"/>
    <x v="1"/>
    <x v="0"/>
    <x v="11"/>
    <n v="2"/>
    <s v="Changed rewards to student's discout for uk only"/>
    <n v="141.1"/>
    <n v="24.900000000000002"/>
  </r>
  <r>
    <s v="SBG - Desktop"/>
    <x v="2"/>
    <s v="Task"/>
    <s v="DESK-2518"/>
    <s v="Please change GET 5% REWARDS on the UK domain to STUDENT DISCOUNT"/>
    <s v="Task"/>
    <x v="0"/>
    <d v="2015-05-06T13:30:00"/>
    <x v="1"/>
    <x v="0"/>
    <x v="2"/>
    <n v="0.5"/>
    <m/>
    <n v="141.1"/>
    <n v="24.900000000000002"/>
  </r>
  <r>
    <s v="SBG - Desktop"/>
    <x v="1"/>
    <s v="Task"/>
    <s v="DESK-2518"/>
    <s v="Please change GET 5% REWARDS on the UK domain to STUDENT DISCOUNT"/>
    <s v="Task"/>
    <x v="0"/>
    <d v="2015-05-06T18:09:00"/>
    <x v="1"/>
    <x v="0"/>
    <x v="8"/>
    <n v="1"/>
    <m/>
    <n v="141.1"/>
    <n v="24.900000000000002"/>
  </r>
  <r>
    <s v="SBG - Desktop"/>
    <x v="1"/>
    <s v="Task"/>
    <s v="DESK-2518"/>
    <s v="Please change GET 5% REWARDS on the UK domain to STUDENT DISCOUNT"/>
    <s v="Task"/>
    <x v="0"/>
    <d v="2015-05-07T17:29:00"/>
    <x v="1"/>
    <x v="0"/>
    <x v="8"/>
    <n v="1"/>
    <m/>
    <n v="141.1"/>
    <n v="24.900000000000002"/>
  </r>
  <r>
    <s v="SBG - Desktop"/>
    <x v="2"/>
    <s v="Task"/>
    <s v="DESK-2518"/>
    <s v="Please change GET 5% REWARDS on the UK domain to STUDENT DISCOUNT"/>
    <s v="Task"/>
    <x v="0"/>
    <d v="2015-05-08T18:46:00"/>
    <x v="1"/>
    <x v="0"/>
    <x v="2"/>
    <n v="8"/>
    <m/>
    <n v="141.1"/>
    <n v="24.900000000000002"/>
  </r>
  <r>
    <s v="SBG - Desktop"/>
    <x v="1"/>
    <s v="Task"/>
    <s v="DESK-2519"/>
    <s v="3D secure removal for additional domains"/>
    <s v="Task"/>
    <x v="0"/>
    <d v="2015-04-15T16:38:00"/>
    <x v="0"/>
    <x v="0"/>
    <x v="8"/>
    <n v="3"/>
    <m/>
    <n v="141.1"/>
    <n v="24.900000000000002"/>
  </r>
  <r>
    <s v="SBG - Desktop"/>
    <x v="1"/>
    <s v="Task"/>
    <s v="DESK-2519"/>
    <s v="3D secure removal for additional domains"/>
    <s v="Task"/>
    <x v="0"/>
    <d v="2015-04-16T12:04:00"/>
    <x v="0"/>
    <x v="0"/>
    <x v="5"/>
    <n v="1"/>
    <m/>
    <n v="141.1"/>
    <n v="24.900000000000002"/>
  </r>
  <r>
    <s v="SBG - Desktop"/>
    <x v="1"/>
    <s v="Task"/>
    <s v="DESK-2519"/>
    <s v="3D secure removal for additional domains"/>
    <s v="Task"/>
    <x v="0"/>
    <d v="2015-04-16T18:27:00"/>
    <x v="0"/>
    <x v="0"/>
    <x v="8"/>
    <n v="3.5"/>
    <m/>
    <n v="141.1"/>
    <n v="24.900000000000002"/>
  </r>
  <r>
    <s v="SBG - Desktop"/>
    <x v="1"/>
    <s v="Task"/>
    <s v="DESK-2520"/>
    <s v="Criteo Retargeting Tags for MX"/>
    <s v="Task"/>
    <x v="0"/>
    <d v="2015-05-12T18:35:00"/>
    <x v="1"/>
    <x v="0"/>
    <x v="1"/>
    <n v="2"/>
    <m/>
    <n v="141.1"/>
    <n v="24.900000000000002"/>
  </r>
  <r>
    <s v="SBG - Desktop"/>
    <x v="1"/>
    <s v="Task"/>
    <s v="DESK-2520"/>
    <s v="Criteo Retargeting Tags for MX"/>
    <s v="Task"/>
    <x v="0"/>
    <d v="2015-05-13T18:29:00"/>
    <x v="1"/>
    <x v="0"/>
    <x v="1"/>
    <n v="1"/>
    <m/>
    <n v="141.1"/>
    <n v="24.900000000000002"/>
  </r>
  <r>
    <s v="SBG - Desktop"/>
    <x v="1"/>
    <s v="Task"/>
    <s v="DESK-2520"/>
    <s v="Criteo Retargeting Tags for MX"/>
    <s v="Task"/>
    <x v="0"/>
    <d v="2015-05-14T16:27:00"/>
    <x v="1"/>
    <x v="0"/>
    <x v="1"/>
    <n v="1"/>
    <m/>
    <n v="141.1"/>
    <n v="24.900000000000002"/>
  </r>
  <r>
    <s v="SBG - Desktop"/>
    <x v="2"/>
    <s v="Task"/>
    <s v="DESK-2521"/>
    <s v="No CDN program"/>
    <s v="Task"/>
    <x v="0"/>
    <d v="2015-04-29T16:53:00"/>
    <x v="0"/>
    <x v="0"/>
    <x v="6"/>
    <n v="8"/>
    <s v="New noncdn program."/>
    <n v="141.1"/>
    <n v="24.900000000000002"/>
  </r>
  <r>
    <s v="SBG - Desktop"/>
    <x v="2"/>
    <s v="Task"/>
    <s v="DESK-2521"/>
    <s v="No CDN program"/>
    <s v="Task"/>
    <x v="0"/>
    <d v="2015-04-30T15:47:00"/>
    <x v="0"/>
    <x v="0"/>
    <x v="6"/>
    <n v="8"/>
    <m/>
    <n v="141.1"/>
    <n v="24.900000000000002"/>
  </r>
  <r>
    <s v="SBG - Desktop"/>
    <x v="1"/>
    <s v="Task"/>
    <s v="DESK-2522"/>
    <s v="release on 7/4! - VD - change AEDT to AEST times on contact forms"/>
    <s v="Task"/>
    <x v="0"/>
    <d v="2015-05-08T14:41:00"/>
    <x v="1"/>
    <x v="0"/>
    <x v="5"/>
    <n v="1"/>
    <m/>
    <n v="141.1"/>
    <n v="24.900000000000002"/>
  </r>
  <r>
    <s v="SBG - Desktop"/>
    <x v="2"/>
    <s v="Task"/>
    <s v="DESK-2523"/>
    <s v="Remove Logo"/>
    <s v="Task"/>
    <x v="0"/>
    <d v="2015-05-13T16:20:00"/>
    <x v="1"/>
    <x v="0"/>
    <x v="6"/>
    <n v="1"/>
    <m/>
    <n v="141.1"/>
    <n v="24.900000000000002"/>
  </r>
  <r>
    <s v="SBG - Desktop"/>
    <x v="1"/>
    <s v="Task"/>
    <s v="DESK-2523"/>
    <s v="Remove Logo"/>
    <s v="Task"/>
    <x v="0"/>
    <d v="2015-05-14T10:49:00"/>
    <x v="1"/>
    <x v="0"/>
    <x v="1"/>
    <n v="1"/>
    <m/>
    <n v="141.1"/>
    <n v="24.900000000000002"/>
  </r>
  <r>
    <s v="SBG - Desktop"/>
    <x v="2"/>
    <s v="Task"/>
    <s v="DESK-2524"/>
    <s v="RX promotion - Marketing Top Bar"/>
    <s v="Task"/>
    <x v="0"/>
    <d v="2015-04-30T18:45:00"/>
    <x v="0"/>
    <x v="0"/>
    <x v="4"/>
    <n v="1"/>
    <m/>
    <n v="83"/>
    <n v="83"/>
  </r>
  <r>
    <s v="SBG - Desktop"/>
    <x v="1"/>
    <s v="Task"/>
    <s v="DESK-2524"/>
    <s v="RX promotion - Marketing Top Bar"/>
    <s v="Task"/>
    <x v="0"/>
    <d v="2015-05-04T18:37:00"/>
    <x v="1"/>
    <x v="0"/>
    <x v="8"/>
    <n v="3"/>
    <m/>
    <n v="141.1"/>
    <n v="24.900000000000002"/>
  </r>
  <r>
    <s v="SBG - Desktop"/>
    <x v="2"/>
    <s v="Task"/>
    <s v="DESK-2524"/>
    <s v="RX promotion - Marketing Top Bar"/>
    <s v="Task"/>
    <x v="0"/>
    <d v="2015-05-04T18:39:00"/>
    <x v="1"/>
    <x v="0"/>
    <x v="4"/>
    <n v="3"/>
    <m/>
    <n v="83"/>
    <n v="83"/>
  </r>
  <r>
    <s v="SBG - Desktop"/>
    <x v="0"/>
    <s v="Task"/>
    <s v="DESK-2524"/>
    <s v="RX promotion - Marketing Top Bar"/>
    <s v="Task"/>
    <x v="0"/>
    <d v="2015-05-05T12:40:00"/>
    <x v="1"/>
    <x v="0"/>
    <x v="7"/>
    <n v="3"/>
    <s v="cut images"/>
    <n v="83"/>
    <n v="83"/>
  </r>
  <r>
    <s v="SBG - Desktop"/>
    <x v="2"/>
    <s v="Task"/>
    <s v="DESK-2524"/>
    <s v="RX promotion - Marketing Top Bar"/>
    <s v="Task"/>
    <x v="0"/>
    <d v="2015-05-05T18:41:00"/>
    <x v="1"/>
    <x v="0"/>
    <x v="4"/>
    <n v="7"/>
    <m/>
    <n v="83"/>
    <n v="83"/>
  </r>
  <r>
    <s v="SBG - Desktop"/>
    <x v="1"/>
    <s v="Task"/>
    <s v="DESK-2524"/>
    <s v="RX promotion - Marketing Top Bar"/>
    <s v="Task"/>
    <x v="0"/>
    <d v="2015-05-05T19:09:00"/>
    <x v="1"/>
    <x v="0"/>
    <x v="8"/>
    <n v="5"/>
    <m/>
    <n v="141.1"/>
    <n v="24.900000000000002"/>
  </r>
  <r>
    <s v="SBG - Desktop"/>
    <x v="1"/>
    <s v="Task"/>
    <s v="DESK-2525"/>
    <s v="Algolia frame shape improvement"/>
    <s v="Task"/>
    <x v="0"/>
    <d v="2015-05-12T18:35:00"/>
    <x v="1"/>
    <x v="0"/>
    <x v="1"/>
    <n v="1"/>
    <m/>
    <n v="141.1"/>
    <n v="24.900000000000002"/>
  </r>
  <r>
    <s v="SBG - Desktop"/>
    <x v="2"/>
    <s v="Task"/>
    <s v="DESK-2525"/>
    <s v="Algolia frame shape improvement"/>
    <s v="Task"/>
    <x v="0"/>
    <d v="2015-05-14T17:37:00"/>
    <x v="1"/>
    <x v="0"/>
    <x v="2"/>
    <n v="5"/>
    <m/>
    <n v="141.1"/>
    <n v="24.900000000000002"/>
  </r>
  <r>
    <s v="SBG - Desktop"/>
    <x v="1"/>
    <s v="Task"/>
    <s v="DESK-2525"/>
    <s v="Algolia frame shape improvement"/>
    <s v="Task"/>
    <x v="0"/>
    <d v="2015-05-15T11:48:00"/>
    <x v="1"/>
    <x v="0"/>
    <x v="1"/>
    <n v="1"/>
    <m/>
    <n v="141.1"/>
    <n v="24.900000000000002"/>
  </r>
  <r>
    <s v="SBG - Desktop"/>
    <x v="1"/>
    <s v="Task"/>
    <s v="DESK-2525"/>
    <s v="Algolia frame shape improvement"/>
    <s v="Task"/>
    <x v="0"/>
    <d v="2015-05-25T17:56:00"/>
    <x v="1"/>
    <x v="0"/>
    <x v="1"/>
    <n v="1"/>
    <m/>
    <n v="141.1"/>
    <n v="24.900000000000002"/>
  </r>
  <r>
    <s v="SBG - Desktop"/>
    <x v="1"/>
    <s v="Task"/>
    <s v="DESK-2525"/>
    <s v="Algolia frame shape improvement"/>
    <s v="Task"/>
    <x v="0"/>
    <d v="2015-05-27T11:20:00"/>
    <x v="1"/>
    <x v="0"/>
    <x v="1"/>
    <n v="3"/>
    <m/>
    <n v="141.1"/>
    <n v="24.900000000000002"/>
  </r>
  <r>
    <s v="SBG - Desktop"/>
    <x v="1"/>
    <s v="Task"/>
    <s v="DESK-2525"/>
    <s v="Algolia frame shape improvement"/>
    <s v="Task"/>
    <x v="0"/>
    <d v="2015-05-29T20:01:00"/>
    <x v="1"/>
    <x v="0"/>
    <x v="1"/>
    <n v="3.5"/>
    <m/>
    <n v="141.1"/>
    <n v="24.900000000000002"/>
  </r>
  <r>
    <s v="SBG - Desktop"/>
    <x v="3"/>
    <s v="Sub-task"/>
    <s v="DESK-2526"/>
    <s v="DESK-2514&gt; Activate Quick View on all english domains (version B at 100%)"/>
    <s v="Sub-task"/>
    <x v="0"/>
    <d v="2015-05-26T09:59:00"/>
    <x v="1"/>
    <x v="0"/>
    <x v="3"/>
    <n v="0.5"/>
    <m/>
    <n v="83"/>
    <n v="83"/>
  </r>
  <r>
    <s v="SBG - Desktop"/>
    <x v="2"/>
    <s v="Sub-task"/>
    <s v="DESK-2526"/>
    <s v="DESK-2514&gt; Activate Quick View on all english domains (version B at 100%)"/>
    <s v="Sub-task"/>
    <x v="0"/>
    <d v="2015-05-26T10:16:00"/>
    <x v="1"/>
    <x v="0"/>
    <x v="6"/>
    <n v="1"/>
    <m/>
    <n v="141.1"/>
    <n v="24.900000000000002"/>
  </r>
  <r>
    <s v="SBG - Desktop"/>
    <x v="3"/>
    <s v="Sub-task"/>
    <s v="DESK-2526"/>
    <s v="DESK-2514&gt; Activate Quick View on all english domains (version B at 100%)"/>
    <s v="Sub-task"/>
    <x v="0"/>
    <d v="2015-05-28T15:06:00"/>
    <x v="1"/>
    <x v="0"/>
    <x v="3"/>
    <n v="0.5"/>
    <m/>
    <n v="83"/>
    <n v="83"/>
  </r>
  <r>
    <s v="SBG - Desktop"/>
    <x v="0"/>
    <s v="Sub-task"/>
    <s v="DESK-2528"/>
    <s v="DESK-2516&gt; New Shopping cart rollout CSS issues"/>
    <s v="Sub-task"/>
    <x v="0"/>
    <d v="2015-04-28T15:49:00"/>
    <x v="0"/>
    <x v="0"/>
    <x v="7"/>
    <n v="4.5"/>
    <m/>
    <n v="83"/>
    <n v="83"/>
  </r>
  <r>
    <s v="SBG - Desktop"/>
    <x v="2"/>
    <s v="Sub-task"/>
    <s v="DESK-2529"/>
    <s v="DESK-2524&gt; wrong color on side"/>
    <s v="Sub-task"/>
    <x v="0"/>
    <d v="2015-05-06T12:58:00"/>
    <x v="1"/>
    <x v="0"/>
    <x v="4"/>
    <n v="3"/>
    <m/>
    <n v="83"/>
    <n v="83"/>
  </r>
  <r>
    <s v="SBG - Desktop"/>
    <x v="1"/>
    <s v="Sub-task"/>
    <s v="DESK-2529"/>
    <s v="DESK-2524&gt; wrong color on side"/>
    <s v="Sub-task"/>
    <x v="0"/>
    <d v="2015-05-07T14:21:00"/>
    <x v="1"/>
    <x v="0"/>
    <x v="8"/>
    <n v="0.5"/>
    <m/>
    <n v="141.1"/>
    <n v="24.900000000000002"/>
  </r>
  <r>
    <s v="SBG - Desktop"/>
    <x v="2"/>
    <s v="Sub-task"/>
    <s v="DESK-2530"/>
    <s v="DESK-2524&gt; Wrong background color"/>
    <s v="Sub-task"/>
    <x v="0"/>
    <d v="2015-05-06T12:59:00"/>
    <x v="1"/>
    <x v="0"/>
    <x v="4"/>
    <n v="2"/>
    <m/>
    <n v="83"/>
    <n v="83"/>
  </r>
  <r>
    <s v="SBG - Desktop"/>
    <x v="1"/>
    <s v="Sub-task"/>
    <s v="DESK-2530"/>
    <s v="DESK-2524&gt; Wrong background color"/>
    <s v="Sub-task"/>
    <x v="0"/>
    <d v="2015-05-07T14:23:00"/>
    <x v="1"/>
    <x v="0"/>
    <x v="8"/>
    <n v="0.5"/>
    <m/>
    <n v="141.1"/>
    <n v="24.900000000000002"/>
  </r>
  <r>
    <s v="SBG - Desktop"/>
    <x v="2"/>
    <s v="Sub-task"/>
    <s v="DESK-2531"/>
    <s v="DESK-2524&gt; Wrong banner on domain # 22 (Design issue)"/>
    <s v="Sub-task"/>
    <x v="0"/>
    <d v="2015-05-07T18:33:00"/>
    <x v="1"/>
    <x v="0"/>
    <x v="4"/>
    <n v="1"/>
    <m/>
    <n v="83"/>
    <n v="83"/>
  </r>
  <r>
    <s v="SBG - Desktop"/>
    <x v="0"/>
    <s v="Sub-task"/>
    <s v="DESK-2532"/>
    <s v="DESK-2524&gt; Changed Promotion date - Update the banners"/>
    <s v="Sub-task"/>
    <x v="0"/>
    <d v="2015-05-12T18:09:00"/>
    <x v="1"/>
    <x v="0"/>
    <x v="7"/>
    <n v="4"/>
    <m/>
    <n v="83"/>
    <n v="83"/>
  </r>
  <r>
    <s v="SBG - Desktop"/>
    <x v="1"/>
    <s v="Sub-task"/>
    <s v="DESK-2532"/>
    <s v="DESK-2524&gt; Changed Promotion date - Update the banners"/>
    <s v="Sub-task"/>
    <x v="0"/>
    <d v="2015-05-13T10:31:00"/>
    <x v="1"/>
    <x v="0"/>
    <x v="1"/>
    <n v="1"/>
    <m/>
    <n v="141.1"/>
    <n v="24.900000000000002"/>
  </r>
  <r>
    <s v="SBG - Desktop"/>
    <x v="1"/>
    <s v="Sub-task"/>
    <s v="DESK-2532"/>
    <s v="DESK-2524&gt; Changed Promotion date - Update the banners"/>
    <s v="Sub-task"/>
    <x v="0"/>
    <d v="2015-05-13T12:52:00"/>
    <x v="1"/>
    <x v="0"/>
    <x v="1"/>
    <n v="1"/>
    <m/>
    <n v="141.1"/>
    <n v="24.900000000000002"/>
  </r>
  <r>
    <s v="SBG - Desktop"/>
    <x v="1"/>
    <s v="Improvement"/>
    <s v="DESK-2533"/>
    <s v="Contact Lenses Power dropdown negative values"/>
    <s v="Improvement"/>
    <x v="0"/>
    <d v="2015-04-15T15:39:00"/>
    <x v="0"/>
    <x v="0"/>
    <x v="8"/>
    <n v="1"/>
    <m/>
    <n v="141.1"/>
    <n v="24.900000000000002"/>
  </r>
  <r>
    <s v="SBG - Desktop"/>
    <x v="1"/>
    <s v="Improvement"/>
    <s v="DESK-2533"/>
    <s v="Contact Lenses Power dropdown negative values"/>
    <s v="Improvement"/>
    <x v="0"/>
    <d v="2015-04-15T17:52:00"/>
    <x v="0"/>
    <x v="0"/>
    <x v="8"/>
    <n v="1.5"/>
    <m/>
    <n v="141.1"/>
    <n v="24.900000000000002"/>
  </r>
  <r>
    <s v="SBG - Desktop"/>
    <x v="1"/>
    <s v="Improvement"/>
    <s v="DESK-2533"/>
    <s v="Contact Lenses Power dropdown negative values"/>
    <s v="Improvement"/>
    <x v="0"/>
    <d v="2015-04-16T18:18:00"/>
    <x v="0"/>
    <x v="0"/>
    <x v="8"/>
    <n v="1"/>
    <m/>
    <n v="141.1"/>
    <n v="24.900000000000002"/>
  </r>
  <r>
    <s v="SBG - Desktop"/>
    <x v="1"/>
    <s v="Improvement"/>
    <s v="DESK-2533"/>
    <s v="Contact Lenses Power dropdown negative values"/>
    <s v="Improvement"/>
    <x v="0"/>
    <d v="2015-04-17T18:10:00"/>
    <x v="0"/>
    <x v="0"/>
    <x v="8"/>
    <n v="1.5"/>
    <m/>
    <n v="141.1"/>
    <n v="24.900000000000002"/>
  </r>
  <r>
    <s v="SBG - Desktop"/>
    <x v="1"/>
    <s v="Improvement"/>
    <s v="DESK-2533"/>
    <s v="Contact Lenses Power dropdown negative values"/>
    <s v="Improvement"/>
    <x v="0"/>
    <d v="2015-04-20T14:07:00"/>
    <x v="0"/>
    <x v="0"/>
    <x v="8"/>
    <n v="1"/>
    <m/>
    <n v="141.1"/>
    <n v="24.900000000000002"/>
  </r>
  <r>
    <s v="SBG - Desktop"/>
    <x v="1"/>
    <s v="Improvement"/>
    <s v="DESK-2533"/>
    <s v="Contact Lenses Power dropdown negative values"/>
    <s v="Improvement"/>
    <x v="0"/>
    <d v="2015-04-23T17:03:00"/>
    <x v="0"/>
    <x v="0"/>
    <x v="8"/>
    <n v="1"/>
    <m/>
    <n v="141.1"/>
    <n v="24.900000000000002"/>
  </r>
  <r>
    <s v="SBG - Desktop"/>
    <x v="1"/>
    <s v="Improvement"/>
    <s v="DESK-2534"/>
    <s v="Mobile SEO / Mobile website redirection"/>
    <s v="Improvement"/>
    <x v="0"/>
    <d v="2015-04-09T11:30:00"/>
    <x v="0"/>
    <x v="0"/>
    <x v="5"/>
    <n v="2"/>
    <m/>
    <n v="141.1"/>
    <n v="24.900000000000002"/>
  </r>
  <r>
    <s v="SBG - Desktop"/>
    <x v="2"/>
    <s v="Improvement"/>
    <s v="DESK-2536"/>
    <s v="Home page use memcache improvement"/>
    <s v="Improvement"/>
    <x v="0"/>
    <d v="2015-05-12T17:38:00"/>
    <x v="1"/>
    <x v="0"/>
    <x v="2"/>
    <n v="8"/>
    <m/>
    <n v="141.1"/>
    <n v="24.900000000000002"/>
  </r>
  <r>
    <s v="SBG - Desktop"/>
    <x v="2"/>
    <s v="Improvement"/>
    <s v="DESK-2536"/>
    <s v="Home page use memcache improvement"/>
    <s v="Improvement"/>
    <x v="0"/>
    <d v="2015-05-13T17:38:00"/>
    <x v="1"/>
    <x v="0"/>
    <x v="2"/>
    <n v="8"/>
    <m/>
    <n v="141.1"/>
    <n v="24.900000000000002"/>
  </r>
  <r>
    <s v="SBG - Desktop"/>
    <x v="3"/>
    <s v="Improvement"/>
    <s v="DESK-2536"/>
    <s v="Home page use memcache improvement"/>
    <s v="Improvement"/>
    <x v="0"/>
    <d v="2015-05-28T12:53:00"/>
    <x v="1"/>
    <x v="0"/>
    <x v="3"/>
    <n v="0.5"/>
    <m/>
    <n v="83"/>
    <n v="83"/>
  </r>
  <r>
    <s v="SBG - Desktop"/>
    <x v="0"/>
    <s v="Improvement"/>
    <s v="DESK-2537"/>
    <s v="Adjust Mega menu Contact lenses to larger columns"/>
    <s v="Improvement"/>
    <x v="0"/>
    <d v="2015-04-02T18:24:00"/>
    <x v="0"/>
    <x v="0"/>
    <x v="7"/>
    <n v="6"/>
    <m/>
    <n v="83"/>
    <n v="83"/>
  </r>
  <r>
    <s v="SBG - Desktop"/>
    <x v="0"/>
    <s v="Improvement"/>
    <s v="DESK-2537"/>
    <s v="Adjust Mega menu Contact lenses to larger columns"/>
    <s v="Improvement"/>
    <x v="0"/>
    <d v="2015-04-03T15:19:00"/>
    <x v="0"/>
    <x v="0"/>
    <x v="7"/>
    <n v="2"/>
    <m/>
    <n v="83"/>
    <n v="83"/>
  </r>
  <r>
    <s v="SBG - Desktop"/>
    <x v="2"/>
    <s v="Task"/>
    <s v="DESK-2542"/>
    <s v="VD Optical Partner -- remove 2 shops"/>
    <s v="Task"/>
    <x v="0"/>
    <d v="2015-05-25T06:48:00"/>
    <x v="1"/>
    <x v="0"/>
    <x v="10"/>
    <n v="8"/>
    <m/>
    <n v="141.1"/>
    <n v="24.900000000000002"/>
  </r>
  <r>
    <s v="SBG - Desktop"/>
    <x v="2"/>
    <s v="Bug"/>
    <s v="DESK-2543"/>
    <s v="Transfer order from sbg to om"/>
    <s v="Bug"/>
    <x v="1"/>
    <d v="2015-05-19T22:53:00"/>
    <x v="1"/>
    <x v="0"/>
    <x v="2"/>
    <n v="5"/>
    <m/>
    <n v="141.1"/>
    <n v="24.900000000000002"/>
  </r>
  <r>
    <s v="SBG - Desktop"/>
    <x v="2"/>
    <s v="Improvement"/>
    <s v="DESK-2545"/>
    <s v="Activate QV without AB test on ALL DOMAINS"/>
    <s v="Improvement"/>
    <x v="0"/>
    <d v="2015-05-22T06:49:00"/>
    <x v="1"/>
    <x v="0"/>
    <x v="10"/>
    <n v="8"/>
    <m/>
    <n v="141.1"/>
    <n v="24.900000000000002"/>
  </r>
  <r>
    <s v="SBG - Desktop"/>
    <x v="4"/>
    <s v="New Feature"/>
    <s v="DESK-3056"/>
    <s v="Mobile My Account benchmark"/>
    <s v="New Feature"/>
    <x v="0"/>
    <d v="2015-04-27T11:49:00"/>
    <x v="0"/>
    <x v="0"/>
    <x v="13"/>
    <n v="3"/>
    <m/>
    <n v="141.1"/>
    <n v="24.900000000000002"/>
  </r>
  <r>
    <s v="SBG - Desktop"/>
    <x v="4"/>
    <s v="New Feature"/>
    <s v="DESK-3065"/>
    <s v="New Mobile design project"/>
    <s v="New Feature"/>
    <x v="0"/>
    <d v="2015-04-14T12:12:00"/>
    <x v="0"/>
    <x v="0"/>
    <x v="13"/>
    <n v="2"/>
    <m/>
    <n v="141.1"/>
    <n v="24.900000000000002"/>
  </r>
  <r>
    <s v="SBG - Desktop"/>
    <x v="4"/>
    <s v="New Feature"/>
    <s v="DESK-3065"/>
    <s v="New Mobile design project"/>
    <s v="New Feature"/>
    <x v="0"/>
    <d v="2015-04-15T12:15:00"/>
    <x v="0"/>
    <x v="0"/>
    <x v="13"/>
    <n v="3"/>
    <m/>
    <n v="141.1"/>
    <n v="24.900000000000002"/>
  </r>
  <r>
    <s v="SBG - Desktop"/>
    <x v="4"/>
    <s v="New Feature"/>
    <s v="DESK-3065"/>
    <s v="New Mobile design project"/>
    <s v="New Feature"/>
    <x v="0"/>
    <d v="2015-04-16T10:40:00"/>
    <x v="0"/>
    <x v="0"/>
    <x v="13"/>
    <n v="4"/>
    <m/>
    <n v="141.1"/>
    <n v="24.900000000000002"/>
  </r>
  <r>
    <s v="SBG - Desktop"/>
    <x v="4"/>
    <s v="New Feature"/>
    <s v="DESK-3065"/>
    <s v="New Mobile design project"/>
    <s v="New Feature"/>
    <x v="0"/>
    <d v="2015-04-20T10:45:00"/>
    <x v="0"/>
    <x v="0"/>
    <x v="13"/>
    <n v="4"/>
    <m/>
    <n v="141.1"/>
    <n v="24.900000000000002"/>
  </r>
  <r>
    <s v="SBG - Desktop"/>
    <x v="4"/>
    <s v="New Feature"/>
    <s v="DESK-3065"/>
    <s v="New Mobile design project"/>
    <s v="New Feature"/>
    <x v="0"/>
    <d v="2015-04-21T10:47:00"/>
    <x v="0"/>
    <x v="0"/>
    <x v="13"/>
    <n v="5"/>
    <m/>
    <n v="141.1"/>
    <n v="24.900000000000002"/>
  </r>
  <r>
    <s v="SBG - Desktop"/>
    <x v="4"/>
    <s v="New Feature"/>
    <s v="DESK-3065"/>
    <s v="New Mobile design project"/>
    <s v="New Feature"/>
    <x v="0"/>
    <d v="2015-04-22T10:47:00"/>
    <x v="0"/>
    <x v="0"/>
    <x v="13"/>
    <n v="4"/>
    <m/>
    <n v="141.1"/>
    <n v="24.900000000000002"/>
  </r>
  <r>
    <s v="SBG - Desktop"/>
    <x v="4"/>
    <s v="New Feature"/>
    <s v="DESK-3065"/>
    <s v="New Mobile design project"/>
    <s v="New Feature"/>
    <x v="0"/>
    <d v="2015-04-22T10:47:00"/>
    <x v="0"/>
    <x v="0"/>
    <x v="13"/>
    <n v="3"/>
    <m/>
    <n v="141.1"/>
    <n v="24.900000000000002"/>
  </r>
  <r>
    <s v="SBG - Desktop"/>
    <x v="4"/>
    <s v="New Feature"/>
    <s v="DESK-3065"/>
    <s v="New Mobile design project"/>
    <s v="New Feature"/>
    <x v="0"/>
    <d v="2015-04-23T10:48:00"/>
    <x v="0"/>
    <x v="0"/>
    <x v="13"/>
    <n v="4"/>
    <m/>
    <n v="141.1"/>
    <n v="24.900000000000002"/>
  </r>
  <r>
    <s v="SBG - Desktop"/>
    <x v="4"/>
    <s v="New Feature"/>
    <s v="DESK-3065"/>
    <s v="New Mobile design project"/>
    <s v="New Feature"/>
    <x v="0"/>
    <d v="2015-04-24T10:48:00"/>
    <x v="0"/>
    <x v="0"/>
    <x v="13"/>
    <n v="4"/>
    <m/>
    <n v="141.1"/>
    <n v="24.900000000000002"/>
  </r>
  <r>
    <s v="SBG - Desktop"/>
    <x v="4"/>
    <s v="New Feature"/>
    <s v="DESK-3065"/>
    <s v="New Mobile design project"/>
    <s v="New Feature"/>
    <x v="0"/>
    <d v="2015-04-27T10:49:00"/>
    <x v="0"/>
    <x v="0"/>
    <x v="13"/>
    <n v="4"/>
    <m/>
    <n v="141.1"/>
    <n v="24.900000000000002"/>
  </r>
  <r>
    <s v="SBG - Desktop"/>
    <x v="4"/>
    <s v="New Feature"/>
    <s v="DESK-3065"/>
    <s v="New Mobile design project"/>
    <s v="New Feature"/>
    <x v="0"/>
    <d v="2015-04-28T10:49:00"/>
    <x v="0"/>
    <x v="0"/>
    <x v="13"/>
    <n v="4"/>
    <m/>
    <n v="141.1"/>
    <n v="24.900000000000002"/>
  </r>
  <r>
    <s v="SBG - Desktop"/>
    <x v="4"/>
    <s v="New Feature"/>
    <s v="DESK-3065"/>
    <s v="New Mobile design project"/>
    <s v="New Feature"/>
    <x v="0"/>
    <d v="2015-04-29T10:50:00"/>
    <x v="0"/>
    <x v="0"/>
    <x v="13"/>
    <n v="4"/>
    <m/>
    <n v="141.1"/>
    <n v="24.900000000000002"/>
  </r>
  <r>
    <s v="SBG - Desktop"/>
    <x v="4"/>
    <s v="New Feature"/>
    <s v="DESK-3065"/>
    <s v="New Mobile design project"/>
    <s v="New Feature"/>
    <x v="0"/>
    <d v="2015-04-30T10:51:00"/>
    <x v="0"/>
    <x v="0"/>
    <x v="13"/>
    <n v="4"/>
    <m/>
    <n v="141.1"/>
    <n v="24.900000000000002"/>
  </r>
  <r>
    <s v="SBG - Desktop"/>
    <x v="4"/>
    <s v="New Feature"/>
    <s v="DESK-3077"/>
    <s v="Mobile SEO tickets update with requirements"/>
    <s v="New Feature"/>
    <x v="0"/>
    <d v="2015-04-09T10:25:00"/>
    <x v="0"/>
    <x v="0"/>
    <x v="13"/>
    <n v="4"/>
    <m/>
    <n v="141.1"/>
    <n v="24.900000000000002"/>
  </r>
  <r>
    <s v="SBG - Desktop"/>
    <x v="4"/>
    <s v="New Feature"/>
    <s v="DESK-3107"/>
    <s v="Mobile Mockups Design Support"/>
    <s v="New Feature"/>
    <x v="0"/>
    <d v="2015-05-01T09:31:00"/>
    <x v="1"/>
    <x v="0"/>
    <x v="13"/>
    <n v="4"/>
    <m/>
    <n v="141.1"/>
    <n v="24.900000000000002"/>
  </r>
  <r>
    <s v="SBG - Desktop"/>
    <x v="4"/>
    <s v="New Feature"/>
    <s v="DESK-3107"/>
    <s v="Mobile Mockups Design Support"/>
    <s v="New Feature"/>
    <x v="0"/>
    <d v="2015-05-04T09:32:00"/>
    <x v="1"/>
    <x v="0"/>
    <x v="13"/>
    <n v="4"/>
    <m/>
    <n v="141.1"/>
    <n v="24.900000000000002"/>
  </r>
  <r>
    <s v="SBG - Desktop"/>
    <x v="4"/>
    <s v="New Feature"/>
    <s v="DESK-3107"/>
    <s v="Mobile Mockups Design Support"/>
    <s v="New Feature"/>
    <x v="0"/>
    <d v="2015-05-05T09:32:00"/>
    <x v="1"/>
    <x v="0"/>
    <x v="13"/>
    <n v="4"/>
    <m/>
    <n v="141.1"/>
    <n v="24.900000000000002"/>
  </r>
  <r>
    <s v="SBG - Desktop"/>
    <x v="4"/>
    <s v="New Feature"/>
    <s v="DESK-3107"/>
    <s v="Mobile Mockups Design Support"/>
    <s v="New Feature"/>
    <x v="0"/>
    <d v="2015-05-06T09:33:00"/>
    <x v="1"/>
    <x v="0"/>
    <x v="13"/>
    <n v="4"/>
    <m/>
    <n v="141.1"/>
    <n v="24.900000000000002"/>
  </r>
  <r>
    <s v="SBG - Desktop"/>
    <x v="4"/>
    <s v="New Feature"/>
    <s v="DESK-3107"/>
    <s v="Mobile Mockups Design Support"/>
    <s v="New Feature"/>
    <x v="0"/>
    <d v="2015-05-07T09:33:00"/>
    <x v="1"/>
    <x v="0"/>
    <x v="13"/>
    <n v="2"/>
    <m/>
    <n v="141.1"/>
    <n v="24.900000000000002"/>
  </r>
  <r>
    <s v="SBG - Desktop"/>
    <x v="4"/>
    <s v="New Feature"/>
    <s v="DESK-3113"/>
    <s v="Marketing CMS online meeting"/>
    <s v="New Feature"/>
    <x v="0"/>
    <d v="2015-04-14T10:30:00"/>
    <x v="0"/>
    <x v="0"/>
    <x v="13"/>
    <n v="2"/>
    <m/>
    <n v="141.1"/>
    <n v="24.900000000000002"/>
  </r>
  <r>
    <s v="SBG - Desktop"/>
    <x v="4"/>
    <s v="New Feature"/>
    <s v="DESK-3113"/>
    <s v="Marketing CMS online meeting"/>
    <s v="New Feature"/>
    <x v="0"/>
    <d v="2015-04-17T10:33:00"/>
    <x v="0"/>
    <x v="0"/>
    <x v="13"/>
    <n v="2"/>
    <m/>
    <n v="141.1"/>
    <n v="24.900000000000002"/>
  </r>
  <r>
    <s v="SBG - Desktop"/>
    <x v="4"/>
    <s v="New Feature"/>
    <s v="DESK-3113"/>
    <s v="Marketing CMS online meeting"/>
    <s v="New Feature"/>
    <x v="0"/>
    <d v="2015-04-20T12:29:00"/>
    <x v="0"/>
    <x v="0"/>
    <x v="13"/>
    <n v="2"/>
    <m/>
    <n v="141.1"/>
    <n v="24.900000000000002"/>
  </r>
  <r>
    <s v="SBG - Desktop"/>
    <x v="4"/>
    <s v="New Feature"/>
    <s v="DESK-3113"/>
    <s v="Marketing CMS online meeting"/>
    <s v="New Feature"/>
    <x v="0"/>
    <d v="2015-04-21T10:33:00"/>
    <x v="0"/>
    <x v="0"/>
    <x v="13"/>
    <n v="2"/>
    <m/>
    <n v="141.1"/>
    <n v="24.900000000000002"/>
  </r>
  <r>
    <s v="SBG - Desktop"/>
    <x v="4"/>
    <s v="New Feature"/>
    <s v="DESK-3114"/>
    <s v="Visit Ekohe partner"/>
    <s v="New Feature"/>
    <x v="0"/>
    <d v="2015-05-12T15:47:00"/>
    <x v="1"/>
    <x v="0"/>
    <x v="13"/>
    <n v="3"/>
    <m/>
    <n v="141.1"/>
    <n v="24.900000000000002"/>
  </r>
  <r>
    <s v="SBG - Desktop"/>
    <x v="4"/>
    <s v="New Feature"/>
    <s v="DESK-3122"/>
    <s v="UX/Content improvement on CN website"/>
    <s v="New Feature"/>
    <x v="0"/>
    <d v="2015-04-01T14:53:00"/>
    <x v="0"/>
    <x v="0"/>
    <x v="13"/>
    <n v="2"/>
    <m/>
    <n v="141.1"/>
    <n v="24.900000000000002"/>
  </r>
  <r>
    <s v="SBG - Desktop"/>
    <x v="4"/>
    <s v="New Feature"/>
    <s v="DESK-3122"/>
    <s v="UX/Content improvement on CN website"/>
    <s v="New Feature"/>
    <x v="0"/>
    <d v="2015-04-09T10:26:00"/>
    <x v="0"/>
    <x v="0"/>
    <x v="13"/>
    <n v="3"/>
    <m/>
    <n v="141.1"/>
    <n v="24.900000000000002"/>
  </r>
  <r>
    <s v="SBG - Desktop"/>
    <x v="4"/>
    <s v="New Feature"/>
    <s v="DESK-3122"/>
    <s v="UX/Content improvement on CN website"/>
    <s v="New Feature"/>
    <x v="0"/>
    <d v="2015-04-14T10:35:00"/>
    <x v="0"/>
    <x v="0"/>
    <x v="13"/>
    <n v="3"/>
    <m/>
    <n v="141.1"/>
    <n v="24.900000000000002"/>
  </r>
  <r>
    <s v="SBG - Desktop"/>
    <x v="4"/>
    <s v="New Feature"/>
    <s v="DESK-3122"/>
    <s v="UX/Content improvement on CN website"/>
    <s v="New Feature"/>
    <x v="0"/>
    <d v="2015-04-17T10:35:00"/>
    <x v="0"/>
    <x v="0"/>
    <x v="13"/>
    <n v="3"/>
    <m/>
    <n v="141.1"/>
    <n v="24.900000000000002"/>
  </r>
  <r>
    <s v="SBG - Desktop"/>
    <x v="4"/>
    <s v="New Feature"/>
    <s v="DESK-3123"/>
    <s v="Demandware meeting"/>
    <s v="New Feature"/>
    <x v="0"/>
    <d v="2015-04-15T10:37:00"/>
    <x v="0"/>
    <x v="0"/>
    <x v="13"/>
    <n v="4"/>
    <m/>
    <n v="141.1"/>
    <n v="24.900000000000002"/>
  </r>
  <r>
    <s v="SBG - Desktop"/>
    <x v="4"/>
    <s v="New Feature"/>
    <s v="DESK-3128"/>
    <s v="SEO support for SEO TEAM"/>
    <s v="New Feature"/>
    <x v="0"/>
    <d v="2015-04-06T14:57:00"/>
    <x v="0"/>
    <x v="0"/>
    <x v="13"/>
    <n v="2"/>
    <m/>
    <n v="141.1"/>
    <n v="24.900000000000002"/>
  </r>
  <r>
    <s v="SBG - Desktop"/>
    <x v="4"/>
    <s v="New Feature"/>
    <s v="DESK-3128"/>
    <s v="SEO support for SEO TEAM"/>
    <s v="New Feature"/>
    <x v="0"/>
    <d v="2015-04-08T10:20:00"/>
    <x v="0"/>
    <x v="0"/>
    <x v="13"/>
    <n v="2"/>
    <m/>
    <n v="141.1"/>
    <n v="24.900000000000002"/>
  </r>
  <r>
    <s v="SBG - Desktop"/>
    <x v="4"/>
    <s v="New Feature"/>
    <s v="DESK-3128"/>
    <s v="SEO support for SEO TEAM"/>
    <s v="New Feature"/>
    <x v="0"/>
    <d v="2015-04-16T12:16:00"/>
    <x v="0"/>
    <x v="0"/>
    <x v="13"/>
    <n v="3"/>
    <m/>
    <n v="141.1"/>
    <n v="24.900000000000002"/>
  </r>
  <r>
    <s v="SBG - Desktop"/>
    <x v="4"/>
    <s v="New Feature"/>
    <s v="DESK-3128"/>
    <s v="SEO support for SEO TEAM"/>
    <s v="New Feature"/>
    <x v="0"/>
    <d v="2015-04-20T12:29:00"/>
    <x v="0"/>
    <x v="0"/>
    <x v="13"/>
    <n v="1"/>
    <m/>
    <n v="141.1"/>
    <n v="24.900000000000002"/>
  </r>
  <r>
    <s v="SBG - Desktop"/>
    <x v="4"/>
    <s v="New Feature"/>
    <s v="DESK-3128"/>
    <s v="SEO support for SEO TEAM"/>
    <s v="New Feature"/>
    <x v="0"/>
    <d v="2015-04-28T12:30:00"/>
    <x v="0"/>
    <x v="0"/>
    <x v="13"/>
    <n v="1"/>
    <m/>
    <n v="141.1"/>
    <n v="24.900000000000002"/>
  </r>
  <r>
    <s v="SBG - Desktop"/>
    <x v="4"/>
    <s v="New Feature"/>
    <s v="DESK-3128"/>
    <s v="SEO support for SEO TEAM"/>
    <s v="New Feature"/>
    <x v="0"/>
    <d v="2015-05-01T17:00:00"/>
    <x v="1"/>
    <x v="0"/>
    <x v="13"/>
    <n v="2"/>
    <m/>
    <n v="141.1"/>
    <n v="24.900000000000002"/>
  </r>
  <r>
    <s v="SBG - Desktop"/>
    <x v="4"/>
    <s v="New Feature"/>
    <s v="DESK-3128"/>
    <s v="SEO support for SEO TEAM"/>
    <s v="New Feature"/>
    <x v="0"/>
    <d v="2015-05-11T16:38:00"/>
    <x v="1"/>
    <x v="0"/>
    <x v="13"/>
    <n v="2"/>
    <m/>
    <n v="141.1"/>
    <n v="24.900000000000002"/>
  </r>
  <r>
    <s v="SBG - Desktop"/>
    <x v="4"/>
    <s v="New Feature"/>
    <s v="DESK-3128"/>
    <s v="SEO support for SEO TEAM"/>
    <s v="New Feature"/>
    <x v="0"/>
    <d v="2015-05-13T16:38:00"/>
    <x v="1"/>
    <x v="0"/>
    <x v="13"/>
    <n v="2"/>
    <m/>
    <n v="141.1"/>
    <n v="24.900000000000002"/>
  </r>
  <r>
    <s v="SBG - Desktop"/>
    <x v="4"/>
    <s v="New Feature"/>
    <s v="DESK-3133"/>
    <s v="Update translation system proposal file upgrade with String API and file format information"/>
    <s v="New Feature"/>
    <x v="0"/>
    <d v="2015-04-03T14:57:00"/>
    <x v="0"/>
    <x v="0"/>
    <x v="13"/>
    <n v="3"/>
    <m/>
    <n v="141.1"/>
    <n v="24.900000000000002"/>
  </r>
  <r>
    <s v="SBG - Desktop"/>
    <x v="4"/>
    <s v="New Feature"/>
    <s v="DESK-3133"/>
    <s v="Update translation system proposal file upgrade with String API and file format information"/>
    <s v="New Feature"/>
    <x v="0"/>
    <d v="2015-04-08T10:17:00"/>
    <x v="0"/>
    <x v="0"/>
    <x v="13"/>
    <n v="5"/>
    <m/>
    <n v="141.1"/>
    <n v="24.900000000000002"/>
  </r>
  <r>
    <s v="SBG - Desktop"/>
    <x v="4"/>
    <s v="New Feature"/>
    <s v="DESK-3137"/>
    <s v="Research on mobile frontend framework (Ratchet,Sencha,Bootstrap)"/>
    <s v="New Feature"/>
    <x v="0"/>
    <d v="2015-04-28T12:26:00"/>
    <x v="0"/>
    <x v="0"/>
    <x v="13"/>
    <n v="2"/>
    <m/>
    <n v="141.1"/>
    <n v="24.900000000000002"/>
  </r>
  <r>
    <s v="SBG - Desktop"/>
    <x v="4"/>
    <s v="New Feature"/>
    <s v="DESK-3137"/>
    <s v="Research on mobile frontend framework (Ratchet,Sencha,Bootstrap)"/>
    <s v="New Feature"/>
    <x v="0"/>
    <d v="2015-04-29T11:03:00"/>
    <x v="0"/>
    <x v="0"/>
    <x v="13"/>
    <n v="3"/>
    <m/>
    <n v="141.1"/>
    <n v="24.900000000000002"/>
  </r>
  <r>
    <s v="SBG - Desktop"/>
    <x v="4"/>
    <s v="New Feature"/>
    <s v="DESK-3147"/>
    <s v="Pimcore"/>
    <s v="New Feature"/>
    <x v="0"/>
    <d v="2015-04-02T14:54:00"/>
    <x v="0"/>
    <x v="0"/>
    <x v="13"/>
    <n v="4"/>
    <m/>
    <n v="141.1"/>
    <n v="24.900000000000002"/>
  </r>
  <r>
    <s v="SBG - Desktop"/>
    <x v="4"/>
    <s v="New Feature"/>
    <s v="DESK-3147"/>
    <s v="Pimcore"/>
    <s v="New Feature"/>
    <x v="0"/>
    <d v="2015-04-03T14:45:00"/>
    <x v="0"/>
    <x v="0"/>
    <x v="13"/>
    <n v="4"/>
    <m/>
    <n v="141.1"/>
    <n v="24.900000000000002"/>
  </r>
  <r>
    <s v="SBG - Desktop"/>
    <x v="4"/>
    <s v="New Feature"/>
    <s v="DESK-3147"/>
    <s v="Pimcore"/>
    <s v="New Feature"/>
    <x v="0"/>
    <d v="2015-04-06T14:45:00"/>
    <x v="0"/>
    <x v="0"/>
    <x v="13"/>
    <n v="5"/>
    <m/>
    <n v="141.1"/>
    <n v="24.900000000000002"/>
  </r>
  <r>
    <s v="SBG - Desktop"/>
    <x v="4"/>
    <s v="New Feature"/>
    <s v="DESK-3147"/>
    <s v="Pimcore"/>
    <s v="New Feature"/>
    <x v="0"/>
    <d v="2015-04-07T14:44:00"/>
    <x v="0"/>
    <x v="0"/>
    <x v="13"/>
    <n v="2"/>
    <m/>
    <n v="141.1"/>
    <n v="24.900000000000002"/>
  </r>
  <r>
    <s v="SBG - Desktop"/>
    <x v="4"/>
    <s v="New Feature"/>
    <s v="DESK-3173"/>
    <s v="New Mobile UI specs"/>
    <s v="New Feature"/>
    <x v="0"/>
    <d v="2015-05-04T15:49:00"/>
    <x v="1"/>
    <x v="0"/>
    <x v="13"/>
    <n v="4"/>
    <m/>
    <n v="141.1"/>
    <n v="24.900000000000002"/>
  </r>
  <r>
    <s v="SBG - Desktop"/>
    <x v="4"/>
    <s v="New Feature"/>
    <s v="DESK-3173"/>
    <s v="New Mobile UI specs"/>
    <s v="New Feature"/>
    <x v="0"/>
    <d v="2015-05-05T15:49:00"/>
    <x v="1"/>
    <x v="0"/>
    <x v="13"/>
    <n v="5"/>
    <m/>
    <n v="141.1"/>
    <n v="24.900000000000002"/>
  </r>
  <r>
    <s v="SBG - Desktop"/>
    <x v="4"/>
    <s v="New Feature"/>
    <s v="DESK-3173"/>
    <s v="New Mobile UI specs"/>
    <s v="New Feature"/>
    <x v="0"/>
    <d v="2015-05-06T15:50:00"/>
    <x v="1"/>
    <x v="0"/>
    <x v="13"/>
    <n v="5"/>
    <m/>
    <n v="141.1"/>
    <n v="24.900000000000002"/>
  </r>
  <r>
    <s v="SBG - Desktop"/>
    <x v="4"/>
    <s v="New Feature"/>
    <s v="DESK-3173"/>
    <s v="New Mobile UI specs"/>
    <s v="New Feature"/>
    <x v="0"/>
    <d v="2015-05-07T09:30:00"/>
    <x v="1"/>
    <x v="0"/>
    <x v="13"/>
    <n v="5"/>
    <m/>
    <n v="141.1"/>
    <n v="24.900000000000002"/>
  </r>
  <r>
    <s v="SBG - Desktop"/>
    <x v="4"/>
    <s v="New Feature"/>
    <s v="DESK-3173"/>
    <s v="New Mobile UI specs"/>
    <s v="New Feature"/>
    <x v="0"/>
    <d v="2015-05-08T09:45:00"/>
    <x v="1"/>
    <x v="0"/>
    <x v="13"/>
    <n v="5"/>
    <m/>
    <n v="141.1"/>
    <n v="24.900000000000002"/>
  </r>
  <r>
    <s v="SBG - Desktop"/>
    <x v="4"/>
    <s v="New Feature"/>
    <s v="DESK-3173"/>
    <s v="New Mobile UI specs"/>
    <s v="New Feature"/>
    <x v="0"/>
    <d v="2015-05-11T09:45:00"/>
    <x v="1"/>
    <x v="0"/>
    <x v="13"/>
    <n v="5"/>
    <m/>
    <n v="141.1"/>
    <n v="24.900000000000002"/>
  </r>
  <r>
    <s v="SBG - Desktop"/>
    <x v="4"/>
    <s v="New Feature"/>
    <s v="DESK-3173"/>
    <s v="New Mobile UI specs"/>
    <s v="New Feature"/>
    <x v="0"/>
    <d v="2015-05-12T09:45:00"/>
    <x v="1"/>
    <x v="0"/>
    <x v="13"/>
    <n v="5"/>
    <m/>
    <n v="141.1"/>
    <n v="24.900000000000002"/>
  </r>
  <r>
    <s v="SBG - Desktop"/>
    <x v="4"/>
    <s v="New Feature"/>
    <s v="DESK-3173"/>
    <s v="New Mobile UI specs"/>
    <s v="New Feature"/>
    <x v="0"/>
    <d v="2015-05-13T09:30:00"/>
    <x v="1"/>
    <x v="0"/>
    <x v="13"/>
    <n v="5"/>
    <m/>
    <n v="141.1"/>
    <n v="24.900000000000002"/>
  </r>
  <r>
    <s v="SBG - Desktop"/>
    <x v="4"/>
    <s v="New Feature"/>
    <s v="DESK-3173"/>
    <s v="New Mobile UI specs"/>
    <s v="New Feature"/>
    <x v="0"/>
    <d v="2015-05-14T09:30:00"/>
    <x v="1"/>
    <x v="0"/>
    <x v="13"/>
    <n v="7"/>
    <m/>
    <n v="141.1"/>
    <n v="24.900000000000002"/>
  </r>
  <r>
    <s v="SBG - Desktop"/>
    <x v="4"/>
    <s v="New Feature"/>
    <s v="DESK-3174"/>
    <s v="WTI meeting in Suzhou"/>
    <s v="New Feature"/>
    <x v="0"/>
    <d v="2015-04-07T14:36:00"/>
    <x v="0"/>
    <x v="0"/>
    <x v="13"/>
    <n v="5"/>
    <m/>
    <n v="141.1"/>
    <n v="24.900000000000002"/>
  </r>
  <r>
    <s v="SBG - Desktop"/>
    <x v="4"/>
    <s v="New Feature"/>
    <s v="DESK-3203"/>
    <s v="Responsive EDM (finalize fixing bugs, testing)"/>
    <s v="New Feature"/>
    <x v="0"/>
    <d v="2015-04-23T11:01:00"/>
    <x v="0"/>
    <x v="0"/>
    <x v="13"/>
    <n v="3"/>
    <m/>
    <n v="141.1"/>
    <n v="24.900000000000002"/>
  </r>
  <r>
    <s v="SBG - Desktop"/>
    <x v="4"/>
    <s v="New Feature"/>
    <s v="DESK-3203"/>
    <s v="Responsive EDM (finalize fixing bugs, testing)"/>
    <s v="New Feature"/>
    <x v="0"/>
    <d v="2015-04-24T11:00:00"/>
    <x v="0"/>
    <x v="0"/>
    <x v="13"/>
    <n v="3"/>
    <m/>
    <n v="141.1"/>
    <n v="24.900000000000002"/>
  </r>
  <r>
    <s v="SBG - Desktop"/>
    <x v="4"/>
    <s v="New Feature"/>
    <s v="DESK-3203"/>
    <s v="Responsive EDM (finalize fixing bugs, testing)"/>
    <s v="New Feature"/>
    <x v="0"/>
    <d v="2015-04-27T11:00:00"/>
    <x v="0"/>
    <x v="0"/>
    <x v="13"/>
    <n v="1"/>
    <m/>
    <n v="141.1"/>
    <n v="24.900000000000002"/>
  </r>
  <r>
    <s v="SBG - Desktop"/>
    <x v="4"/>
    <s v="New Feature"/>
    <s v="DESK-3210"/>
    <s v="WTI project"/>
    <s v="New Feature"/>
    <x v="0"/>
    <d v="2015-04-01T14:52:00"/>
    <x v="0"/>
    <x v="0"/>
    <x v="13"/>
    <n v="5"/>
    <m/>
    <n v="141.1"/>
    <n v="24.900000000000002"/>
  </r>
  <r>
    <s v="SBG - Desktop"/>
    <x v="4"/>
    <s v="New Feature"/>
    <s v="DESK-3210"/>
    <s v="WTI project"/>
    <s v="New Feature"/>
    <x v="0"/>
    <d v="2015-04-02T14:53:00"/>
    <x v="0"/>
    <x v="0"/>
    <x v="13"/>
    <n v="3"/>
    <m/>
    <n v="141.1"/>
    <n v="24.900000000000002"/>
  </r>
  <r>
    <s v="SBG - Desktop"/>
    <x v="4"/>
    <s v="New Feature"/>
    <s v="DESK-3210"/>
    <s v="WTI project"/>
    <s v="New Feature"/>
    <x v="0"/>
    <d v="2015-05-01T17:40:00"/>
    <x v="1"/>
    <x v="0"/>
    <x v="13"/>
    <n v="1"/>
    <m/>
    <n v="141.1"/>
    <n v="24.900000000000002"/>
  </r>
  <r>
    <s v="SBG - Desktop"/>
    <x v="4"/>
    <s v="New Feature"/>
    <s v="DESK-3210"/>
    <s v="WTI project"/>
    <s v="New Feature"/>
    <x v="0"/>
    <d v="2015-05-08T17:00:00"/>
    <x v="1"/>
    <x v="0"/>
    <x v="13"/>
    <n v="2"/>
    <m/>
    <n v="141.1"/>
    <n v="24.900000000000002"/>
  </r>
  <r>
    <s v="SBG - Desktop"/>
    <x v="4"/>
    <s v="New Feature"/>
    <s v="DESK-3225"/>
    <s v="Mobile design research, benchmarking, specs"/>
    <s v="New Feature"/>
    <x v="0"/>
    <d v="2015-04-10T10:28:00"/>
    <x v="0"/>
    <x v="0"/>
    <x v="13"/>
    <n v="7"/>
    <m/>
    <n v="141.1"/>
    <n v="24.900000000000002"/>
  </r>
  <r>
    <s v="SBG - Desktop"/>
    <x v="4"/>
    <s v="New Feature"/>
    <s v="DESK-3225"/>
    <s v="Mobile design research, benchmarking, specs"/>
    <s v="New Feature"/>
    <x v="0"/>
    <d v="2015-04-13T10:28:00"/>
    <x v="0"/>
    <x v="0"/>
    <x v="13"/>
    <n v="7"/>
    <m/>
    <n v="141.1"/>
    <n v="24.900000000000002"/>
  </r>
  <r>
    <s v="SBG - Desktop"/>
    <x v="1"/>
    <s v="Improvement"/>
    <s v="DESK-3293"/>
    <s v="Hide the price filter in search page"/>
    <s v="Improvement"/>
    <x v="0"/>
    <d v="2015-04-28T17:33:00"/>
    <x v="0"/>
    <x v="0"/>
    <x v="1"/>
    <n v="4"/>
    <m/>
    <n v="141.1"/>
    <n v="24.900000000000002"/>
  </r>
  <r>
    <s v="SBG - Desktop"/>
    <x v="1"/>
    <s v="Improvement"/>
    <s v="DESK-3293"/>
    <s v="Hide the price filter in search page"/>
    <s v="Improvement"/>
    <x v="0"/>
    <d v="2015-05-04T18:45:00"/>
    <x v="1"/>
    <x v="0"/>
    <x v="1"/>
    <n v="4"/>
    <m/>
    <n v="141.1"/>
    <n v="24.900000000000002"/>
  </r>
  <r>
    <s v="SBG - Desktop"/>
    <x v="1"/>
    <s v="Bug"/>
    <s v="DESK-3322"/>
    <s v="Homepage CSS adjust"/>
    <s v="Bug"/>
    <x v="1"/>
    <d v="2015-04-10T15:35:00"/>
    <x v="0"/>
    <x v="0"/>
    <x v="8"/>
    <n v="1"/>
    <m/>
    <n v="141.1"/>
    <n v="24.900000000000002"/>
  </r>
  <r>
    <s v="SBG - Desktop"/>
    <x v="2"/>
    <s v="Bug"/>
    <s v="DESK-3322"/>
    <s v="Homepage CSS adjust"/>
    <s v="Bug"/>
    <x v="1"/>
    <d v="2015-04-10T18:30:00"/>
    <x v="0"/>
    <x v="0"/>
    <x v="4"/>
    <n v="4"/>
    <m/>
    <n v="83"/>
    <n v="83"/>
  </r>
  <r>
    <s v="SBG - Desktop"/>
    <x v="1"/>
    <s v="Bug"/>
    <s v="DESK-3372"/>
    <s v="Incorrect price &quot;FROM...&quot; for SBG collection on the DEALS banner"/>
    <s v="Bug"/>
    <x v="1"/>
    <d v="2015-05-08T11:41:00"/>
    <x v="1"/>
    <x v="0"/>
    <x v="5"/>
    <n v="1"/>
    <s v="The price always wrong at night, about 9 PM. please check it. We found this issue almost every night when we run automation."/>
    <n v="141.1"/>
    <n v="24.900000000000002"/>
  </r>
  <r>
    <s v="SBG - Desktop"/>
    <x v="1"/>
    <s v="Bug"/>
    <s v="DESK-3547"/>
    <s v="Top 100 products pages ERROR - smartbuyglasses.com"/>
    <s v="Bug"/>
    <x v="1"/>
    <d v="2015-04-20T14:22:00"/>
    <x v="0"/>
    <x v="0"/>
    <x v="5"/>
    <n v="2"/>
    <m/>
    <n v="141.1"/>
    <n v="24.900000000000002"/>
  </r>
  <r>
    <s v="SBG - Desktop"/>
    <x v="1"/>
    <s v="Bug"/>
    <s v="DESK-3547"/>
    <s v="Top 100 products pages ERROR - smartbuyglasses.com"/>
    <s v="Bug"/>
    <x v="1"/>
    <d v="2015-04-21T15:22:00"/>
    <x v="0"/>
    <x v="0"/>
    <x v="5"/>
    <n v="1"/>
    <m/>
    <n v="141.1"/>
    <n v="24.900000000000002"/>
  </r>
  <r>
    <s v="SBG - Desktop"/>
    <x v="1"/>
    <s v="Bug"/>
    <s v="DESK-3547"/>
    <s v="Top 100 products pages ERROR - smartbuyglasses.com"/>
    <s v="Bug"/>
    <x v="1"/>
    <d v="2015-04-23T13:22:00"/>
    <x v="0"/>
    <x v="0"/>
    <x v="5"/>
    <n v="3"/>
    <m/>
    <n v="141.1"/>
    <n v="24.900000000000002"/>
  </r>
  <r>
    <s v="SBG - Desktop"/>
    <x v="1"/>
    <s v="Bug"/>
    <s v="DESK-3547"/>
    <s v="Top 100 products pages ERROR - smartbuyglasses.com"/>
    <s v="Bug"/>
    <x v="1"/>
    <d v="2015-04-27T16:08:00"/>
    <x v="0"/>
    <x v="0"/>
    <x v="5"/>
    <n v="3"/>
    <m/>
    <n v="141.1"/>
    <n v="24.900000000000002"/>
  </r>
  <r>
    <s v="SBG - Desktop"/>
    <x v="2"/>
    <s v="Bug"/>
    <s v="DESK-3547"/>
    <s v="Top 100 products pages ERROR - smartbuyglasses.com"/>
    <s v="Bug"/>
    <x v="1"/>
    <d v="2015-04-27T16:21:00"/>
    <x v="0"/>
    <x v="0"/>
    <x v="2"/>
    <n v="3"/>
    <m/>
    <n v="141.1"/>
    <n v="24.900000000000002"/>
  </r>
  <r>
    <s v="SBG - Desktop"/>
    <x v="1"/>
    <s v="Bug"/>
    <s v="DESK-3547"/>
    <s v="Top 100 products pages ERROR - smartbuyglasses.com"/>
    <s v="Bug"/>
    <x v="1"/>
    <d v="2015-04-30T15:22:00"/>
    <x v="0"/>
    <x v="0"/>
    <x v="5"/>
    <n v="1"/>
    <m/>
    <n v="141.1"/>
    <n v="24.900000000000002"/>
  </r>
  <r>
    <s v="SBG - Desktop"/>
    <x v="1"/>
    <s v="Bug"/>
    <s v="DESK-3611"/>
    <s v="FR payment complete page trusted shop text"/>
    <s v="Bug"/>
    <x v="1"/>
    <d v="2015-04-07T16:55:00"/>
    <x v="0"/>
    <x v="0"/>
    <x v="8"/>
    <n v="1"/>
    <m/>
    <n v="141.1"/>
    <n v="24.900000000000002"/>
  </r>
  <r>
    <s v="SBG - Desktop"/>
    <x v="2"/>
    <s v="Bug"/>
    <s v="DESK-3629"/>
    <s v="Alipay and Boleto Payment Gateway Issue"/>
    <s v="Bug"/>
    <x v="1"/>
    <d v="2015-04-30T12:10:00"/>
    <x v="0"/>
    <x v="0"/>
    <x v="2"/>
    <n v="2"/>
    <m/>
    <n v="141.1"/>
    <n v="24.900000000000002"/>
  </r>
  <r>
    <s v="SBG - Desktop"/>
    <x v="2"/>
    <s v="Bug"/>
    <s v="DESK-3629"/>
    <s v="Alipay and Boleto Payment Gateway Issue"/>
    <s v="Bug"/>
    <x v="1"/>
    <d v="2015-05-07T18:27:00"/>
    <x v="1"/>
    <x v="0"/>
    <x v="11"/>
    <n v="5"/>
    <s v="Checked the script, optimised it. Knew that we can't see the order by our query because of date (35 days). Checked the status of orders."/>
    <n v="141.1"/>
    <n v="24.900000000000002"/>
  </r>
  <r>
    <s v="SBG - Desktop"/>
    <x v="2"/>
    <s v="Bug"/>
    <s v="DESK-3629"/>
    <s v="Alipay and Boleto Payment Gateway Issue"/>
    <s v="Bug"/>
    <x v="1"/>
    <d v="2015-05-27T11:27:00"/>
    <x v="1"/>
    <x v="0"/>
    <x v="9"/>
    <n v="1"/>
    <m/>
    <n v="141.1"/>
    <n v="24.900000000000002"/>
  </r>
  <r>
    <s v="SBG - Desktop"/>
    <x v="1"/>
    <s v="Bug"/>
    <s v="DESK-3638"/>
    <s v="Price is wrong on checkout page"/>
    <s v="Bug"/>
    <x v="1"/>
    <d v="2015-05-25T08:23:00"/>
    <x v="1"/>
    <x v="0"/>
    <x v="5"/>
    <n v="8"/>
    <m/>
    <n v="141.1"/>
    <n v="24.900000000000002"/>
  </r>
  <r>
    <s v="SBG - Desktop"/>
    <x v="1"/>
    <s v="Bug"/>
    <s v="DESK-3638"/>
    <s v="Price is wrong on checkout page"/>
    <s v="Bug"/>
    <x v="1"/>
    <d v="2015-05-26T08:23:00"/>
    <x v="1"/>
    <x v="0"/>
    <x v="5"/>
    <n v="8"/>
    <m/>
    <n v="141.1"/>
    <n v="24.900000000000002"/>
  </r>
  <r>
    <s v="SBG - Desktop"/>
    <x v="1"/>
    <s v="Bug"/>
    <s v="DESK-3638"/>
    <s v="Price is wrong on checkout page"/>
    <s v="Bug"/>
    <x v="1"/>
    <d v="2015-05-27T08:23:00"/>
    <x v="1"/>
    <x v="0"/>
    <x v="5"/>
    <n v="8"/>
    <m/>
    <n v="141.1"/>
    <n v="24.900000000000002"/>
  </r>
  <r>
    <s v="SBG - Desktop"/>
    <x v="1"/>
    <s v="Bug"/>
    <s v="DESK-3638"/>
    <s v="Price is wrong on checkout page"/>
    <s v="Bug"/>
    <x v="1"/>
    <d v="2015-05-28T10:44:00"/>
    <x v="1"/>
    <x v="0"/>
    <x v="5"/>
    <n v="1"/>
    <m/>
    <n v="141.1"/>
    <n v="24.900000000000002"/>
  </r>
  <r>
    <s v="SBG - Desktop"/>
    <x v="1"/>
    <s v="Bug"/>
    <s v="DESK-3638"/>
    <s v="Price is wrong on checkout page"/>
    <s v="Bug"/>
    <x v="1"/>
    <d v="2015-05-29T09:23:00"/>
    <x v="1"/>
    <x v="0"/>
    <x v="5"/>
    <n v="7"/>
    <m/>
    <n v="141.1"/>
    <n v="24.900000000000002"/>
  </r>
  <r>
    <s v="SBG - Desktop"/>
    <x v="2"/>
    <s v="Bug"/>
    <s v="DESK-3751"/>
    <s v="foot CSS issue on http://www.lentesworld.com.mx domain"/>
    <s v="Bug"/>
    <x v="1"/>
    <d v="2015-04-22T10:12:00"/>
    <x v="0"/>
    <x v="0"/>
    <x v="4"/>
    <n v="1"/>
    <m/>
    <n v="83"/>
    <n v="83"/>
  </r>
  <r>
    <s v="SBG - Desktop"/>
    <x v="0"/>
    <s v="Bug"/>
    <s v="DESK-3751"/>
    <s v="foot CSS issue on http://www.lentesworld.com.mx domain"/>
    <s v="Bug"/>
    <x v="1"/>
    <d v="2015-04-23T18:40:00"/>
    <x v="0"/>
    <x v="0"/>
    <x v="7"/>
    <n v="8"/>
    <m/>
    <n v="83"/>
    <n v="83"/>
  </r>
  <r>
    <s v="SBG - Desktop"/>
    <x v="0"/>
    <s v="Bug"/>
    <s v="DESK-3762"/>
    <s v="CSS issue on clearance items"/>
    <s v="Bug"/>
    <x v="1"/>
    <d v="2015-05-31T15:00:00"/>
    <x v="1"/>
    <x v="0"/>
    <x v="7"/>
    <n v="10"/>
    <m/>
    <n v="83"/>
    <n v="83"/>
  </r>
  <r>
    <s v="SBG - Desktop"/>
    <x v="2"/>
    <s v="Bug"/>
    <s v="DESK-3786"/>
    <s v="homepage css issue"/>
    <s v="Bug"/>
    <x v="1"/>
    <d v="2015-04-13T10:25:00"/>
    <x v="0"/>
    <x v="0"/>
    <x v="4"/>
    <n v="3.5"/>
    <m/>
    <n v="83"/>
    <n v="83"/>
  </r>
  <r>
    <s v="SBG - Desktop"/>
    <x v="1"/>
    <s v="Bug"/>
    <s v="DESK-3786"/>
    <s v="homepage css issue"/>
    <s v="Bug"/>
    <x v="1"/>
    <d v="2015-04-13T15:55:00"/>
    <x v="0"/>
    <x v="0"/>
    <x v="8"/>
    <n v="3"/>
    <m/>
    <n v="141.1"/>
    <n v="24.900000000000002"/>
  </r>
  <r>
    <s v="SBG - Desktop"/>
    <x v="3"/>
    <s v="Bug"/>
    <s v="DESK-3801"/>
    <s v="VD in the news not show any img in footer section"/>
    <s v="Bug"/>
    <x v="1"/>
    <d v="2015-05-07T16:12:00"/>
    <x v="1"/>
    <x v="0"/>
    <x v="3"/>
    <n v="1"/>
    <m/>
    <n v="83"/>
    <n v="83"/>
  </r>
  <r>
    <s v="SBG - Desktop"/>
    <x v="1"/>
    <s v="Bug"/>
    <s v="DESK-3801"/>
    <s v="VD in the news not show any img in footer section"/>
    <s v="Bug"/>
    <x v="1"/>
    <d v="2015-05-07T18:21:00"/>
    <x v="1"/>
    <x v="0"/>
    <x v="8"/>
    <n v="1.5"/>
    <m/>
    <n v="141.1"/>
    <n v="24.900000000000002"/>
  </r>
  <r>
    <s v="SBG - Desktop"/>
    <x v="2"/>
    <s v="Bug"/>
    <s v="DESK-3801"/>
    <s v="VD in the news not show any img in footer section"/>
    <s v="Bug"/>
    <x v="1"/>
    <d v="2015-05-07T18:31:00"/>
    <x v="1"/>
    <x v="0"/>
    <x v="4"/>
    <n v="1.5"/>
    <m/>
    <n v="83"/>
    <n v="83"/>
  </r>
  <r>
    <s v="SBG - Desktop"/>
    <x v="2"/>
    <s v="Bug"/>
    <s v="DESK-3908"/>
    <s v="Mega Menu Links errors"/>
    <s v="Bug"/>
    <x v="1"/>
    <d v="2015-05-27T06:47:00"/>
    <x v="1"/>
    <x v="0"/>
    <x v="10"/>
    <n v="8"/>
    <m/>
    <n v="141.1"/>
    <n v="24.900000000000002"/>
  </r>
  <r>
    <s v="SBG - Desktop"/>
    <x v="2"/>
    <s v="Bug"/>
    <s v="DESK-3908"/>
    <s v="Mega Menu Links errors"/>
    <s v="Bug"/>
    <x v="1"/>
    <d v="2015-05-28T06:46:00"/>
    <x v="1"/>
    <x v="0"/>
    <x v="10"/>
    <n v="8"/>
    <m/>
    <n v="141.1"/>
    <n v="24.900000000000002"/>
  </r>
  <r>
    <s v="SBG - Desktop"/>
    <x v="2"/>
    <s v="Bug"/>
    <s v="DESK-3971"/>
    <s v="CN website membership"/>
    <s v="Bug"/>
    <x v="1"/>
    <d v="2015-05-26T13:47:00"/>
    <x v="1"/>
    <x v="0"/>
    <x v="10"/>
    <n v="1"/>
    <m/>
    <n v="141.1"/>
    <n v="24.900000000000002"/>
  </r>
  <r>
    <s v="SBG - Desktop"/>
    <x v="2"/>
    <s v="Bug"/>
    <s v="DESK-3971"/>
    <s v="CN website membership"/>
    <s v="Bug"/>
    <x v="1"/>
    <d v="2015-05-29T08:46:00"/>
    <x v="1"/>
    <x v="0"/>
    <x v="10"/>
    <n v="6"/>
    <m/>
    <n v="141.1"/>
    <n v="24.900000000000002"/>
  </r>
  <r>
    <s v="SBG - Desktop"/>
    <x v="1"/>
    <s v="Bug"/>
    <s v="DESK-3991"/>
    <s v="issue on thank you page"/>
    <s v="Bug"/>
    <x v="1"/>
    <d v="2015-05-20T14:23:00"/>
    <x v="1"/>
    <x v="0"/>
    <x v="8"/>
    <n v="1"/>
    <m/>
    <n v="141.1"/>
    <n v="24.900000000000002"/>
  </r>
  <r>
    <s v="SBG - Desktop"/>
    <x v="3"/>
    <s v="Bug"/>
    <s v="DESK-4002"/>
    <s v="it shows error message on the footer when removing RX on cart page of old RX domain"/>
    <s v="Bug"/>
    <x v="1"/>
    <d v="2015-05-13T12:51:00"/>
    <x v="1"/>
    <x v="0"/>
    <x v="3"/>
    <n v="0.5"/>
    <m/>
    <n v="83"/>
    <n v="83"/>
  </r>
  <r>
    <s v="SBG - Desktop"/>
    <x v="2"/>
    <s v="Bug"/>
    <s v="DESK-4002"/>
    <s v="it shows error message on the footer when removing RX on cart page of old RX domain"/>
    <s v="Bug"/>
    <x v="1"/>
    <d v="2015-05-19T11:58:00"/>
    <x v="1"/>
    <x v="0"/>
    <x v="6"/>
    <n v="1"/>
    <m/>
    <n v="141.1"/>
    <n v="24.900000000000002"/>
  </r>
  <r>
    <s v="SBG - Desktop"/>
    <x v="1"/>
    <s v="Technical task"/>
    <s v="DESK-4104"/>
    <s v="DESK-3626&gt; links incorrect in CN domain"/>
    <s v="Technical task"/>
    <x v="0"/>
    <d v="2015-05-20T10:52:00"/>
    <x v="1"/>
    <x v="0"/>
    <x v="8"/>
    <n v="1"/>
    <m/>
    <n v="141.1"/>
    <n v="24.900000000000002"/>
  </r>
  <r>
    <s v="SBG - Desktop"/>
    <x v="1"/>
    <s v="Bug"/>
    <s v="DESK-4167"/>
    <s v="Rewards is 0 in OM order detail page"/>
    <s v="Bug"/>
    <x v="1"/>
    <d v="2015-04-07T10:18:00"/>
    <x v="0"/>
    <x v="0"/>
    <x v="1"/>
    <n v="1"/>
    <m/>
    <n v="141.1"/>
    <n v="24.900000000000002"/>
  </r>
  <r>
    <s v="SBG - Desktop"/>
    <x v="2"/>
    <s v="Bug"/>
    <s v="DESK-4167"/>
    <s v="Rewards is 0 in OM order detail page"/>
    <s v="Bug"/>
    <x v="1"/>
    <d v="2015-04-08T15:54:00"/>
    <x v="0"/>
    <x v="0"/>
    <x v="12"/>
    <n v="1"/>
    <m/>
    <n v="141.1"/>
    <n v="24.900000000000002"/>
  </r>
  <r>
    <s v="SBG - Desktop"/>
    <x v="1"/>
    <s v="Bug"/>
    <s v="DESK-4167"/>
    <s v="Rewards is 0 in OM order detail page"/>
    <s v="Bug"/>
    <x v="1"/>
    <d v="2015-04-29T18:39:00"/>
    <x v="0"/>
    <x v="0"/>
    <x v="1"/>
    <n v="8"/>
    <m/>
    <n v="141.1"/>
    <n v="24.900000000000002"/>
  </r>
  <r>
    <s v="SBG - Desktop"/>
    <x v="1"/>
    <s v="Bug"/>
    <s v="DESK-4167"/>
    <s v="Rewards is 0 in OM order detail page"/>
    <s v="Bug"/>
    <x v="1"/>
    <d v="2015-05-06T18:47:00"/>
    <x v="1"/>
    <x v="0"/>
    <x v="1"/>
    <n v="7"/>
    <m/>
    <n v="141.1"/>
    <n v="24.900000000000002"/>
  </r>
  <r>
    <s v="SBG - Desktop"/>
    <x v="1"/>
    <s v="Bug"/>
    <s v="DESK-4167"/>
    <s v="Rewards is 0 in OM order detail page"/>
    <s v="Bug"/>
    <x v="1"/>
    <d v="2015-05-08T18:48:00"/>
    <x v="1"/>
    <x v="0"/>
    <x v="1"/>
    <n v="8"/>
    <m/>
    <n v="141.1"/>
    <n v="24.900000000000002"/>
  </r>
  <r>
    <s v="SBG - Desktop"/>
    <x v="1"/>
    <s v="Bug"/>
    <s v="DESK-4203"/>
    <s v="Buy with Lenses Issue on DE domain?"/>
    <s v="Bug"/>
    <x v="1"/>
    <d v="2015-04-03T19:14:00"/>
    <x v="0"/>
    <x v="0"/>
    <x v="1"/>
    <n v="1"/>
    <m/>
    <n v="141.1"/>
    <n v="24.900000000000002"/>
  </r>
  <r>
    <s v="SBG - Desktop"/>
    <x v="1"/>
    <s v="Bug"/>
    <s v="DESK-4203"/>
    <s v="Buy with Lenses Issue on DE domain?"/>
    <s v="Bug"/>
    <x v="1"/>
    <d v="2015-04-05T18:41:00"/>
    <x v="0"/>
    <x v="0"/>
    <x v="1"/>
    <n v="6"/>
    <m/>
    <n v="141.1"/>
    <n v="24.900000000000002"/>
  </r>
  <r>
    <s v="SBG - Desktop"/>
    <x v="1"/>
    <s v="Bug"/>
    <s v="DESK-4203"/>
    <s v="Buy with Lenses Issue on DE domain?"/>
    <s v="Bug"/>
    <x v="1"/>
    <d v="2015-04-30T18:40:00"/>
    <x v="0"/>
    <x v="0"/>
    <x v="1"/>
    <n v="10"/>
    <m/>
    <n v="141.1"/>
    <n v="24.900000000000002"/>
  </r>
  <r>
    <s v="SBG - Desktop"/>
    <x v="1"/>
    <s v="Bug"/>
    <s v="DESK-4203"/>
    <s v="Buy with Lenses Issue on DE domain?"/>
    <s v="Bug"/>
    <x v="1"/>
    <d v="2015-05-07T18:47:00"/>
    <x v="1"/>
    <x v="0"/>
    <x v="1"/>
    <n v="8"/>
    <m/>
    <n v="141.1"/>
    <n v="24.900000000000002"/>
  </r>
  <r>
    <s v="SBG - Desktop"/>
    <x v="1"/>
    <s v="Bug"/>
    <s v="DESK-4239"/>
    <s v="Ray-Ban brand logo for Brand Eyeglasses pages"/>
    <s v="Bug"/>
    <x v="1"/>
    <d v="2015-04-02T10:40:00"/>
    <x v="0"/>
    <x v="0"/>
    <x v="5"/>
    <n v="3"/>
    <m/>
    <n v="141.1"/>
    <n v="24.900000000000002"/>
  </r>
  <r>
    <s v="SBG - Desktop"/>
    <x v="2"/>
    <s v="Bug"/>
    <s v="DESK-4250"/>
    <s v="Payment fail when use the saved card to pay"/>
    <s v="Bug"/>
    <x v="1"/>
    <d v="2015-04-01T18:55:00"/>
    <x v="0"/>
    <x v="0"/>
    <x v="2"/>
    <n v="8"/>
    <m/>
    <n v="141.1"/>
    <n v="24.900000000000002"/>
  </r>
  <r>
    <s v="SBG - Desktop"/>
    <x v="2"/>
    <s v="Bug"/>
    <s v="DESK-4250"/>
    <s v="Payment fail when use the saved card to pay"/>
    <s v="Bug"/>
    <x v="1"/>
    <d v="2015-04-02T18:55:00"/>
    <x v="0"/>
    <x v="0"/>
    <x v="2"/>
    <n v="8"/>
    <m/>
    <n v="141.1"/>
    <n v="24.900000000000002"/>
  </r>
  <r>
    <s v="SBG - Desktop"/>
    <x v="2"/>
    <s v="Bug"/>
    <s v="DESK-4250"/>
    <s v="Payment fail when use the saved card to pay"/>
    <s v="Bug"/>
    <x v="1"/>
    <d v="2015-04-07T16:35:00"/>
    <x v="0"/>
    <x v="0"/>
    <x v="2"/>
    <n v="5"/>
    <m/>
    <n v="141.1"/>
    <n v="24.900000000000002"/>
  </r>
  <r>
    <s v="SBG - Desktop"/>
    <x v="2"/>
    <s v="Bug"/>
    <s v="DESK-4250"/>
    <s v="Payment fail when use the saved card to pay"/>
    <s v="Bug"/>
    <x v="1"/>
    <d v="2015-04-08T16:32:00"/>
    <x v="0"/>
    <x v="0"/>
    <x v="2"/>
    <n v="8"/>
    <m/>
    <n v="141.1"/>
    <n v="24.900000000000002"/>
  </r>
  <r>
    <s v="SBG - Desktop"/>
    <x v="2"/>
    <s v="Bug"/>
    <s v="DESK-4250"/>
    <s v="Payment fail when use the saved card to pay"/>
    <s v="Bug"/>
    <x v="1"/>
    <d v="2015-04-09T16:36:00"/>
    <x v="0"/>
    <x v="0"/>
    <x v="2"/>
    <n v="9"/>
    <m/>
    <n v="141.1"/>
    <n v="24.900000000000002"/>
  </r>
  <r>
    <s v="SBG - Desktop"/>
    <x v="1"/>
    <s v="Bug"/>
    <s v="DESK-4379"/>
    <s v="nosale products appear in our website"/>
    <s v="Bug"/>
    <x v="1"/>
    <d v="2015-04-15T15:57:00"/>
    <x v="0"/>
    <x v="0"/>
    <x v="5"/>
    <n v="1"/>
    <m/>
    <n v="141.1"/>
    <n v="24.900000000000002"/>
  </r>
  <r>
    <s v="SBG - Desktop"/>
    <x v="2"/>
    <s v="Bug"/>
    <s v="DESK-4390"/>
    <s v="page go back to cart page when click &quot;Process to Checkout&quot; button on cart page."/>
    <s v="Bug"/>
    <x v="1"/>
    <d v="2015-05-28T14:35:00"/>
    <x v="1"/>
    <x v="0"/>
    <x v="2"/>
    <n v="2"/>
    <m/>
    <n v="141.1"/>
    <n v="24.900000000000002"/>
  </r>
  <r>
    <s v="SBG - Desktop"/>
    <x v="3"/>
    <s v="Bug"/>
    <s v="DESK-4390"/>
    <s v="page go back to cart page when click &quot;Process to Checkout&quot; button on cart page."/>
    <s v="Bug"/>
    <x v="1"/>
    <d v="2015-05-28T15:06:00"/>
    <x v="1"/>
    <x v="0"/>
    <x v="3"/>
    <n v="0.5"/>
    <m/>
    <n v="83"/>
    <n v="83"/>
  </r>
  <r>
    <s v="SBG - Desktop"/>
    <x v="1"/>
    <s v="Bug"/>
    <s v="DESK-4427"/>
    <s v="CSS style breake when vidist home page with 'HTTPS'"/>
    <s v="Bug"/>
    <x v="1"/>
    <d v="2015-05-28T10:43:00"/>
    <x v="1"/>
    <x v="0"/>
    <x v="5"/>
    <n v="1"/>
    <m/>
    <n v="141.1"/>
    <n v="24.900000000000002"/>
  </r>
  <r>
    <s v="SBG - Desktop"/>
    <x v="2"/>
    <s v="Bug"/>
    <s v="DESK-4427"/>
    <s v="CSS style breake when vidist home page with 'HTTPS'"/>
    <s v="Bug"/>
    <x v="1"/>
    <d v="2015-05-28T17:53:00"/>
    <x v="1"/>
    <x v="0"/>
    <x v="2"/>
    <n v="2"/>
    <m/>
    <n v="141.1"/>
    <n v="24.900000000000002"/>
  </r>
  <r>
    <s v="SBG - Desktop"/>
    <x v="1"/>
    <s v="Bug"/>
    <s v="DESK-4427"/>
    <s v="CSS style breake when vidist home page with 'HTTPS'"/>
    <s v="Bug"/>
    <x v="1"/>
    <d v="2015-05-29T10:43:00"/>
    <x v="1"/>
    <x v="0"/>
    <x v="5"/>
    <n v="1"/>
    <m/>
    <n v="141.1"/>
    <n v="24.900000000000002"/>
  </r>
  <r>
    <s v="SBG - Desktop"/>
    <x v="1"/>
    <s v="Bug"/>
    <s v="DESK-4431"/>
    <s v="check out page ssl bug"/>
    <s v="Bug"/>
    <x v="1"/>
    <d v="2015-04-27T16:25:00"/>
    <x v="0"/>
    <x v="0"/>
    <x v="5"/>
    <n v="2"/>
    <m/>
    <n v="141.1"/>
    <n v="24.900000000000002"/>
  </r>
  <r>
    <s v="SBG - Desktop"/>
    <x v="0"/>
    <s v="Bug"/>
    <s v="DESK-4624"/>
    <s v="When reward price is over $10, the question mark goes over the amount."/>
    <s v="Bug"/>
    <x v="1"/>
    <d v="2015-04-14T18:43:00"/>
    <x v="0"/>
    <x v="0"/>
    <x v="7"/>
    <n v="3"/>
    <m/>
    <n v="83"/>
    <n v="83"/>
  </r>
  <r>
    <s v="SBG - Desktop"/>
    <x v="1"/>
    <s v="Bug"/>
    <s v="DESK-4868"/>
    <s v="One of the banners (sunglasses) does not load on the home page."/>
    <s v="Bug"/>
    <x v="1"/>
    <d v="2015-04-03T11:53:00"/>
    <x v="0"/>
    <x v="0"/>
    <x v="8"/>
    <n v="1"/>
    <m/>
    <n v="141.1"/>
    <n v="24.900000000000002"/>
  </r>
  <r>
    <s v="SBG - Desktop"/>
    <x v="2"/>
    <s v="Bug"/>
    <s v="DESK-5002"/>
    <s v="Click on product on search results page, then click BACK in browser = error page"/>
    <s v="Bug"/>
    <x v="1"/>
    <d v="2015-05-15T13:45:00"/>
    <x v="1"/>
    <x v="0"/>
    <x v="2"/>
    <n v="3"/>
    <m/>
    <n v="141.1"/>
    <n v="24.900000000000002"/>
  </r>
  <r>
    <s v="SBG - Desktop"/>
    <x v="2"/>
    <s v="Bug"/>
    <s v="DESK-5002"/>
    <s v="Click on product on search results page, then click BACK in browser = error page"/>
    <s v="Bug"/>
    <x v="1"/>
    <d v="2015-05-18T13:46:00"/>
    <x v="1"/>
    <x v="0"/>
    <x v="2"/>
    <n v="4"/>
    <m/>
    <n v="141.1"/>
    <n v="24.900000000000002"/>
  </r>
  <r>
    <s v="SBG - Desktop"/>
    <x v="1"/>
    <s v="Bug"/>
    <s v="DESK-5007"/>
    <s v="Translation missing product page contact lenses"/>
    <s v="Bug"/>
    <x v="1"/>
    <d v="2015-04-01T18:12:00"/>
    <x v="0"/>
    <x v="0"/>
    <x v="8"/>
    <n v="1"/>
    <m/>
    <n v="141.1"/>
    <n v="24.900000000000002"/>
  </r>
  <r>
    <s v="SBG - Desktop"/>
    <x v="1"/>
    <s v="Bug"/>
    <s v="DESK-5007"/>
    <s v="Translation missing product page contact lenses"/>
    <s v="Bug"/>
    <x v="1"/>
    <d v="2015-04-02T17:14:00"/>
    <x v="0"/>
    <x v="0"/>
    <x v="8"/>
    <n v="1"/>
    <m/>
    <n v="141.1"/>
    <n v="24.900000000000002"/>
  </r>
  <r>
    <s v="SBG - Desktop"/>
    <x v="0"/>
    <s v="Bug"/>
    <s v="DESK-5020"/>
    <s v="CSS style broken on thank you page FR domain"/>
    <s v="Bug"/>
    <x v="1"/>
    <d v="2015-04-02T18:36:00"/>
    <x v="0"/>
    <x v="0"/>
    <x v="7"/>
    <n v="0.5"/>
    <m/>
    <n v="83"/>
    <n v="83"/>
  </r>
  <r>
    <s v="SBG - Desktop"/>
    <x v="1"/>
    <s v="Bug"/>
    <s v="DESK-5020"/>
    <s v="CSS style broken on thank you page FR domain"/>
    <s v="Bug"/>
    <x v="1"/>
    <d v="2015-04-03T16:44:00"/>
    <x v="0"/>
    <x v="0"/>
    <x v="8"/>
    <n v="1"/>
    <m/>
    <n v="141.1"/>
    <n v="24.900000000000002"/>
  </r>
  <r>
    <s v="SBG - Desktop"/>
    <x v="1"/>
    <s v="Bug"/>
    <s v="DESK-5020"/>
    <s v="CSS style broken on thank you page FR domain"/>
    <s v="Bug"/>
    <x v="1"/>
    <d v="2015-04-07T18:19:00"/>
    <x v="0"/>
    <x v="0"/>
    <x v="8"/>
    <n v="2"/>
    <m/>
    <n v="141.1"/>
    <n v="24.900000000000002"/>
  </r>
  <r>
    <s v="SBG - Desktop"/>
    <x v="3"/>
    <s v="Bug"/>
    <s v="DESK-5020"/>
    <s v="CSS style broken on thank you page FR domain"/>
    <s v="Bug"/>
    <x v="1"/>
    <d v="2015-04-09T16:23:00"/>
    <x v="0"/>
    <x v="0"/>
    <x v="3"/>
    <n v="0.5"/>
    <m/>
    <n v="83"/>
    <n v="83"/>
  </r>
  <r>
    <s v="SBG - Desktop"/>
    <x v="1"/>
    <s v="Bug"/>
    <s v="DESK-5020"/>
    <s v="CSS style broken on thank you page FR domain"/>
    <s v="Bug"/>
    <x v="1"/>
    <d v="2015-04-09T18:14:00"/>
    <x v="0"/>
    <x v="0"/>
    <x v="8"/>
    <n v="1"/>
    <m/>
    <n v="141.1"/>
    <n v="24.900000000000002"/>
  </r>
  <r>
    <s v="SBG - Desktop"/>
    <x v="1"/>
    <s v="Bug"/>
    <s v="DESK-5020"/>
    <s v="CSS style broken on thank you page FR domain"/>
    <s v="Bug"/>
    <x v="1"/>
    <d v="2015-04-13T11:39:00"/>
    <x v="0"/>
    <x v="0"/>
    <x v="5"/>
    <n v="1"/>
    <m/>
    <n v="141.1"/>
    <n v="24.900000000000002"/>
  </r>
  <r>
    <s v="SBG - Desktop"/>
    <x v="1"/>
    <s v="Bug"/>
    <s v="DESK-5066"/>
    <s v="Lens Price 'from' coding"/>
    <s v="Bug"/>
    <x v="1"/>
    <d v="2015-04-08T09:59:00"/>
    <x v="0"/>
    <x v="0"/>
    <x v="5"/>
    <n v="2"/>
    <m/>
    <n v="141.1"/>
    <n v="24.900000000000002"/>
  </r>
  <r>
    <s v="SBG - Desktop"/>
    <x v="2"/>
    <s v="Bug"/>
    <s v="DESK-5066"/>
    <s v="Lens Price 'from' coding"/>
    <s v="Bug"/>
    <x v="1"/>
    <d v="2015-04-08T17:35:00"/>
    <x v="0"/>
    <x v="0"/>
    <x v="6"/>
    <n v="1.5"/>
    <m/>
    <n v="141.1"/>
    <n v="24.900000000000002"/>
  </r>
  <r>
    <s v="SBG - Desktop"/>
    <x v="1"/>
    <s v="Bug"/>
    <s v="DESK-5066"/>
    <s v="Lens Price 'from' coding"/>
    <s v="Bug"/>
    <x v="1"/>
    <d v="2015-04-09T09:59:00"/>
    <x v="0"/>
    <x v="0"/>
    <x v="5"/>
    <n v="2"/>
    <m/>
    <n v="141.1"/>
    <n v="24.900000000000002"/>
  </r>
  <r>
    <s v="SBG - Desktop"/>
    <x v="3"/>
    <s v="Bug"/>
    <s v="DESK-5066"/>
    <s v="Lens Price 'from' coding"/>
    <s v="Bug"/>
    <x v="1"/>
    <d v="2015-04-09T16:23:00"/>
    <x v="0"/>
    <x v="0"/>
    <x v="3"/>
    <n v="0.5"/>
    <m/>
    <n v="83"/>
    <n v="83"/>
  </r>
  <r>
    <s v="SBG - Desktop"/>
    <x v="2"/>
    <s v="Bug"/>
    <s v="DESK-5083"/>
    <s v="Brand issue"/>
    <s v="Bug"/>
    <x v="1"/>
    <d v="2015-05-28T11:18:00"/>
    <x v="1"/>
    <x v="0"/>
    <x v="6"/>
    <n v="1"/>
    <s v="Fixed old bug."/>
    <n v="141.1"/>
    <n v="24.900000000000002"/>
  </r>
  <r>
    <s v="SBG - Desktop"/>
    <x v="1"/>
    <s v="Bug"/>
    <s v="DESK-5083"/>
    <s v="Brand issue"/>
    <s v="Bug"/>
    <x v="1"/>
    <d v="2015-05-28T11:51:00"/>
    <x v="1"/>
    <x v="0"/>
    <x v="5"/>
    <n v="2"/>
    <m/>
    <n v="141.1"/>
    <n v="24.900000000000002"/>
  </r>
  <r>
    <s v="SBG - Desktop"/>
    <x v="3"/>
    <s v="Bug"/>
    <s v="DESK-5083"/>
    <s v="Brand issue"/>
    <s v="Bug"/>
    <x v="1"/>
    <d v="2015-05-28T12:53:00"/>
    <x v="1"/>
    <x v="0"/>
    <x v="3"/>
    <n v="0.5"/>
    <m/>
    <n v="83"/>
    <n v="83"/>
  </r>
  <r>
    <s v="SBG - Desktop"/>
    <x v="0"/>
    <s v="Bug"/>
    <s v="DESK-5166"/>
    <s v="Safari page bug"/>
    <s v="Bug"/>
    <x v="1"/>
    <d v="2015-05-21T17:26:00"/>
    <x v="1"/>
    <x v="0"/>
    <x v="0"/>
    <n v="0.5"/>
    <m/>
    <n v="83"/>
    <n v="83"/>
  </r>
  <r>
    <s v="SBG - Desktop"/>
    <x v="2"/>
    <s v="Bug"/>
    <s v="DESK-5166"/>
    <s v="Safari page bug"/>
    <s v="Bug"/>
    <x v="1"/>
    <d v="2015-05-21T18:32:00"/>
    <x v="1"/>
    <x v="0"/>
    <x v="4"/>
    <n v="2"/>
    <m/>
    <n v="83"/>
    <n v="83"/>
  </r>
  <r>
    <s v="SBG - Desktop"/>
    <x v="3"/>
    <s v="Bug"/>
    <s v="DESK-5166"/>
    <s v="Safari page bug"/>
    <s v="Bug"/>
    <x v="1"/>
    <d v="2015-05-22T12:43:00"/>
    <x v="1"/>
    <x v="0"/>
    <x v="3"/>
    <n v="0.5"/>
    <m/>
    <n v="83"/>
    <n v="83"/>
  </r>
  <r>
    <s v="SBG - Desktop"/>
    <x v="2"/>
    <s v="Bug"/>
    <s v="DESK-5230"/>
    <s v="NO INDEX for some pages"/>
    <s v="Bug"/>
    <x v="1"/>
    <d v="2015-05-29T11:01:00"/>
    <x v="1"/>
    <x v="0"/>
    <x v="10"/>
    <n v="1"/>
    <m/>
    <n v="141.1"/>
    <n v="24.900000000000002"/>
  </r>
  <r>
    <s v="SBG - Desktop"/>
    <x v="2"/>
    <s v="Bug"/>
    <s v="DESK-5230"/>
    <s v="NO INDEX for some pages"/>
    <s v="Bug"/>
    <x v="1"/>
    <d v="2015-05-29T11:29:00"/>
    <x v="1"/>
    <x v="0"/>
    <x v="10"/>
    <n v="1"/>
    <m/>
    <n v="141.1"/>
    <n v="24.900000000000002"/>
  </r>
  <r>
    <s v="SBG - Desktop"/>
    <x v="1"/>
    <s v="Bug"/>
    <s v="DESK-5291"/>
    <s v="&quot;Best Price Guarantee&quot; translation issue"/>
    <s v="Bug"/>
    <x v="1"/>
    <d v="2015-04-16T11:42:00"/>
    <x v="0"/>
    <x v="0"/>
    <x v="5"/>
    <n v="1"/>
    <m/>
    <n v="141.1"/>
    <n v="24.900000000000002"/>
  </r>
  <r>
    <s v="SBG - Desktop"/>
    <x v="1"/>
    <s v="Bug"/>
    <s v="DESK-6754"/>
    <s v="404 request on home page and checkout page"/>
    <s v="Bug"/>
    <x v="1"/>
    <d v="2015-04-27T16:10:00"/>
    <x v="0"/>
    <x v="0"/>
    <x v="5"/>
    <n v="1"/>
    <m/>
    <n v="141.1"/>
    <n v="24.900000000000002"/>
  </r>
  <r>
    <s v="SBG - Desktop"/>
    <x v="0"/>
    <s v="Technical task"/>
    <s v="DESK-6927"/>
    <s v="DESK-6768&gt; Email of customer service is wrong"/>
    <s v="Technical task"/>
    <x v="0"/>
    <d v="2015-04-15T17:28:00"/>
    <x v="0"/>
    <x v="0"/>
    <x v="7"/>
    <n v="3"/>
    <m/>
    <n v="83"/>
    <n v="83"/>
  </r>
  <r>
    <s v="SBG - Desktop"/>
    <x v="1"/>
    <s v="Task"/>
    <s v="DESK-6966"/>
    <s v="reissue ssl for PL,CL,RU"/>
    <s v="Task"/>
    <x v="0"/>
    <d v="2015-05-08T12:33:00"/>
    <x v="1"/>
    <x v="0"/>
    <x v="8"/>
    <n v="1.5"/>
    <m/>
    <n v="141.1"/>
    <n v="24.900000000000002"/>
  </r>
  <r>
    <s v="SBG - Desktop"/>
    <x v="2"/>
    <s v="Task"/>
    <s v="DESK-7012"/>
    <s v="product page small picture loading"/>
    <s v="Task"/>
    <x v="0"/>
    <d v="2015-05-06T15:55:00"/>
    <x v="1"/>
    <x v="0"/>
    <x v="6"/>
    <n v="1"/>
    <m/>
    <n v="141.1"/>
    <n v="24.900000000000002"/>
  </r>
  <r>
    <s v="SBG - Desktop"/>
    <x v="1"/>
    <s v="Task"/>
    <s v="DESK-7012"/>
    <s v="product page small picture loading"/>
    <s v="Task"/>
    <x v="0"/>
    <d v="2015-05-06T18:30:00"/>
    <x v="1"/>
    <x v="0"/>
    <x v="8"/>
    <n v="2"/>
    <m/>
    <n v="141.1"/>
    <n v="24.900000000000002"/>
  </r>
  <r>
    <s v="SBG - Desktop"/>
    <x v="3"/>
    <s v="Task"/>
    <s v="DESK-7012"/>
    <s v="product page small picture loading"/>
    <s v="Task"/>
    <x v="0"/>
    <d v="2015-05-07T16:12:00"/>
    <x v="1"/>
    <x v="0"/>
    <x v="3"/>
    <n v="1"/>
    <m/>
    <n v="83"/>
    <n v="83"/>
  </r>
  <r>
    <s v="SBG - Desktop"/>
    <x v="1"/>
    <s v="Task"/>
    <s v="DESK-7012"/>
    <s v="product page small picture loading"/>
    <s v="Task"/>
    <x v="0"/>
    <d v="2015-05-07T18:13:00"/>
    <x v="1"/>
    <x v="0"/>
    <x v="8"/>
    <n v="1"/>
    <m/>
    <n v="141.1"/>
    <n v="24.900000000000002"/>
  </r>
  <r>
    <s v="SBG - Desktop"/>
    <x v="1"/>
    <s v="Task"/>
    <s v="DESK-7032"/>
    <s v="Terms and Conditions missing from AR cart page"/>
    <s v="Task"/>
    <x v="0"/>
    <d v="2015-05-13T12:51:00"/>
    <x v="1"/>
    <x v="0"/>
    <x v="1"/>
    <n v="1"/>
    <m/>
    <n v="141.1"/>
    <n v="24.900000000000002"/>
  </r>
  <r>
    <s v="SBG - Desktop"/>
    <x v="1"/>
    <s v="Task"/>
    <s v="DESK-7072"/>
    <s v="Test new SSLs file on US website"/>
    <s v="Task"/>
    <x v="0"/>
    <d v="2015-05-12T17:46:00"/>
    <x v="1"/>
    <x v="0"/>
    <x v="1"/>
    <n v="1"/>
    <m/>
    <n v="141.1"/>
    <n v="24.900000000000002"/>
  </r>
  <r>
    <s v="SBG - Desktop"/>
    <x v="2"/>
    <s v="Task"/>
    <s v="DESK-7173"/>
    <s v="Contact lens RX process question"/>
    <s v="Task"/>
    <x v="0"/>
    <d v="2015-04-02T18:30:00"/>
    <x v="0"/>
    <x v="0"/>
    <x v="4"/>
    <n v="2.5"/>
    <m/>
    <n v="83"/>
    <n v="83"/>
  </r>
  <r>
    <s v="SBG - Desktop"/>
    <x v="3"/>
    <s v="Task"/>
    <s v="DESK-7239"/>
    <s v="try on css issue"/>
    <s v="Task"/>
    <x v="0"/>
    <d v="2015-04-13T17:13:00"/>
    <x v="0"/>
    <x v="0"/>
    <x v="3"/>
    <n v="0.5"/>
    <m/>
    <n v="83"/>
    <n v="83"/>
  </r>
  <r>
    <s v="SBG - Desktop"/>
    <x v="1"/>
    <s v="Task"/>
    <s v="DESK-7239"/>
    <s v="try on css issue"/>
    <s v="Task"/>
    <x v="0"/>
    <d v="2015-04-13T17:15:00"/>
    <x v="0"/>
    <x v="0"/>
    <x v="8"/>
    <n v="1"/>
    <m/>
    <n v="141.1"/>
    <n v="24.900000000000002"/>
  </r>
  <r>
    <s v="SBG - Desktop"/>
    <x v="1"/>
    <s v="New Feature"/>
    <s v="DESK-7584"/>
    <s v="Add Baidu Analytics for www.smartbuyglasses.cn"/>
    <s v="New Feature"/>
    <x v="0"/>
    <d v="2015-04-02T17:47:00"/>
    <x v="0"/>
    <x v="0"/>
    <x v="8"/>
    <n v="1"/>
    <m/>
    <n v="141.1"/>
    <n v="24.900000000000002"/>
  </r>
  <r>
    <s v="SBG - Desktop"/>
    <x v="1"/>
    <s v="New Feature"/>
    <s v="DESK-7584"/>
    <s v="Add Baidu Analytics for www.smartbuyglasses.cn"/>
    <s v="New Feature"/>
    <x v="0"/>
    <d v="2015-04-03T11:36:00"/>
    <x v="0"/>
    <x v="0"/>
    <x v="8"/>
    <n v="1"/>
    <m/>
    <n v="141.1"/>
    <n v="24.900000000000002"/>
  </r>
  <r>
    <s v="SBG - Desktop"/>
    <x v="1"/>
    <s v="Task"/>
    <s v="DESK-7605"/>
    <s v="New Tags Needed for SEO in Chinese"/>
    <s v="Task"/>
    <x v="0"/>
    <d v="2015-04-07T12:58:00"/>
    <x v="0"/>
    <x v="0"/>
    <x v="8"/>
    <n v="1"/>
    <m/>
    <n v="141.1"/>
    <n v="24.900000000000002"/>
  </r>
  <r>
    <s v="SBG - Desktop"/>
    <x v="1"/>
    <s v="Task"/>
    <s v="DESK-7605"/>
    <s v="New Tags Needed for SEO in Chinese"/>
    <s v="Task"/>
    <x v="0"/>
    <d v="2015-04-10T15:57:00"/>
    <x v="0"/>
    <x v="0"/>
    <x v="8"/>
    <n v="2"/>
    <m/>
    <n v="141.1"/>
    <n v="24.900000000000002"/>
  </r>
  <r>
    <s v="SBG - Desktop"/>
    <x v="2"/>
    <s v="Improvement"/>
    <s v="DESK-7865"/>
    <s v="YJ Management Work log ticket-New Feature"/>
    <s v="Improvement"/>
    <x v="0"/>
    <d v="2015-04-25T17:17:00"/>
    <x v="0"/>
    <x v="0"/>
    <x v="14"/>
    <n v="136"/>
    <m/>
    <n v="141.1"/>
    <n v="24.900000000000002"/>
  </r>
  <r>
    <s v="SBG - Desktop"/>
    <x v="2"/>
    <s v="Improvement"/>
    <s v="DESK-7865"/>
    <s v="YJ Management Work log ticket-New Feature"/>
    <s v="Improvement"/>
    <x v="0"/>
    <d v="2015-05-25T17:17:00"/>
    <x v="1"/>
    <x v="0"/>
    <x v="14"/>
    <n v="136"/>
    <m/>
    <n v="141.1"/>
    <n v="24.900000000000002"/>
  </r>
  <r>
    <s v="SBG - Desktop"/>
    <x v="2"/>
    <s v="Bug"/>
    <s v="DESK-7866"/>
    <s v="YJ Management Work log ticket-maintainance"/>
    <s v="Bug"/>
    <x v="1"/>
    <d v="2015-04-25T17:17:00"/>
    <x v="0"/>
    <x v="0"/>
    <x v="14"/>
    <n v="24"/>
    <m/>
    <n v="141.1"/>
    <n v="24.900000000000002"/>
  </r>
  <r>
    <s v="SBG - Desktop"/>
    <x v="2"/>
    <s v="Bug"/>
    <s v="DESK-7866"/>
    <s v="YJ Management Work log ticket-maintainance"/>
    <s v="Bug"/>
    <x v="1"/>
    <d v="2015-04-25T17:20:00"/>
    <x v="0"/>
    <x v="0"/>
    <x v="14"/>
    <n v="24"/>
    <m/>
    <n v="141.1"/>
    <n v="24.900000000000002"/>
  </r>
  <r>
    <s v="SBG - Desktop"/>
    <x v="2"/>
    <s v="Bug"/>
    <s v="DESK-7866"/>
    <s v="YJ Management Work log ticket-maintainance"/>
    <s v="Bug"/>
    <x v="1"/>
    <d v="2015-05-25T17:21:00"/>
    <x v="1"/>
    <x v="0"/>
    <x v="14"/>
    <n v="24"/>
    <m/>
    <n v="141.1"/>
    <n v="24.900000000000002"/>
  </r>
  <r>
    <s v="Database Support"/>
    <x v="3"/>
    <s v="Task"/>
    <s v="DS-2386"/>
    <s v="Phase 174 Test"/>
    <s v="Task"/>
    <x v="0"/>
    <d v="2015-04-07T10:38:00"/>
    <x v="0"/>
    <x v="0"/>
    <x v="3"/>
    <n v="1.5"/>
    <m/>
    <n v="83"/>
    <n v="83"/>
  </r>
  <r>
    <s v="Database Support"/>
    <x v="3"/>
    <s v="Task"/>
    <s v="DS-2437"/>
    <s v="Phase 175 Test"/>
    <s v="Task"/>
    <x v="0"/>
    <d v="2015-04-14T09:47:00"/>
    <x v="0"/>
    <x v="0"/>
    <x v="3"/>
    <n v="0.5"/>
    <m/>
    <n v="83"/>
    <n v="83"/>
  </r>
  <r>
    <s v="Database Support"/>
    <x v="3"/>
    <s v="Task"/>
    <s v="DS-2469"/>
    <s v="Phase 178 Test"/>
    <s v="Task"/>
    <x v="0"/>
    <d v="2015-05-04T12:10:00"/>
    <x v="1"/>
    <x v="0"/>
    <x v="3"/>
    <n v="1"/>
    <m/>
    <n v="83"/>
    <n v="83"/>
  </r>
  <r>
    <s v="Database Support"/>
    <x v="3"/>
    <s v="Task"/>
    <s v="DS-2536"/>
    <s v="Remove Cutler and Gross"/>
    <s v="Task"/>
    <x v="0"/>
    <d v="2015-05-15T09:53:00"/>
    <x v="1"/>
    <x v="0"/>
    <x v="15"/>
    <n v="0.5"/>
    <m/>
    <n v="83"/>
    <n v="83"/>
  </r>
  <r>
    <m/>
    <x v="3"/>
    <m/>
    <m/>
    <m/>
    <m/>
    <x v="1"/>
    <m/>
    <x v="4"/>
    <x v="0"/>
    <x v="15"/>
    <n v="0"/>
    <m/>
    <n v="79"/>
    <n v="79"/>
  </r>
  <r>
    <m/>
    <x v="3"/>
    <m/>
    <m/>
    <m/>
    <m/>
    <x v="0"/>
    <m/>
    <x v="4"/>
    <x v="0"/>
    <x v="15"/>
    <n v="0"/>
    <m/>
    <n v="79"/>
    <n v="79"/>
  </r>
  <r>
    <s v="Database Support"/>
    <x v="3"/>
    <s v="Task"/>
    <s v="DS-2537"/>
    <s v="Add Picture name"/>
    <s v="Task"/>
    <x v="0"/>
    <d v="2015-05-15T09:49:00"/>
    <x v="1"/>
    <x v="0"/>
    <x v="15"/>
    <n v="0.5"/>
    <m/>
    <n v="83"/>
    <n v="83"/>
  </r>
  <r>
    <s v="Database Support"/>
    <x v="3"/>
    <s v="Task"/>
    <s v="DS-2547"/>
    <s v="Info Update"/>
    <s v="Task"/>
    <x v="0"/>
    <d v="2015-05-19T11:49:00"/>
    <x v="1"/>
    <x v="0"/>
    <x v="15"/>
    <n v="2"/>
    <m/>
    <n v="83"/>
    <n v="83"/>
  </r>
  <r>
    <s v="Database Support"/>
    <x v="3"/>
    <s v="Task"/>
    <s v="DS-2547"/>
    <s v="Info Update"/>
    <s v="Task"/>
    <x v="0"/>
    <d v="2015-05-19T11:50:00"/>
    <x v="1"/>
    <x v="0"/>
    <x v="15"/>
    <n v="2"/>
    <m/>
    <n v="83"/>
    <n v="83"/>
  </r>
  <r>
    <s v="Database Support"/>
    <x v="3"/>
    <s v="Task"/>
    <s v="DS-2550"/>
    <s v="Ted Baker"/>
    <s v="Task"/>
    <x v="0"/>
    <d v="2015-05-19T17:54:00"/>
    <x v="1"/>
    <x v="0"/>
    <x v="15"/>
    <n v="1"/>
    <m/>
    <n v="83"/>
    <n v="83"/>
  </r>
  <r>
    <s v="Database Support"/>
    <x v="3"/>
    <s v="Task"/>
    <s v="DS-2553"/>
    <s v="Image Flag"/>
    <s v="Task"/>
    <x v="0"/>
    <d v="2015-05-21T14:40:00"/>
    <x v="1"/>
    <x v="0"/>
    <x v="15"/>
    <n v="0.5"/>
    <m/>
    <n v="83"/>
    <n v="83"/>
  </r>
  <r>
    <s v="Database Support"/>
    <x v="3"/>
    <s v="Task"/>
    <s v="DS-2555"/>
    <s v="Dis"/>
    <s v="Task"/>
    <x v="0"/>
    <d v="2015-05-21T12:49:00"/>
    <x v="1"/>
    <x v="0"/>
    <x v="15"/>
    <n v="0.33300000000000002"/>
    <m/>
    <n v="83"/>
    <n v="83"/>
  </r>
  <r>
    <s v="Database Support"/>
    <x v="3"/>
    <s v="Task"/>
    <s v="DS-2556"/>
    <s v="Contact Lens UPC"/>
    <s v="Task"/>
    <x v="0"/>
    <d v="2015-05-22T11:27:00"/>
    <x v="1"/>
    <x v="0"/>
    <x v="15"/>
    <n v="2"/>
    <m/>
    <n v="83"/>
    <n v="83"/>
  </r>
  <r>
    <s v="Database Support"/>
    <x v="3"/>
    <s v="Bug"/>
    <s v="DS-2557"/>
    <s v="Spektre New Color Code"/>
    <s v="Bug"/>
    <x v="1"/>
    <d v="2015-05-22T11:28:00"/>
    <x v="1"/>
    <x v="0"/>
    <x v="15"/>
    <n v="1"/>
    <m/>
    <n v="83"/>
    <n v="83"/>
  </r>
  <r>
    <s v="Database Support"/>
    <x v="3"/>
    <s v="Task"/>
    <s v="DS-2561"/>
    <s v="Item details of the given cart IDs"/>
    <s v="Task"/>
    <x v="0"/>
    <d v="2015-05-26T11:53:00"/>
    <x v="1"/>
    <x v="0"/>
    <x v="15"/>
    <n v="1"/>
    <m/>
    <n v="83"/>
    <n v="83"/>
  </r>
  <r>
    <s v="Database Support"/>
    <x v="3"/>
    <s v="Task"/>
    <s v="DS-2564"/>
    <s v="Dis"/>
    <s v="Task"/>
    <x v="0"/>
    <d v="2015-05-25T15:26:00"/>
    <x v="1"/>
    <x v="0"/>
    <x v="15"/>
    <n v="1"/>
    <m/>
    <n v="83"/>
    <n v="83"/>
  </r>
  <r>
    <s v="Database Support"/>
    <x v="3"/>
    <s v="Task"/>
    <s v="DS-2567"/>
    <s v="Dis and Ava"/>
    <s v="Task"/>
    <x v="0"/>
    <d v="2015-05-26T15:46:00"/>
    <x v="1"/>
    <x v="0"/>
    <x v="15"/>
    <n v="1"/>
    <m/>
    <n v="83"/>
    <n v="83"/>
  </r>
  <r>
    <s v="IT Support"/>
    <x v="3"/>
    <s v="Bug"/>
    <s v="IS-4905"/>
    <s v="helpdesk for csr"/>
    <s v="Bug"/>
    <x v="1"/>
    <d v="2015-05-04T12:12:00"/>
    <x v="1"/>
    <x v="0"/>
    <x v="3"/>
    <n v="0.5"/>
    <m/>
    <n v="83"/>
    <n v="83"/>
  </r>
  <r>
    <s v="IT Support"/>
    <x v="3"/>
    <s v="Bug"/>
    <s v="IS-4906"/>
    <s v="helpdesk for HR"/>
    <s v="Bug"/>
    <x v="1"/>
    <d v="2015-05-04T12:13:00"/>
    <x v="1"/>
    <x v="0"/>
    <x v="3"/>
    <n v="0.5"/>
    <m/>
    <n v="83"/>
    <n v="83"/>
  </r>
  <r>
    <s v="IT Support"/>
    <x v="3"/>
    <s v="Task"/>
    <s v="IS-4934"/>
    <s v="help desk"/>
    <s v="Task"/>
    <x v="0"/>
    <d v="2015-05-06T16:50:00"/>
    <x v="1"/>
    <x v="0"/>
    <x v="3"/>
    <n v="6"/>
    <m/>
    <n v="83"/>
    <n v="83"/>
  </r>
  <r>
    <s v="SBG - Mobile"/>
    <x v="2"/>
    <s v="New Feature"/>
    <s v="MOBL-179"/>
    <s v="3D secure removal for mobile"/>
    <s v="New Feature"/>
    <x v="0"/>
    <d v="2015-05-05T12:05:00"/>
    <x v="1"/>
    <x v="0"/>
    <x v="11"/>
    <n v="3"/>
    <s v="Removed secure for the same countries as at desktop and added to this list countries: Canada, China, Singapore, South Africa"/>
    <n v="141.1"/>
    <n v="24.900000000000002"/>
  </r>
  <r>
    <s v="SBG - Mobile"/>
    <x v="2"/>
    <s v="New Feature"/>
    <s v="MOBL-179"/>
    <s v="3D secure removal for mobile"/>
    <s v="New Feature"/>
    <x v="0"/>
    <d v="2015-05-06T13:33:00"/>
    <x v="1"/>
    <x v="0"/>
    <x v="2"/>
    <n v="1"/>
    <s v="Checking payment log"/>
    <n v="141.1"/>
    <n v="24.900000000000002"/>
  </r>
  <r>
    <s v="SBG - Mobile"/>
    <x v="2"/>
    <s v="New Feature"/>
    <s v="MOBL-179"/>
    <s v="3D secure removal for mobile"/>
    <s v="New Feature"/>
    <x v="0"/>
    <d v="2015-05-06T16:22:00"/>
    <x v="1"/>
    <x v="0"/>
    <x v="2"/>
    <n v="3"/>
    <s v="we don't have enough card to test"/>
    <n v="141.1"/>
    <n v="24.900000000000002"/>
  </r>
  <r>
    <s v="SBG - Mobile"/>
    <x v="2"/>
    <s v="New Feature"/>
    <s v="MOBL-179"/>
    <s v="3D secure removal for mobile"/>
    <s v="New Feature"/>
    <x v="0"/>
    <d v="2015-05-11T17:41:00"/>
    <x v="1"/>
    <x v="0"/>
    <x v="2"/>
    <n v="8"/>
    <m/>
    <n v="141.1"/>
    <n v="24.900000000000002"/>
  </r>
  <r>
    <s v="SBG - Mobile"/>
    <x v="2"/>
    <s v="New Feature"/>
    <s v="MOBL-179"/>
    <s v="3D secure removal for mobile"/>
    <s v="New Feature"/>
    <x v="0"/>
    <d v="2015-05-15T18:39:00"/>
    <x v="1"/>
    <x v="0"/>
    <x v="2"/>
    <n v="5"/>
    <m/>
    <n v="141.1"/>
    <n v="24.900000000000002"/>
  </r>
  <r>
    <s v="SBG - Mobile"/>
    <x v="2"/>
    <s v="New Feature"/>
    <s v="MOBL-179"/>
    <s v="3D secure removal for mobile"/>
    <s v="New Feature"/>
    <x v="0"/>
    <d v="2015-05-18T18:37:00"/>
    <x v="1"/>
    <x v="0"/>
    <x v="2"/>
    <n v="4"/>
    <m/>
    <n v="141.1"/>
    <n v="24.900000000000002"/>
  </r>
  <r>
    <s v="SBG - Mobile"/>
    <x v="2"/>
    <s v="New Feature"/>
    <s v="MOBL-179"/>
    <s v="3D secure removal for mobile"/>
    <s v="New Feature"/>
    <x v="0"/>
    <d v="2015-05-20T18:40:00"/>
    <x v="1"/>
    <x v="0"/>
    <x v="2"/>
    <n v="8"/>
    <m/>
    <n v="141.1"/>
    <n v="24.900000000000002"/>
  </r>
  <r>
    <s v="SBG - Mobile"/>
    <x v="2"/>
    <s v="New Feature"/>
    <s v="MOBL-179"/>
    <s v="3D secure removal for mobile"/>
    <s v="New Feature"/>
    <x v="0"/>
    <d v="2015-05-26T18:41:00"/>
    <x v="1"/>
    <x v="0"/>
    <x v="2"/>
    <n v="8"/>
    <m/>
    <n v="141.1"/>
    <n v="24.900000000000002"/>
  </r>
  <r>
    <s v="SBG - Mobile"/>
    <x v="0"/>
    <s v="New Feature"/>
    <s v="MOBL-181"/>
    <s v="Mobile 5.0 Layout"/>
    <s v="New Feature"/>
    <x v="0"/>
    <d v="2015-05-01T17:12:00"/>
    <x v="1"/>
    <x v="0"/>
    <x v="0"/>
    <n v="116"/>
    <m/>
    <n v="83"/>
    <n v="83"/>
  </r>
  <r>
    <s v="SBG - Mobile"/>
    <x v="2"/>
    <s v="New Feature"/>
    <s v="MOBL-181"/>
    <s v="Mobile 5.0 Layout"/>
    <s v="New Feature"/>
    <x v="0"/>
    <d v="2015-05-21T18:56:00"/>
    <x v="1"/>
    <x v="0"/>
    <x v="6"/>
    <n v="8"/>
    <m/>
    <n v="141.1"/>
    <n v="24.900000000000002"/>
  </r>
  <r>
    <s v="SBG - Mobile"/>
    <x v="2"/>
    <s v="New Feature"/>
    <s v="MOBL-181"/>
    <s v="Mobile 5.0 Layout"/>
    <s v="New Feature"/>
    <x v="0"/>
    <d v="2015-05-22T18:31:00"/>
    <x v="1"/>
    <x v="0"/>
    <x v="6"/>
    <n v="8"/>
    <s v="Update layouts."/>
    <n v="141.1"/>
    <n v="24.900000000000002"/>
  </r>
  <r>
    <s v="SBG - Mobile"/>
    <x v="2"/>
    <s v="New Feature"/>
    <s v="MOBL-181"/>
    <s v="Mobile 5.0 Layout"/>
    <s v="New Feature"/>
    <x v="0"/>
    <d v="2015-05-26T18:39:00"/>
    <x v="1"/>
    <x v="0"/>
    <x v="6"/>
    <n v="6"/>
    <m/>
    <n v="141.1"/>
    <n v="24.900000000000002"/>
  </r>
  <r>
    <s v="SBG - Mobile"/>
    <x v="2"/>
    <s v="New Feature"/>
    <s v="MOBL-185"/>
    <s v="Sitemaps update - Mobile implementation"/>
    <s v="New Feature"/>
    <x v="0"/>
    <d v="2015-05-19T12:25:00"/>
    <x v="1"/>
    <x v="0"/>
    <x v="11"/>
    <n v="16"/>
    <s v="Done for Products, General and Brands. For Brands also made checking for &quot;nosale&quot;. Tests needed."/>
    <n v="141.1"/>
    <n v="24.900000000000002"/>
  </r>
  <r>
    <s v="SBG - Mobile"/>
    <x v="2"/>
    <s v="New Feature"/>
    <s v="MOBL-185"/>
    <s v="Sitemaps update - Mobile implementation"/>
    <s v="New Feature"/>
    <x v="0"/>
    <d v="2015-05-19T16:43:00"/>
    <x v="1"/>
    <x v="0"/>
    <x v="11"/>
    <n v="1"/>
    <s v="it's done for Sports"/>
    <n v="141.1"/>
    <n v="24.900000000000002"/>
  </r>
  <r>
    <s v="SBG - Mobile"/>
    <x v="2"/>
    <s v="New Feature"/>
    <s v="MOBL-185"/>
    <s v="Sitemaps update - Mobile implementation"/>
    <s v="New Feature"/>
    <x v="0"/>
    <d v="2015-05-19T17:15:00"/>
    <x v="1"/>
    <x v="0"/>
    <x v="11"/>
    <n v="1"/>
    <s v="Content done"/>
    <n v="141.1"/>
    <n v="24.900000000000002"/>
  </r>
  <r>
    <s v="SBG - Mobile"/>
    <x v="2"/>
    <s v="New Feature"/>
    <s v="MOBL-185"/>
    <s v="Sitemaps update - Mobile implementation"/>
    <s v="New Feature"/>
    <x v="0"/>
    <d v="2015-05-19T18:04:00"/>
    <x v="1"/>
    <x v="0"/>
    <x v="11"/>
    <n v="1"/>
    <s v="Contact Lenses landing done"/>
    <n v="141.1"/>
    <n v="24.900000000000002"/>
  </r>
  <r>
    <s v="SBG - Mobile"/>
    <x v="2"/>
    <s v="New Feature"/>
    <s v="MOBL-185"/>
    <s v="Sitemaps update - Mobile implementation"/>
    <s v="New Feature"/>
    <x v="0"/>
    <d v="2015-05-19T18:26:00"/>
    <x v="1"/>
    <x v="0"/>
    <x v="11"/>
    <n v="1"/>
    <s v="Contact Lenses products done"/>
    <n v="141.1"/>
    <n v="24.900000000000002"/>
  </r>
  <r>
    <s v="SBG - Mobile"/>
    <x v="2"/>
    <s v="New Feature"/>
    <s v="MOBL-185"/>
    <s v="Sitemaps update - Mobile implementation"/>
    <s v="New Feature"/>
    <x v="0"/>
    <d v="2015-05-19T18:53:00"/>
    <x v="1"/>
    <x v="0"/>
    <x v="11"/>
    <n v="0.33300000000000002"/>
    <s v="xmlns:mobile=&quot;http://www.google.com/schemas/sitemap-mobile/1.0&quot; added"/>
    <n v="141.1"/>
    <n v="24.900000000000002"/>
  </r>
  <r>
    <s v="SBG - Mobile"/>
    <x v="2"/>
    <s v="New Feature"/>
    <s v="MOBL-185"/>
    <s v="Sitemaps update - Mobile implementation"/>
    <s v="New Feature"/>
    <x v="0"/>
    <d v="2015-05-29T12:55:00"/>
    <x v="1"/>
    <x v="0"/>
    <x v="11"/>
    <n v="4"/>
    <s v="done https://motionglobal.atlassian.net/browse/SBG-2233 https://motionglobal.atlassian.net/browse/SBG-2234 https://motionglobal.atlassian.net/browse/SBG-2236 https://motionglobal.atlassian.net/browse/SBG-2232 https://motionglobal.atlassian.net/browse/SBG-2237 for mobile version"/>
    <n v="141.1"/>
    <n v="24.900000000000002"/>
  </r>
  <r>
    <s v="SBG - Mobile"/>
    <x v="1"/>
    <s v="New Feature"/>
    <s v="MOBL-233"/>
    <s v="Mobile - Add new meta pages in OM + import"/>
    <s v="New Feature"/>
    <x v="0"/>
    <d v="2015-04-24T18:58:00"/>
    <x v="0"/>
    <x v="0"/>
    <x v="8"/>
    <n v="4"/>
    <m/>
    <n v="141.1"/>
    <n v="24.900000000000002"/>
  </r>
  <r>
    <s v="SBG - Mobile"/>
    <x v="1"/>
    <s v="New Feature"/>
    <s v="MOBL-233"/>
    <s v="Mobile - Add new meta pages in OM + import"/>
    <s v="New Feature"/>
    <x v="0"/>
    <d v="2015-04-27T16:10:00"/>
    <x v="0"/>
    <x v="0"/>
    <x v="5"/>
    <n v="1"/>
    <m/>
    <n v="141.1"/>
    <n v="24.900000000000002"/>
  </r>
  <r>
    <s v="SBG - Mobile"/>
    <x v="3"/>
    <s v="New Feature"/>
    <s v="MOBL-233"/>
    <s v="Mobile - Add new meta pages in OM + import"/>
    <s v="New Feature"/>
    <x v="0"/>
    <d v="2015-04-27T16:48:00"/>
    <x v="0"/>
    <x v="0"/>
    <x v="3"/>
    <n v="0.5"/>
    <m/>
    <n v="83"/>
    <n v="83"/>
  </r>
  <r>
    <s v="SBG - Mobile"/>
    <x v="1"/>
    <s v="New Feature"/>
    <s v="MOBL-233"/>
    <s v="Mobile - Add new meta pages in OM + import"/>
    <s v="New Feature"/>
    <x v="0"/>
    <d v="2015-04-28T11:25:00"/>
    <x v="0"/>
    <x v="0"/>
    <x v="8"/>
    <n v="0.5"/>
    <m/>
    <n v="141.1"/>
    <n v="24.900000000000002"/>
  </r>
  <r>
    <s v="SBG - Mobile"/>
    <x v="2"/>
    <s v="Sub-task"/>
    <s v="MOBL-301"/>
    <s v="MOBL-204&gt; no tip display when user fills in unmatchable email address and password on /order page"/>
    <s v="Sub-task"/>
    <x v="0"/>
    <d v="2015-05-19T06:52:00"/>
    <x v="1"/>
    <x v="0"/>
    <x v="10"/>
    <n v="8"/>
    <m/>
    <n v="141.1"/>
    <n v="24.900000000000002"/>
  </r>
  <r>
    <s v="SBG - Mobile"/>
    <x v="2"/>
    <s v="Sub-task"/>
    <s v="MOBL-302"/>
    <s v="MOBL-204&gt; the redirection link is incorrect when user logins on /order page successfully"/>
    <s v="Sub-task"/>
    <x v="0"/>
    <d v="2015-05-18T06:52:00"/>
    <x v="1"/>
    <x v="0"/>
    <x v="10"/>
    <n v="8"/>
    <m/>
    <n v="141.1"/>
    <n v="24.900000000000002"/>
  </r>
  <r>
    <s v="SBG - Mobile"/>
    <x v="2"/>
    <s v="Sub-task"/>
    <s v="MOBL-304"/>
    <s v="MOBL-204&gt; currency symbol on order tracking detail page is incorrect"/>
    <s v="Sub-task"/>
    <x v="0"/>
    <d v="2015-05-15T06:52:00"/>
    <x v="1"/>
    <x v="0"/>
    <x v="10"/>
    <n v="8"/>
    <m/>
    <n v="141.1"/>
    <n v="24.900000000000002"/>
  </r>
  <r>
    <s v="SBG - Mobile"/>
    <x v="2"/>
    <s v="Sub-task"/>
    <s v="MOBL-306"/>
    <s v="MOBL-204&gt; no tip displays when the order contains more than 1 product on order tracking detail page"/>
    <s v="Sub-task"/>
    <x v="0"/>
    <d v="2015-05-14T06:51:00"/>
    <x v="1"/>
    <x v="0"/>
    <x v="10"/>
    <n v="8"/>
    <m/>
    <n v="141.1"/>
    <n v="24.900000000000002"/>
  </r>
  <r>
    <s v="SBG - Mobile"/>
    <x v="2"/>
    <s v="Sub-task"/>
    <s v="MOBL-307"/>
    <s v="MOBL-204&gt; billing address 2,shipping address2,billing post code,shipping post code cannot display on order tracking detail page"/>
    <s v="Sub-task"/>
    <x v="0"/>
    <d v="2015-05-13T06:51:00"/>
    <x v="1"/>
    <x v="0"/>
    <x v="10"/>
    <n v="8"/>
    <m/>
    <n v="141.1"/>
    <n v="24.900000000000002"/>
  </r>
  <r>
    <s v="SBG - Mobile"/>
    <x v="2"/>
    <s v="Sub-task"/>
    <s v="MOBL-309"/>
    <s v="MOBL-204&gt; no eyewear prescription PD data on order tracking detail page"/>
    <s v="Sub-task"/>
    <x v="0"/>
    <d v="2015-05-12T06:51:00"/>
    <x v="1"/>
    <x v="0"/>
    <x v="10"/>
    <n v="8"/>
    <m/>
    <n v="141.1"/>
    <n v="24.900000000000002"/>
  </r>
  <r>
    <s v="SBG - Mobile"/>
    <x v="2"/>
    <s v="Sub-task"/>
    <s v="MOBL-310"/>
    <s v="MOBL-204&gt; eyeglasses LENS COLOR secion displays incorrectly on order tracking detail page"/>
    <s v="Sub-task"/>
    <x v="0"/>
    <d v="2015-05-11T06:51:00"/>
    <x v="1"/>
    <x v="0"/>
    <x v="10"/>
    <n v="8"/>
    <m/>
    <n v="141.1"/>
    <n v="24.900000000000002"/>
  </r>
  <r>
    <s v="SBG - Mobile"/>
    <x v="2"/>
    <s v="Sub-task"/>
    <s v="MOBL-334"/>
    <s v="MOBL-204&gt; progress bar still displays on thank you page"/>
    <s v="Sub-task"/>
    <x v="0"/>
    <d v="2015-05-08T06:51:00"/>
    <x v="1"/>
    <x v="0"/>
    <x v="10"/>
    <n v="8"/>
    <m/>
    <n v="141.1"/>
    <n v="24.900000000000002"/>
  </r>
  <r>
    <s v="SBG - Mobile"/>
    <x v="2"/>
    <s v="Sub-task"/>
    <s v="MOBL-365"/>
    <s v="MOBL-308&gt; Search--search result page css issue"/>
    <s v="Sub-task"/>
    <x v="0"/>
    <d v="2015-05-07T06:51:00"/>
    <x v="1"/>
    <x v="0"/>
    <x v="10"/>
    <n v="8"/>
    <m/>
    <n v="141.1"/>
    <n v="24.900000000000002"/>
  </r>
  <r>
    <s v="SBG - Mobile"/>
    <x v="2"/>
    <s v="Sub-task"/>
    <s v="MOBL-376"/>
    <s v="MOBL-308&gt; CART PAGE-missing shipping insurance function"/>
    <s v="Sub-task"/>
    <x v="0"/>
    <d v="2015-05-06T06:51:00"/>
    <x v="1"/>
    <x v="0"/>
    <x v="10"/>
    <n v="8"/>
    <m/>
    <n v="141.1"/>
    <n v="24.900000000000002"/>
  </r>
  <r>
    <s v="SBG - Mobile"/>
    <x v="2"/>
    <s v="Sub-task"/>
    <s v="MOBL-389"/>
    <s v="MOBL-308&gt; CHECKOUT PAGE-order details missing edit button"/>
    <s v="Sub-task"/>
    <x v="0"/>
    <d v="2015-05-05T06:51:00"/>
    <x v="1"/>
    <x v="0"/>
    <x v="10"/>
    <n v="8"/>
    <m/>
    <n v="141.1"/>
    <n v="24.900000000000002"/>
  </r>
  <r>
    <s v="SBG - Mobile"/>
    <x v="2"/>
    <s v="Sub-task"/>
    <s v="MOBL-410"/>
    <s v="MOBL-308&gt; Cart page--Need to show the insurance fee for customer"/>
    <s v="Sub-task"/>
    <x v="0"/>
    <d v="2015-05-04T06:50:00"/>
    <x v="1"/>
    <x v="0"/>
    <x v="10"/>
    <n v="8"/>
    <m/>
    <n v="141.1"/>
    <n v="24.900000000000002"/>
  </r>
  <r>
    <s v="SBG - Mobile"/>
    <x v="2"/>
    <s v="Sub-task"/>
    <s v="MOBL-422"/>
    <s v="MOBL-308&gt; Checkout page--Do no show saved card."/>
    <s v="Sub-task"/>
    <x v="0"/>
    <d v="2015-05-01T06:50:00"/>
    <x v="1"/>
    <x v="0"/>
    <x v="10"/>
    <n v="8"/>
    <m/>
    <n v="141.1"/>
    <n v="24.900000000000002"/>
  </r>
  <r>
    <s v="SBG - Mobile"/>
    <x v="2"/>
    <s v="Sub-task"/>
    <s v="MOBL-446"/>
    <s v="MOBL-308&gt; font different (/help)"/>
    <s v="Sub-task"/>
    <x v="0"/>
    <d v="2015-05-20T08:50:00"/>
    <x v="1"/>
    <x v="0"/>
    <x v="10"/>
    <n v="6"/>
    <m/>
    <n v="141.1"/>
    <n v="24.900000000000002"/>
  </r>
  <r>
    <s v="SBG - Mobile"/>
    <x v="2"/>
    <s v="Task"/>
    <s v="MOBL-505"/>
    <s v="MG - Mobile Reskin 5.0 meetings and specs"/>
    <s v="Task"/>
    <x v="0"/>
    <d v="2015-05-28T15:50:00"/>
    <x v="1"/>
    <x v="0"/>
    <x v="12"/>
    <n v="6"/>
    <m/>
    <n v="141.1"/>
    <n v="24.900000000000002"/>
  </r>
  <r>
    <s v="Backend - OM"/>
    <x v="2"/>
    <s v="New Feature"/>
    <s v="OM-136"/>
    <s v="Shipping Rules in OM"/>
    <s v="New Feature"/>
    <x v="0"/>
    <d v="2015-05-04T12:48:00"/>
    <x v="1"/>
    <x v="0"/>
    <x v="12"/>
    <n v="1"/>
    <m/>
    <n v="141.1"/>
    <n v="24.900000000000002"/>
  </r>
  <r>
    <s v="Backend - OM"/>
    <x v="2"/>
    <s v="New Feature"/>
    <s v="OM-136"/>
    <s v="Shipping Rules in OM"/>
    <s v="New Feature"/>
    <x v="0"/>
    <d v="2015-05-05T12:48:00"/>
    <x v="1"/>
    <x v="0"/>
    <x v="9"/>
    <n v="4"/>
    <s v="update and test!"/>
    <n v="141.1"/>
    <n v="24.900000000000002"/>
  </r>
  <r>
    <s v="Backend - OM"/>
    <x v="1"/>
    <s v="New Feature"/>
    <s v="OM-136"/>
    <s v="Shipping Rules in OM"/>
    <s v="New Feature"/>
    <x v="0"/>
    <d v="2015-05-06T11:26:00"/>
    <x v="1"/>
    <x v="0"/>
    <x v="8"/>
    <n v="0.5"/>
    <m/>
    <n v="141.1"/>
    <n v="24.900000000000002"/>
  </r>
  <r>
    <s v="Backend - OM"/>
    <x v="2"/>
    <s v="New Feature"/>
    <s v="OM-136"/>
    <s v="Shipping Rules in OM"/>
    <s v="New Feature"/>
    <x v="0"/>
    <d v="2015-05-06T11:28:00"/>
    <x v="1"/>
    <x v="0"/>
    <x v="9"/>
    <n v="3"/>
    <m/>
    <n v="141.1"/>
    <n v="24.900000000000002"/>
  </r>
  <r>
    <s v="Backend - OM"/>
    <x v="2"/>
    <s v="New Feature"/>
    <s v="OM-137"/>
    <s v="Transfer payment data from sbg to om"/>
    <s v="New Feature"/>
    <x v="0"/>
    <d v="2015-05-13T11:47:00"/>
    <x v="1"/>
    <x v="0"/>
    <x v="16"/>
    <n v="8"/>
    <s v="data from sbg to om"/>
    <n v="141.1"/>
    <n v="24.900000000000002"/>
  </r>
  <r>
    <s v="Backend - OM"/>
    <x v="2"/>
    <s v="New Feature"/>
    <s v="OM-137"/>
    <s v="Transfer payment data from sbg to om"/>
    <s v="New Feature"/>
    <x v="0"/>
    <d v="2015-05-14T11:51:00"/>
    <x v="1"/>
    <x v="0"/>
    <x v="16"/>
    <n v="8"/>
    <s v="data from sbg to om"/>
    <n v="141.1"/>
    <n v="24.900000000000002"/>
  </r>
  <r>
    <s v="Backend - OM"/>
    <x v="2"/>
    <s v="New Feature"/>
    <s v="OM-137"/>
    <s v="Transfer payment data from sbg to om"/>
    <s v="New Feature"/>
    <x v="0"/>
    <d v="2015-05-15T11:55:00"/>
    <x v="1"/>
    <x v="0"/>
    <x v="16"/>
    <n v="8"/>
    <s v="data from sbg to om Testing."/>
    <n v="141.1"/>
    <n v="24.900000000000002"/>
  </r>
  <r>
    <s v="Backend - OM"/>
    <x v="2"/>
    <s v="New Feature"/>
    <s v="OM-138"/>
    <s v="Prescription process stage 2 - Backend"/>
    <s v="New Feature"/>
    <x v="0"/>
    <d v="2015-04-01T12:12:00"/>
    <x v="0"/>
    <x v="0"/>
    <x v="9"/>
    <n v="1"/>
    <s v="ready the request document."/>
    <n v="141.1"/>
    <n v="24.900000000000002"/>
  </r>
  <r>
    <s v="Backend - OM"/>
    <x v="2"/>
    <s v="New Feature"/>
    <s v="OM-138"/>
    <s v="Prescription process stage 2 - Backend"/>
    <s v="New Feature"/>
    <x v="0"/>
    <d v="2015-04-01T18:12:00"/>
    <x v="0"/>
    <x v="0"/>
    <x v="9"/>
    <n v="4"/>
    <m/>
    <n v="141.1"/>
    <n v="24.900000000000002"/>
  </r>
  <r>
    <s v="Backend - OM"/>
    <x v="2"/>
    <s v="New Feature"/>
    <s v="OM-138"/>
    <s v="Prescription process stage 2 - Backend"/>
    <s v="New Feature"/>
    <x v="0"/>
    <d v="2015-04-02T12:13:00"/>
    <x v="0"/>
    <x v="0"/>
    <x v="9"/>
    <n v="2"/>
    <s v="tidy the requirements."/>
    <n v="141.1"/>
    <n v="24.900000000000002"/>
  </r>
  <r>
    <s v="Backend - OM"/>
    <x v="2"/>
    <s v="New Feature"/>
    <s v="OM-138"/>
    <s v="Prescription process stage 2 - Backend"/>
    <s v="New Feature"/>
    <x v="0"/>
    <d v="2015-04-07T18:22:00"/>
    <x v="0"/>
    <x v="0"/>
    <x v="9"/>
    <n v="8"/>
    <m/>
    <n v="141.1"/>
    <n v="24.900000000000002"/>
  </r>
  <r>
    <s v="Backend - OM"/>
    <x v="2"/>
    <s v="New Feature"/>
    <s v="OM-138"/>
    <s v="Prescription process stage 2 - Backend"/>
    <s v="New Feature"/>
    <x v="0"/>
    <d v="2015-04-08T18:23:00"/>
    <x v="0"/>
    <x v="0"/>
    <x v="9"/>
    <n v="8"/>
    <m/>
    <n v="141.1"/>
    <n v="24.900000000000002"/>
  </r>
  <r>
    <s v="Backend - OM"/>
    <x v="2"/>
    <s v="New Feature"/>
    <s v="OM-138"/>
    <s v="Prescription process stage 2 - Backend"/>
    <s v="New Feature"/>
    <x v="0"/>
    <d v="2015-05-04T18:04:00"/>
    <x v="1"/>
    <x v="0"/>
    <x v="12"/>
    <n v="2"/>
    <m/>
    <n v="141.1"/>
    <n v="24.900000000000002"/>
  </r>
  <r>
    <s v="Backend - OM"/>
    <x v="2"/>
    <s v="New Feature"/>
    <s v="OM-138"/>
    <s v="Prescription process stage 2 - Backend"/>
    <s v="New Feature"/>
    <x v="0"/>
    <d v="2015-05-05T18:05:00"/>
    <x v="1"/>
    <x v="0"/>
    <x v="12"/>
    <n v="6"/>
    <m/>
    <n v="141.1"/>
    <n v="24.900000000000002"/>
  </r>
  <r>
    <s v="Backend - OM"/>
    <x v="2"/>
    <s v="New Feature"/>
    <s v="OM-138"/>
    <s v="Prescription process stage 2 - Backend"/>
    <s v="New Feature"/>
    <x v="0"/>
    <d v="2015-05-06T18:06:00"/>
    <x v="1"/>
    <x v="0"/>
    <x v="12"/>
    <n v="8"/>
    <m/>
    <n v="141.1"/>
    <n v="24.900000000000002"/>
  </r>
  <r>
    <s v="Backend - OM"/>
    <x v="1"/>
    <s v="New Feature"/>
    <s v="OM-138"/>
    <s v="Prescription process stage 2 - Backend"/>
    <s v="New Feature"/>
    <x v="0"/>
    <d v="2015-05-06T18:31:00"/>
    <x v="1"/>
    <x v="0"/>
    <x v="8"/>
    <n v="1"/>
    <m/>
    <n v="141.1"/>
    <n v="24.900000000000002"/>
  </r>
  <r>
    <s v="Backend - OM"/>
    <x v="2"/>
    <s v="New Feature"/>
    <s v="OM-138"/>
    <s v="Prescription process stage 2 - Backend"/>
    <s v="New Feature"/>
    <x v="0"/>
    <d v="2015-05-08T18:07:00"/>
    <x v="1"/>
    <x v="0"/>
    <x v="12"/>
    <n v="8"/>
    <m/>
    <n v="141.1"/>
    <n v="24.900000000000002"/>
  </r>
  <r>
    <s v="Backend - OM"/>
    <x v="1"/>
    <s v="New Feature"/>
    <s v="OM-138"/>
    <s v="Prescription process stage 2 - Backend"/>
    <s v="New Feature"/>
    <x v="0"/>
    <d v="2015-05-08T18:23:00"/>
    <x v="1"/>
    <x v="0"/>
    <x v="8"/>
    <n v="2"/>
    <m/>
    <n v="141.1"/>
    <n v="24.900000000000002"/>
  </r>
  <r>
    <s v="Backend - OM"/>
    <x v="2"/>
    <s v="New Feature"/>
    <s v="OM-138"/>
    <s v="Prescription process stage 2 - Backend"/>
    <s v="New Feature"/>
    <x v="0"/>
    <d v="2015-05-11T18:36:00"/>
    <x v="1"/>
    <x v="0"/>
    <x v="12"/>
    <n v="8"/>
    <m/>
    <n v="141.1"/>
    <n v="24.900000000000002"/>
  </r>
  <r>
    <s v="Backend - OM"/>
    <x v="1"/>
    <s v="New Feature"/>
    <s v="OM-138"/>
    <s v="Prescription process stage 2 - Backend"/>
    <s v="New Feature"/>
    <x v="0"/>
    <d v="2015-05-11T18:45:00"/>
    <x v="1"/>
    <x v="0"/>
    <x v="8"/>
    <n v="2"/>
    <m/>
    <n v="141.1"/>
    <n v="24.900000000000002"/>
  </r>
  <r>
    <s v="Backend - OM"/>
    <x v="2"/>
    <s v="New Feature"/>
    <s v="OM-138"/>
    <s v="Prescription process stage 2 - Backend"/>
    <s v="New Feature"/>
    <x v="0"/>
    <d v="2015-05-11T19:02:00"/>
    <x v="1"/>
    <x v="0"/>
    <x v="9"/>
    <n v="1"/>
    <m/>
    <n v="141.1"/>
    <n v="24.900000000000002"/>
  </r>
  <r>
    <s v="Backend - OM"/>
    <x v="2"/>
    <s v="New Feature"/>
    <s v="OM-138"/>
    <s v="Prescription process stage 2 - Backend"/>
    <s v="New Feature"/>
    <x v="0"/>
    <d v="2015-05-12T18:36:00"/>
    <x v="1"/>
    <x v="0"/>
    <x v="12"/>
    <n v="8"/>
    <m/>
    <n v="141.1"/>
    <n v="24.900000000000002"/>
  </r>
  <r>
    <s v="Backend - OM"/>
    <x v="1"/>
    <s v="New Feature"/>
    <s v="OM-138"/>
    <s v="Prescription process stage 2 - Backend"/>
    <s v="New Feature"/>
    <x v="0"/>
    <d v="2015-05-12T19:10:00"/>
    <x v="1"/>
    <x v="0"/>
    <x v="8"/>
    <n v="8.5"/>
    <s v="1. RX meeting 2. OM+SCAN test 3. test case writing"/>
    <n v="141.1"/>
    <n v="24.900000000000002"/>
  </r>
  <r>
    <s v="Backend - OM"/>
    <x v="2"/>
    <s v="New Feature"/>
    <s v="OM-138"/>
    <s v="Prescription process stage 2 - Backend"/>
    <s v="New Feature"/>
    <x v="0"/>
    <d v="2015-05-13T18:37:00"/>
    <x v="1"/>
    <x v="0"/>
    <x v="12"/>
    <n v="8"/>
    <m/>
    <n v="141.1"/>
    <n v="24.900000000000002"/>
  </r>
  <r>
    <s v="Backend - OM"/>
    <x v="2"/>
    <s v="New Feature"/>
    <s v="OM-138"/>
    <s v="Prescription process stage 2 - Backend"/>
    <s v="New Feature"/>
    <x v="0"/>
    <d v="2015-05-13T22:15:00"/>
    <x v="1"/>
    <x v="0"/>
    <x v="9"/>
    <n v="2"/>
    <m/>
    <n v="141.1"/>
    <n v="24.900000000000002"/>
  </r>
  <r>
    <s v="Backend - OM"/>
    <x v="1"/>
    <s v="New Feature"/>
    <s v="OM-138"/>
    <s v="Prescription process stage 2 - Backend"/>
    <s v="New Feature"/>
    <x v="0"/>
    <d v="2015-05-13T22:47:00"/>
    <x v="1"/>
    <x v="0"/>
    <x v="8"/>
    <n v="12.5"/>
    <m/>
    <n v="141.1"/>
    <n v="24.900000000000002"/>
  </r>
  <r>
    <s v="Backend - OM"/>
    <x v="2"/>
    <s v="New Feature"/>
    <s v="OM-138"/>
    <s v="Prescription process stage 2 - Backend"/>
    <s v="New Feature"/>
    <x v="0"/>
    <d v="2015-05-14T18:37:00"/>
    <x v="1"/>
    <x v="0"/>
    <x v="12"/>
    <n v="8"/>
    <m/>
    <n v="141.1"/>
    <n v="24.900000000000002"/>
  </r>
  <r>
    <s v="Backend - OM"/>
    <x v="1"/>
    <s v="New Feature"/>
    <s v="OM-138"/>
    <s v="Prescription process stage 2 - Backend"/>
    <s v="New Feature"/>
    <x v="0"/>
    <d v="2015-05-14T22:06:00"/>
    <x v="1"/>
    <x v="0"/>
    <x v="8"/>
    <n v="11.5"/>
    <m/>
    <n v="141.1"/>
    <n v="24.900000000000002"/>
  </r>
  <r>
    <s v="Backend - OM"/>
    <x v="2"/>
    <s v="New Feature"/>
    <s v="OM-138"/>
    <s v="Prescription process stage 2 - Backend"/>
    <s v="New Feature"/>
    <x v="0"/>
    <d v="2015-05-14T22:15:00"/>
    <x v="1"/>
    <x v="0"/>
    <x v="9"/>
    <n v="11"/>
    <s v="bug fix and test!"/>
    <n v="141.1"/>
    <n v="24.900000000000002"/>
  </r>
  <r>
    <s v="Backend - OM"/>
    <x v="2"/>
    <s v="New Feature"/>
    <s v="OM-138"/>
    <s v="Prescription process stage 2 - Backend"/>
    <s v="New Feature"/>
    <x v="0"/>
    <d v="2015-05-15T18:37:00"/>
    <x v="1"/>
    <x v="0"/>
    <x v="12"/>
    <n v="8"/>
    <m/>
    <n v="141.1"/>
    <n v="24.900000000000002"/>
  </r>
  <r>
    <s v="Backend - OM"/>
    <x v="2"/>
    <s v="New Feature"/>
    <s v="OM-138"/>
    <s v="Prescription process stage 2 - Backend"/>
    <s v="New Feature"/>
    <x v="0"/>
    <d v="2015-05-15T22:14:00"/>
    <x v="1"/>
    <x v="0"/>
    <x v="9"/>
    <n v="6"/>
    <s v="test and bug fix"/>
    <n v="141.1"/>
    <n v="24.900000000000002"/>
  </r>
  <r>
    <s v="Backend - OM"/>
    <x v="1"/>
    <s v="New Feature"/>
    <s v="OM-138"/>
    <s v="Prescription process stage 2 - Backend"/>
    <s v="New Feature"/>
    <x v="0"/>
    <d v="2015-05-15T22:25:00"/>
    <x v="1"/>
    <x v="0"/>
    <x v="8"/>
    <n v="12"/>
    <m/>
    <n v="141.1"/>
    <n v="24.900000000000002"/>
  </r>
  <r>
    <s v="Backend - OM"/>
    <x v="3"/>
    <s v="New Feature"/>
    <s v="OM-138"/>
    <s v="Prescription process stage 2 - Backend"/>
    <s v="New Feature"/>
    <x v="0"/>
    <d v="2015-05-18T12:49:00"/>
    <x v="1"/>
    <x v="0"/>
    <x v="3"/>
    <n v="0.5"/>
    <m/>
    <n v="83"/>
    <n v="83"/>
  </r>
  <r>
    <s v="Backend - OM"/>
    <x v="2"/>
    <s v="New Feature"/>
    <s v="OM-138"/>
    <s v="Prescription process stage 2 - Backend"/>
    <s v="New Feature"/>
    <x v="0"/>
    <d v="2015-05-18T15:33:00"/>
    <x v="1"/>
    <x v="0"/>
    <x v="9"/>
    <n v="7"/>
    <s v="release and test!"/>
    <n v="141.1"/>
    <n v="24.900000000000002"/>
  </r>
  <r>
    <s v="Backend - OM"/>
    <x v="2"/>
    <s v="New Feature"/>
    <s v="OM-138"/>
    <s v="Prescription process stage 2 - Backend"/>
    <s v="New Feature"/>
    <x v="0"/>
    <d v="2015-05-18T18:39:00"/>
    <x v="1"/>
    <x v="0"/>
    <x v="12"/>
    <n v="12"/>
    <m/>
    <n v="141.1"/>
    <n v="24.900000000000002"/>
  </r>
  <r>
    <s v="Backend - OM"/>
    <x v="1"/>
    <s v="New Feature"/>
    <s v="OM-138"/>
    <s v="Prescription process stage 2 - Backend"/>
    <s v="New Feature"/>
    <x v="0"/>
    <d v="2015-05-18T23:59:00"/>
    <x v="1"/>
    <x v="0"/>
    <x v="8"/>
    <n v="13"/>
    <m/>
    <n v="141.1"/>
    <n v="24.900000000000002"/>
  </r>
  <r>
    <s v="Backend - OM"/>
    <x v="1"/>
    <s v="New Feature"/>
    <s v="OM-138"/>
    <s v="Prescription process stage 2 - Backend"/>
    <s v="New Feature"/>
    <x v="0"/>
    <d v="2015-05-20T18:49:00"/>
    <x v="1"/>
    <x v="0"/>
    <x v="8"/>
    <n v="1"/>
    <s v="check"/>
    <n v="141.1"/>
    <n v="24.900000000000002"/>
  </r>
  <r>
    <s v="Backend - OM"/>
    <x v="2"/>
    <s v="New Feature"/>
    <s v="OM-139"/>
    <s v="Courier Rule update"/>
    <s v="New Feature"/>
    <x v="0"/>
    <d v="2015-04-01T11:27:00"/>
    <x v="0"/>
    <x v="0"/>
    <x v="16"/>
    <n v="16"/>
    <m/>
    <n v="141.1"/>
    <n v="24.900000000000002"/>
  </r>
  <r>
    <s v="Backend - OM"/>
    <x v="2"/>
    <s v="New Feature"/>
    <s v="OM-139"/>
    <s v="Courier Rule update"/>
    <s v="New Feature"/>
    <x v="0"/>
    <d v="2015-05-11T18:09:00"/>
    <x v="1"/>
    <x v="0"/>
    <x v="16"/>
    <n v="4"/>
    <m/>
    <n v="141.1"/>
    <n v="24.900000000000002"/>
  </r>
  <r>
    <s v="Backend - OM"/>
    <x v="2"/>
    <s v="New Feature"/>
    <s v="OM-139"/>
    <s v="Courier Rule update"/>
    <s v="New Feature"/>
    <x v="0"/>
    <d v="2015-05-12T11:16:00"/>
    <x v="1"/>
    <x v="0"/>
    <x v="16"/>
    <n v="8"/>
    <m/>
    <n v="141.1"/>
    <n v="24.900000000000002"/>
  </r>
  <r>
    <s v="Backend - OM"/>
    <x v="2"/>
    <s v="New Feature"/>
    <s v="OM-139"/>
    <s v="Courier Rule update"/>
    <s v="New Feature"/>
    <x v="0"/>
    <d v="2015-05-18T18:22:00"/>
    <x v="1"/>
    <x v="0"/>
    <x v="16"/>
    <n v="8"/>
    <m/>
    <n v="141.1"/>
    <n v="24.900000000000002"/>
  </r>
  <r>
    <s v="Backend - OM"/>
    <x v="2"/>
    <s v="New Feature"/>
    <s v="OM-139"/>
    <s v="Courier Rule update"/>
    <s v="New Feature"/>
    <x v="0"/>
    <d v="2015-05-19T09:43:00"/>
    <x v="1"/>
    <x v="0"/>
    <x v="16"/>
    <n v="8"/>
    <m/>
    <n v="141.1"/>
    <n v="24.900000000000002"/>
  </r>
  <r>
    <s v="Backend - OM"/>
    <x v="2"/>
    <s v="New Feature"/>
    <s v="OM-139"/>
    <s v="Courier Rule update"/>
    <s v="New Feature"/>
    <x v="0"/>
    <d v="2015-05-20T15:42:00"/>
    <x v="1"/>
    <x v="0"/>
    <x v="12"/>
    <n v="4"/>
    <m/>
    <n v="141.1"/>
    <n v="24.900000000000002"/>
  </r>
  <r>
    <s v="Backend - OM"/>
    <x v="2"/>
    <s v="New Feature"/>
    <s v="OM-139"/>
    <s v="Courier Rule update"/>
    <s v="New Feature"/>
    <x v="0"/>
    <d v="2015-05-21T10:10:00"/>
    <x v="1"/>
    <x v="0"/>
    <x v="16"/>
    <n v="8"/>
    <m/>
    <n v="141.1"/>
    <n v="24.900000000000002"/>
  </r>
  <r>
    <s v="Backend - OM"/>
    <x v="2"/>
    <s v="New Feature"/>
    <s v="OM-139"/>
    <s v="Courier Rule update"/>
    <s v="New Feature"/>
    <x v="0"/>
    <d v="2015-05-22T11:25:00"/>
    <x v="1"/>
    <x v="0"/>
    <x v="16"/>
    <n v="8"/>
    <m/>
    <n v="141.1"/>
    <n v="24.900000000000002"/>
  </r>
  <r>
    <s v="Backend - OM"/>
    <x v="2"/>
    <s v="New Feature"/>
    <s v="OM-139"/>
    <s v="Courier Rule update"/>
    <s v="New Feature"/>
    <x v="0"/>
    <d v="2015-05-25T15:17:00"/>
    <x v="1"/>
    <x v="0"/>
    <x v="16"/>
    <n v="8"/>
    <m/>
    <n v="141.1"/>
    <n v="24.900000000000002"/>
  </r>
  <r>
    <s v="Backend - OM"/>
    <x v="2"/>
    <s v="New Feature"/>
    <s v="OM-139"/>
    <s v="Courier Rule update"/>
    <s v="New Feature"/>
    <x v="0"/>
    <d v="2015-05-26T10:45:00"/>
    <x v="1"/>
    <x v="0"/>
    <x v="16"/>
    <n v="2"/>
    <m/>
    <n v="141.1"/>
    <n v="24.900000000000002"/>
  </r>
  <r>
    <s v="Backend - OM"/>
    <x v="2"/>
    <s v="New Feature"/>
    <s v="OM-139"/>
    <s v="Courier Rule update"/>
    <s v="New Feature"/>
    <x v="0"/>
    <d v="2015-05-27T10:35:00"/>
    <x v="1"/>
    <x v="0"/>
    <x v="16"/>
    <n v="8"/>
    <m/>
    <n v="141.1"/>
    <n v="24.900000000000002"/>
  </r>
  <r>
    <s v="Backend - OM"/>
    <x v="2"/>
    <s v="New Feature"/>
    <s v="OM-139"/>
    <s v="Courier Rule update"/>
    <s v="New Feature"/>
    <x v="0"/>
    <d v="2015-05-27T15:43:00"/>
    <x v="1"/>
    <x v="0"/>
    <x v="12"/>
    <n v="8"/>
    <m/>
    <n v="141.1"/>
    <n v="24.900000000000002"/>
  </r>
  <r>
    <s v="Backend - OM"/>
    <x v="2"/>
    <s v="New Feature"/>
    <s v="OM-139"/>
    <s v="Courier Rule update"/>
    <s v="New Feature"/>
    <x v="0"/>
    <d v="2015-05-29T09:59:00"/>
    <x v="1"/>
    <x v="0"/>
    <x v="16"/>
    <n v="8"/>
    <m/>
    <n v="141.1"/>
    <n v="24.900000000000002"/>
  </r>
  <r>
    <s v="Backend - OM"/>
    <x v="1"/>
    <s v="New Feature"/>
    <s v="OM-140"/>
    <s v="Loyalty Program Stage 1 -- Referral"/>
    <s v="New Feature"/>
    <x v="0"/>
    <d v="2015-04-27T11:00:00"/>
    <x v="0"/>
    <x v="0"/>
    <x v="1"/>
    <n v="1"/>
    <m/>
    <n v="141.1"/>
    <n v="24.900000000000002"/>
  </r>
  <r>
    <s v="Backend - OM"/>
    <x v="1"/>
    <s v="New Feature"/>
    <s v="OM-140"/>
    <s v="Loyalty Program Stage 1 -- Referral"/>
    <s v="New Feature"/>
    <x v="0"/>
    <d v="2015-05-05T18:45:00"/>
    <x v="1"/>
    <x v="0"/>
    <x v="1"/>
    <n v="4"/>
    <m/>
    <n v="141.1"/>
    <n v="24.900000000000002"/>
  </r>
  <r>
    <s v="Backend - OM"/>
    <x v="1"/>
    <s v="New Feature"/>
    <s v="OM-140"/>
    <s v="Loyalty Program Stage 1 -- Referral"/>
    <s v="New Feature"/>
    <x v="0"/>
    <d v="2015-05-06T18:46:00"/>
    <x v="1"/>
    <x v="0"/>
    <x v="1"/>
    <n v="1"/>
    <m/>
    <n v="141.1"/>
    <n v="24.900000000000002"/>
  </r>
  <r>
    <s v="Backend - OM"/>
    <x v="2"/>
    <s v="New Feature"/>
    <s v="OM-141"/>
    <s v="OM Payment-Accounting-Payment ranking improvement"/>
    <s v="New Feature"/>
    <x v="0"/>
    <d v="2015-05-06T18:33:00"/>
    <x v="1"/>
    <x v="0"/>
    <x v="9"/>
    <n v="5"/>
    <m/>
    <n v="141.1"/>
    <n v="24.900000000000002"/>
  </r>
  <r>
    <s v="Backend - OM"/>
    <x v="2"/>
    <s v="New Feature"/>
    <s v="OM-141"/>
    <s v="OM Payment-Accounting-Payment ranking improvement"/>
    <s v="New Feature"/>
    <x v="0"/>
    <d v="2015-05-08T18:31:00"/>
    <x v="1"/>
    <x v="0"/>
    <x v="9"/>
    <n v="6"/>
    <m/>
    <n v="141.1"/>
    <n v="24.900000000000002"/>
  </r>
  <r>
    <s v="Backend - OM"/>
    <x v="2"/>
    <s v="New Feature"/>
    <s v="OM-141"/>
    <s v="OM Payment-Accounting-Payment ranking improvement"/>
    <s v="New Feature"/>
    <x v="0"/>
    <d v="2015-05-11T19:02:00"/>
    <x v="1"/>
    <x v="0"/>
    <x v="9"/>
    <n v="7"/>
    <m/>
    <n v="141.1"/>
    <n v="24.900000000000002"/>
  </r>
  <r>
    <s v="Backend - OM"/>
    <x v="2"/>
    <s v="New Feature"/>
    <s v="OM-141"/>
    <s v="OM Payment-Accounting-Payment ranking improvement"/>
    <s v="New Feature"/>
    <x v="0"/>
    <d v="2015-05-12T12:33:00"/>
    <x v="1"/>
    <x v="0"/>
    <x v="9"/>
    <n v="1"/>
    <s v="test"/>
    <n v="141.1"/>
    <n v="24.900000000000002"/>
  </r>
  <r>
    <s v="Backend - OM"/>
    <x v="3"/>
    <s v="New Feature"/>
    <s v="OM-141"/>
    <s v="OM Payment-Accounting-Payment ranking improvement"/>
    <s v="New Feature"/>
    <x v="0"/>
    <d v="2015-05-18T12:50:00"/>
    <x v="1"/>
    <x v="0"/>
    <x v="3"/>
    <n v="0.5"/>
    <m/>
    <n v="83"/>
    <n v="83"/>
  </r>
  <r>
    <s v="Backend - OM"/>
    <x v="2"/>
    <s v="New Feature"/>
    <s v="OM-141"/>
    <s v="OM Payment-Accounting-Payment ranking improvement"/>
    <s v="New Feature"/>
    <x v="0"/>
    <d v="2015-05-19T15:29:00"/>
    <x v="1"/>
    <x v="0"/>
    <x v="9"/>
    <n v="2"/>
    <s v="test and tidy files and release!"/>
    <n v="141.1"/>
    <n v="24.900000000000002"/>
  </r>
  <r>
    <s v="Backend - OM"/>
    <x v="2"/>
    <s v="New Feature"/>
    <s v="OM-142"/>
    <s v="Data Crawler OM Matching"/>
    <s v="New Feature"/>
    <x v="0"/>
    <d v="2015-04-09T11:19:00"/>
    <x v="0"/>
    <x v="0"/>
    <x v="16"/>
    <n v="4"/>
    <m/>
    <n v="141.1"/>
    <n v="24.900000000000002"/>
  </r>
  <r>
    <s v="Backend - OM"/>
    <x v="2"/>
    <s v="New Feature"/>
    <s v="OM-142"/>
    <s v="Data Crawler OM Matching"/>
    <s v="New Feature"/>
    <x v="0"/>
    <d v="2015-04-13T11:05:00"/>
    <x v="0"/>
    <x v="0"/>
    <x v="12"/>
    <n v="8"/>
    <m/>
    <n v="141.1"/>
    <n v="24.900000000000002"/>
  </r>
  <r>
    <s v="Backend - OM"/>
    <x v="2"/>
    <s v="New Feature"/>
    <s v="OM-142"/>
    <s v="Data Crawler OM Matching"/>
    <s v="New Feature"/>
    <x v="0"/>
    <d v="2015-04-14T18:02:00"/>
    <x v="0"/>
    <x v="0"/>
    <x v="16"/>
    <n v="16"/>
    <m/>
    <n v="141.1"/>
    <n v="24.900000000000002"/>
  </r>
  <r>
    <s v="Backend - OM"/>
    <x v="2"/>
    <s v="New Feature"/>
    <s v="OM-142"/>
    <s v="Data Crawler OM Matching"/>
    <s v="New Feature"/>
    <x v="0"/>
    <d v="2015-04-15T18:39:00"/>
    <x v="0"/>
    <x v="0"/>
    <x v="16"/>
    <n v="4"/>
    <s v="Data Crwler Testing."/>
    <n v="141.1"/>
    <n v="24.900000000000002"/>
  </r>
  <r>
    <s v="Backend - OM"/>
    <x v="2"/>
    <s v="New Feature"/>
    <s v="OM-142"/>
    <s v="Data Crawler OM Matching"/>
    <s v="New Feature"/>
    <x v="0"/>
    <d v="2015-04-17T17:20:00"/>
    <x v="0"/>
    <x v="0"/>
    <x v="16"/>
    <n v="24"/>
    <m/>
    <n v="141.1"/>
    <n v="24.900000000000002"/>
  </r>
  <r>
    <s v="Backend - OM"/>
    <x v="2"/>
    <s v="New Feature"/>
    <s v="OM-142"/>
    <s v="Data Crawler OM Matching"/>
    <s v="New Feature"/>
    <x v="0"/>
    <d v="2015-04-17T17:54:00"/>
    <x v="0"/>
    <x v="0"/>
    <x v="9"/>
    <n v="1"/>
    <s v="detail complete..."/>
    <n v="141.1"/>
    <n v="24.900000000000002"/>
  </r>
  <r>
    <s v="Backend - OM"/>
    <x v="2"/>
    <s v="New Feature"/>
    <s v="OM-142"/>
    <s v="Data Crawler OM Matching"/>
    <s v="New Feature"/>
    <x v="0"/>
    <d v="2015-04-20T18:42:00"/>
    <x v="0"/>
    <x v="0"/>
    <x v="16"/>
    <n v="8"/>
    <s v="data crawler testing"/>
    <n v="141.1"/>
    <n v="24.900000000000002"/>
  </r>
  <r>
    <s v="Backend - OM"/>
    <x v="2"/>
    <s v="New Feature"/>
    <s v="OM-142"/>
    <s v="Data Crawler OM Matching"/>
    <s v="New Feature"/>
    <x v="0"/>
    <d v="2015-04-20T18:46:00"/>
    <x v="0"/>
    <x v="0"/>
    <x v="9"/>
    <n v="2"/>
    <m/>
    <n v="141.1"/>
    <n v="24.900000000000002"/>
  </r>
  <r>
    <s v="Backend - OM"/>
    <x v="2"/>
    <s v="New Feature"/>
    <s v="OM-142"/>
    <s v="Data Crawler OM Matching"/>
    <s v="New Feature"/>
    <x v="0"/>
    <d v="2015-04-21T16:23:00"/>
    <x v="0"/>
    <x v="0"/>
    <x v="16"/>
    <n v="8"/>
    <m/>
    <n v="141.1"/>
    <n v="24.900000000000002"/>
  </r>
  <r>
    <s v="Backend - OM"/>
    <x v="2"/>
    <s v="New Feature"/>
    <s v="OM-142"/>
    <s v="Data Crawler OM Matching"/>
    <s v="New Feature"/>
    <x v="0"/>
    <d v="2015-04-22T11:09:00"/>
    <x v="0"/>
    <x v="0"/>
    <x v="12"/>
    <n v="8"/>
    <m/>
    <n v="141.1"/>
    <n v="24.900000000000002"/>
  </r>
  <r>
    <s v="Backend - OM"/>
    <x v="2"/>
    <s v="New Feature"/>
    <s v="OM-142"/>
    <s v="Data Crawler OM Matching"/>
    <s v="New Feature"/>
    <x v="0"/>
    <d v="2015-04-22T17:44:00"/>
    <x v="0"/>
    <x v="0"/>
    <x v="16"/>
    <n v="16"/>
    <s v="data craw testing."/>
    <n v="141.1"/>
    <n v="24.900000000000002"/>
  </r>
  <r>
    <s v="Backend - OM"/>
    <x v="2"/>
    <s v="New Feature"/>
    <s v="OM-142"/>
    <s v="Data Crawler OM Matching"/>
    <s v="New Feature"/>
    <x v="0"/>
    <d v="2015-04-23T15:18:00"/>
    <x v="0"/>
    <x v="0"/>
    <x v="9"/>
    <n v="1"/>
    <m/>
    <n v="141.1"/>
    <n v="24.900000000000002"/>
  </r>
  <r>
    <s v="Backend - OM"/>
    <x v="2"/>
    <s v="New Feature"/>
    <s v="OM-142"/>
    <s v="Data Crawler OM Matching"/>
    <s v="New Feature"/>
    <x v="0"/>
    <d v="2015-04-23T17:50:00"/>
    <x v="0"/>
    <x v="0"/>
    <x v="16"/>
    <n v="8"/>
    <s v="data crawler testing."/>
    <n v="141.1"/>
    <n v="24.900000000000002"/>
  </r>
  <r>
    <s v="Backend - OM"/>
    <x v="2"/>
    <s v="New Feature"/>
    <s v="OM-142"/>
    <s v="Data Crawler OM Matching"/>
    <s v="New Feature"/>
    <x v="0"/>
    <d v="2015-04-24T15:18:00"/>
    <x v="0"/>
    <x v="0"/>
    <x v="9"/>
    <n v="2"/>
    <m/>
    <n v="141.1"/>
    <n v="24.900000000000002"/>
  </r>
  <r>
    <s v="Backend - OM"/>
    <x v="2"/>
    <s v="New Feature"/>
    <s v="OM-142"/>
    <s v="Data Crawler OM Matching"/>
    <s v="New Feature"/>
    <x v="0"/>
    <d v="2015-04-24T17:27:00"/>
    <x v="0"/>
    <x v="0"/>
    <x v="16"/>
    <n v="8"/>
    <s v="DataCrawler bug testing."/>
    <n v="141.1"/>
    <n v="24.900000000000002"/>
  </r>
  <r>
    <s v="Backend - OM"/>
    <x v="2"/>
    <s v="New Feature"/>
    <s v="OM-142"/>
    <s v="Data Crawler OM Matching"/>
    <s v="New Feature"/>
    <x v="0"/>
    <d v="2015-04-27T17:59:00"/>
    <x v="0"/>
    <x v="0"/>
    <x v="16"/>
    <n v="8"/>
    <s v="Data crawler testing."/>
    <n v="141.1"/>
    <n v="24.900000000000002"/>
  </r>
  <r>
    <s v="Backend - OM"/>
    <x v="2"/>
    <s v="New Feature"/>
    <s v="OM-142"/>
    <s v="Data Crawler OM Matching"/>
    <s v="New Feature"/>
    <x v="0"/>
    <d v="2015-04-28T18:28:00"/>
    <x v="0"/>
    <x v="0"/>
    <x v="16"/>
    <n v="8"/>
    <s v="Data crawler testing."/>
    <n v="141.1"/>
    <n v="24.900000000000002"/>
  </r>
  <r>
    <s v="Backend - OM"/>
    <x v="2"/>
    <s v="New Feature"/>
    <s v="OM-142"/>
    <s v="Data Crawler OM Matching"/>
    <s v="New Feature"/>
    <x v="0"/>
    <d v="2015-04-29T18:11:00"/>
    <x v="0"/>
    <x v="0"/>
    <x v="16"/>
    <n v="8"/>
    <s v="Data crawler testing."/>
    <n v="141.1"/>
    <n v="24.900000000000002"/>
  </r>
  <r>
    <s v="Backend - OM"/>
    <x v="2"/>
    <s v="New Feature"/>
    <s v="OM-142"/>
    <s v="Data Crawler OM Matching"/>
    <s v="New Feature"/>
    <x v="0"/>
    <d v="2015-04-30T17:36:00"/>
    <x v="0"/>
    <x v="0"/>
    <x v="16"/>
    <n v="8"/>
    <m/>
    <n v="141.1"/>
    <n v="24.900000000000002"/>
  </r>
  <r>
    <s v="Backend - OM"/>
    <x v="2"/>
    <s v="New Feature"/>
    <s v="OM-142"/>
    <s v="Data Crawler OM Matching"/>
    <s v="New Feature"/>
    <x v="0"/>
    <d v="2015-05-04T17:40:00"/>
    <x v="1"/>
    <x v="0"/>
    <x v="16"/>
    <n v="8"/>
    <m/>
    <n v="141.1"/>
    <n v="24.900000000000002"/>
  </r>
  <r>
    <s v="Backend - OM"/>
    <x v="2"/>
    <s v="New Feature"/>
    <s v="OM-142"/>
    <s v="Data Crawler OM Matching"/>
    <s v="New Feature"/>
    <x v="0"/>
    <d v="2015-05-05T18:39:00"/>
    <x v="1"/>
    <x v="0"/>
    <x v="16"/>
    <n v="8"/>
    <s v="data crawler instance delete button."/>
    <n v="141.1"/>
    <n v="24.900000000000002"/>
  </r>
  <r>
    <s v="Backend - OM"/>
    <x v="2"/>
    <s v="New Feature"/>
    <s v="OM-142"/>
    <s v="Data Crawler OM Matching"/>
    <s v="New Feature"/>
    <x v="0"/>
    <d v="2015-05-06T18:14:00"/>
    <x v="1"/>
    <x v="0"/>
    <x v="16"/>
    <n v="8"/>
    <s v="data crawler testing."/>
    <n v="141.1"/>
    <n v="24.900000000000002"/>
  </r>
  <r>
    <s v="Backend - OM"/>
    <x v="3"/>
    <s v="New Feature"/>
    <s v="OM-142"/>
    <s v="Data Crawler OM Matching"/>
    <s v="New Feature"/>
    <x v="0"/>
    <d v="2015-05-07T16:11:00"/>
    <x v="1"/>
    <x v="0"/>
    <x v="3"/>
    <n v="1"/>
    <m/>
    <n v="83"/>
    <n v="83"/>
  </r>
  <r>
    <s v="Backend - OM"/>
    <x v="2"/>
    <s v="New Feature"/>
    <s v="OM-142"/>
    <s v="Data Crawler OM Matching"/>
    <s v="New Feature"/>
    <x v="0"/>
    <d v="2015-05-07T17:53:00"/>
    <x v="1"/>
    <x v="0"/>
    <x v="16"/>
    <n v="8"/>
    <m/>
    <n v="141.1"/>
    <n v="24.900000000000002"/>
  </r>
  <r>
    <s v="Backend - OM"/>
    <x v="2"/>
    <s v="New Feature"/>
    <s v="OM-142"/>
    <s v="Data Crawler OM Matching"/>
    <s v="New Feature"/>
    <x v="0"/>
    <d v="2015-05-08T17:53:00"/>
    <x v="1"/>
    <x v="0"/>
    <x v="16"/>
    <n v="8"/>
    <s v="在Data Crawler下, 新增对数据进行删除的功能。"/>
    <n v="141.1"/>
    <n v="24.900000000000002"/>
  </r>
  <r>
    <s v="Backend - OM"/>
    <x v="2"/>
    <s v="New Feature"/>
    <s v="OM-142"/>
    <s v="Data Crawler OM Matching"/>
    <s v="New Feature"/>
    <x v="0"/>
    <d v="2015-05-11T18:10:00"/>
    <x v="1"/>
    <x v="0"/>
    <x v="16"/>
    <n v="4"/>
    <s v="Data Maching delete testing."/>
    <n v="141.1"/>
    <n v="24.900000000000002"/>
  </r>
  <r>
    <s v="Backend - OM"/>
    <x v="2"/>
    <s v="New Feature"/>
    <s v="OM-143"/>
    <s v="LUXOTTICA - SALVA WEB"/>
    <s v="New Feature"/>
    <x v="0"/>
    <d v="2015-05-04T18:37:00"/>
    <x v="1"/>
    <x v="0"/>
    <x v="9"/>
    <n v="2"/>
    <m/>
    <n v="141.1"/>
    <n v="24.900000000000002"/>
  </r>
  <r>
    <s v="Backend - OM"/>
    <x v="2"/>
    <s v="New Feature"/>
    <s v="OM-143"/>
    <s v="LUXOTTICA - SALVA WEB"/>
    <s v="New Feature"/>
    <x v="0"/>
    <d v="2015-05-05T12:18:00"/>
    <x v="1"/>
    <x v="0"/>
    <x v="9"/>
    <n v="1"/>
    <s v="test"/>
    <n v="141.1"/>
    <n v="24.900000000000002"/>
  </r>
  <r>
    <s v="Backend - OM"/>
    <x v="2"/>
    <s v="New Feature"/>
    <s v="OM-143"/>
    <s v="LUXOTTICA - SALVA WEB"/>
    <s v="New Feature"/>
    <x v="0"/>
    <d v="2015-05-05T15:57:00"/>
    <x v="1"/>
    <x v="0"/>
    <x v="12"/>
    <n v="2"/>
    <m/>
    <n v="141.1"/>
    <n v="24.900000000000002"/>
  </r>
  <r>
    <s v="Backend - OM"/>
    <x v="1"/>
    <s v="New Feature"/>
    <s v="OM-143"/>
    <s v="LUXOTTICA - SALVA WEB"/>
    <s v="New Feature"/>
    <x v="0"/>
    <d v="2015-05-05T17:41:00"/>
    <x v="1"/>
    <x v="0"/>
    <x v="8"/>
    <n v="0.5"/>
    <m/>
    <n v="141.1"/>
    <n v="24.900000000000002"/>
  </r>
  <r>
    <s v="Backend - OM"/>
    <x v="2"/>
    <s v="New Feature"/>
    <s v="OM-144"/>
    <s v="New Brand improvment"/>
    <s v="New Feature"/>
    <x v="0"/>
    <d v="2015-05-26T18:37:00"/>
    <x v="1"/>
    <x v="0"/>
    <x v="16"/>
    <n v="2"/>
    <m/>
    <n v="141.1"/>
    <n v="24.900000000000002"/>
  </r>
  <r>
    <s v="Backend - OM"/>
    <x v="2"/>
    <s v="New Feature"/>
    <s v="OM-144"/>
    <s v="New Brand improvment"/>
    <s v="New Feature"/>
    <x v="0"/>
    <d v="2015-05-29T16:27:00"/>
    <x v="1"/>
    <x v="0"/>
    <x v="16"/>
    <n v="2"/>
    <m/>
    <n v="141.1"/>
    <n v="24.900000000000002"/>
  </r>
  <r>
    <s v="Backend - OM"/>
    <x v="2"/>
    <s v="Technical task"/>
    <s v="OM-145"/>
    <s v="OM-138&gt; Prescription process stage 2 - OM"/>
    <s v="Technical task"/>
    <x v="0"/>
    <d v="2015-04-01T10:58:00"/>
    <x v="0"/>
    <x v="0"/>
    <x v="12"/>
    <n v="4"/>
    <m/>
    <n v="141.1"/>
    <n v="24.900000000000002"/>
  </r>
  <r>
    <s v="Backend - OM"/>
    <x v="2"/>
    <s v="Technical task"/>
    <s v="OM-145"/>
    <s v="OM-138&gt; Prescription process stage 2 - OM"/>
    <s v="Technical task"/>
    <x v="0"/>
    <d v="2015-04-02T10:58:00"/>
    <x v="0"/>
    <x v="0"/>
    <x v="12"/>
    <n v="2"/>
    <m/>
    <n v="141.1"/>
    <n v="24.900000000000002"/>
  </r>
  <r>
    <s v="Backend - OM"/>
    <x v="2"/>
    <s v="Technical task"/>
    <s v="OM-145"/>
    <s v="OM-138&gt; Prescription process stage 2 - OM"/>
    <s v="Technical task"/>
    <x v="0"/>
    <d v="2015-04-07T10:58:00"/>
    <x v="0"/>
    <x v="0"/>
    <x v="12"/>
    <n v="8"/>
    <m/>
    <n v="141.1"/>
    <n v="24.900000000000002"/>
  </r>
  <r>
    <s v="Backend - OM"/>
    <x v="2"/>
    <s v="Technical task"/>
    <s v="OM-145"/>
    <s v="OM-138&gt; Prescription process stage 2 - OM"/>
    <s v="Technical task"/>
    <x v="0"/>
    <d v="2015-04-08T11:02:00"/>
    <x v="0"/>
    <x v="0"/>
    <x v="12"/>
    <n v="6"/>
    <m/>
    <n v="141.1"/>
    <n v="24.900000000000002"/>
  </r>
  <r>
    <s v="Backend - OM"/>
    <x v="2"/>
    <s v="Technical task"/>
    <s v="OM-145"/>
    <s v="OM-138&gt; Prescription process stage 2 - OM"/>
    <s v="Technical task"/>
    <x v="0"/>
    <d v="2015-04-14T11:06:00"/>
    <x v="0"/>
    <x v="0"/>
    <x v="12"/>
    <n v="8"/>
    <m/>
    <n v="141.1"/>
    <n v="24.900000000000002"/>
  </r>
  <r>
    <s v="Backend - OM"/>
    <x v="2"/>
    <s v="Technical task"/>
    <s v="OM-145"/>
    <s v="OM-138&gt; Prescription process stage 2 - OM"/>
    <s v="Technical task"/>
    <x v="0"/>
    <d v="2015-04-15T11:07:00"/>
    <x v="0"/>
    <x v="0"/>
    <x v="12"/>
    <n v="5"/>
    <m/>
    <n v="141.1"/>
    <n v="24.900000000000002"/>
  </r>
  <r>
    <s v="Backend - OM"/>
    <x v="2"/>
    <s v="Technical task"/>
    <s v="OM-145"/>
    <s v="OM-138&gt; Prescription process stage 2 - OM"/>
    <s v="Technical task"/>
    <x v="0"/>
    <d v="2015-04-16T11:07:00"/>
    <x v="0"/>
    <x v="0"/>
    <x v="12"/>
    <n v="6"/>
    <m/>
    <n v="141.1"/>
    <n v="24.900000000000002"/>
  </r>
  <r>
    <s v="Backend - OM"/>
    <x v="2"/>
    <s v="Technical task"/>
    <s v="OM-145"/>
    <s v="OM-138&gt; Prescription process stage 2 - OM"/>
    <s v="Technical task"/>
    <x v="0"/>
    <d v="2015-04-20T11:08:00"/>
    <x v="0"/>
    <x v="0"/>
    <x v="12"/>
    <n v="3"/>
    <m/>
    <n v="141.1"/>
    <n v="24.900000000000002"/>
  </r>
  <r>
    <s v="Backend - OM"/>
    <x v="2"/>
    <s v="Technical task"/>
    <s v="OM-145"/>
    <s v="OM-138&gt; Prescription process stage 2 - OM"/>
    <s v="Technical task"/>
    <x v="0"/>
    <d v="2015-04-23T11:09:00"/>
    <x v="0"/>
    <x v="0"/>
    <x v="12"/>
    <n v="8"/>
    <m/>
    <n v="141.1"/>
    <n v="24.900000000000002"/>
  </r>
  <r>
    <s v="Backend - OM"/>
    <x v="2"/>
    <s v="Technical task"/>
    <s v="OM-145"/>
    <s v="OM-138&gt; Prescription process stage 2 - OM"/>
    <s v="Technical task"/>
    <x v="0"/>
    <d v="2015-04-24T11:10:00"/>
    <x v="0"/>
    <x v="0"/>
    <x v="12"/>
    <n v="0.13300000000000001"/>
    <m/>
    <n v="141.1"/>
    <n v="24.900000000000002"/>
  </r>
  <r>
    <s v="Backend - OM"/>
    <x v="2"/>
    <s v="Technical task"/>
    <s v="OM-146"/>
    <s v="OM-138&gt; Prescription process stage 2 - SCAN"/>
    <s v="Technical task"/>
    <x v="0"/>
    <d v="2015-04-09T11:02:00"/>
    <x v="0"/>
    <x v="0"/>
    <x v="12"/>
    <n v="4"/>
    <m/>
    <n v="141.1"/>
    <n v="24.900000000000002"/>
  </r>
  <r>
    <s v="Backend - OM"/>
    <x v="2"/>
    <s v="Technical task"/>
    <s v="OM-146"/>
    <s v="OM-138&gt; Prescription process stage 2 - SCAN"/>
    <s v="Technical task"/>
    <x v="0"/>
    <d v="2015-04-09T18:22:00"/>
    <x v="0"/>
    <x v="0"/>
    <x v="9"/>
    <n v="2"/>
    <s v="Release RX onhold function."/>
    <n v="141.1"/>
    <n v="24.900000000000002"/>
  </r>
  <r>
    <s v="Backend - OM"/>
    <x v="2"/>
    <s v="Technical task"/>
    <s v="OM-146"/>
    <s v="OM-138&gt; Prescription process stage 2 - SCAN"/>
    <s v="Technical task"/>
    <x v="0"/>
    <d v="2015-04-10T11:03:00"/>
    <x v="0"/>
    <x v="0"/>
    <x v="12"/>
    <n v="4"/>
    <m/>
    <n v="141.1"/>
    <n v="24.900000000000002"/>
  </r>
  <r>
    <s v="Backend - OM"/>
    <x v="2"/>
    <s v="Technical task"/>
    <s v="OM-146"/>
    <s v="OM-138&gt; Prescription process stage 2 - SCAN"/>
    <s v="Technical task"/>
    <x v="0"/>
    <d v="2015-04-10T11:04:00"/>
    <x v="0"/>
    <x v="0"/>
    <x v="12"/>
    <n v="4"/>
    <m/>
    <n v="141.1"/>
    <n v="24.900000000000002"/>
  </r>
  <r>
    <s v="Backend - OM"/>
    <x v="2"/>
    <s v="Technical task"/>
    <s v="OM-146"/>
    <s v="OM-138&gt; Prescription process stage 2 - SCAN"/>
    <s v="Technical task"/>
    <x v="0"/>
    <d v="2015-04-10T15:46:00"/>
    <x v="0"/>
    <x v="0"/>
    <x v="9"/>
    <n v="2.5"/>
    <s v="update scan rx_status when OM rx_status updated..."/>
    <n v="141.1"/>
    <n v="24.900000000000002"/>
  </r>
  <r>
    <s v="Backend - OM"/>
    <x v="2"/>
    <s v="Technical task"/>
    <s v="OM-146"/>
    <s v="OM-138&gt; Prescription process stage 2 - SCAN"/>
    <s v="Technical task"/>
    <x v="0"/>
    <d v="2015-04-13T15:49:00"/>
    <x v="0"/>
    <x v="0"/>
    <x v="9"/>
    <n v="5.5"/>
    <s v="update scan rx_status when OM rx_status updated... test RX OnHold Release ."/>
    <n v="141.1"/>
    <n v="24.900000000000002"/>
  </r>
  <r>
    <s v="Backend - OM"/>
    <x v="2"/>
    <s v="Technical task"/>
    <s v="OM-146"/>
    <s v="OM-138&gt; Prescription process stage 2 - SCAN"/>
    <s v="Technical task"/>
    <x v="0"/>
    <d v="2015-04-14T18:32:00"/>
    <x v="0"/>
    <x v="0"/>
    <x v="9"/>
    <n v="8"/>
    <s v="HK &amp; IT rxHold processing..."/>
    <n v="141.1"/>
    <n v="24.900000000000002"/>
  </r>
  <r>
    <s v="Backend - OM"/>
    <x v="2"/>
    <s v="Technical task"/>
    <s v="OM-146"/>
    <s v="OM-138&gt; Prescription process stage 2 - SCAN"/>
    <s v="Technical task"/>
    <x v="0"/>
    <d v="2015-04-15T18:34:00"/>
    <x v="0"/>
    <x v="0"/>
    <x v="9"/>
    <n v="6"/>
    <s v="discuss rescan requirment with emily and process it!"/>
    <n v="141.1"/>
    <n v="24.900000000000002"/>
  </r>
  <r>
    <s v="Backend - OM"/>
    <x v="2"/>
    <s v="Technical task"/>
    <s v="OM-146"/>
    <s v="OM-138&gt; Prescription process stage 2 - SCAN"/>
    <s v="Technical task"/>
    <x v="0"/>
    <d v="2015-04-16T18:28:00"/>
    <x v="0"/>
    <x v="0"/>
    <x v="9"/>
    <n v="6"/>
    <s v="http://www.scan.com/picking/scan-rx-release complete this funtion: scan and show in page, reprint, delete, confirm to OM"/>
    <n v="141.1"/>
    <n v="24.900000000000002"/>
  </r>
  <r>
    <s v="Backend - OM"/>
    <x v="2"/>
    <s v="Technical task"/>
    <s v="OM-146"/>
    <s v="OM-138&gt; Prescription process stage 2 - SCAN"/>
    <s v="Technical task"/>
    <x v="0"/>
    <d v="2015-04-17T17:53:00"/>
    <x v="0"/>
    <x v="0"/>
    <x v="9"/>
    <n v="3"/>
    <s v="文件整理及测试!"/>
    <n v="141.1"/>
    <n v="24.900000000000002"/>
  </r>
  <r>
    <s v="Backend - OM"/>
    <x v="2"/>
    <s v="Technical task"/>
    <s v="OM-146"/>
    <s v="OM-138&gt; Prescription process stage 2 - SCAN"/>
    <s v="Technical task"/>
    <x v="0"/>
    <d v="2015-04-21T18:32:00"/>
    <x v="0"/>
    <x v="0"/>
    <x v="9"/>
    <n v="4"/>
    <s v="test and detail complete"/>
    <n v="141.1"/>
    <n v="24.900000000000002"/>
  </r>
  <r>
    <s v="Backend - OM"/>
    <x v="2"/>
    <s v="Technical task"/>
    <s v="OM-146"/>
    <s v="OM-138&gt; Prescription process stage 2 - SCAN"/>
    <s v="Technical task"/>
    <x v="0"/>
    <d v="2015-04-22T18:33:00"/>
    <x v="0"/>
    <x v="0"/>
    <x v="9"/>
    <n v="3"/>
    <m/>
    <n v="141.1"/>
    <n v="24.900000000000002"/>
  </r>
  <r>
    <s v="Backend - OM"/>
    <x v="2"/>
    <s v="Technical task"/>
    <s v="OM-146"/>
    <s v="OM-138&gt; Prescription process stage 2 - SCAN"/>
    <s v="Technical task"/>
    <x v="0"/>
    <d v="2015-04-28T16:27:00"/>
    <x v="0"/>
    <x v="0"/>
    <x v="9"/>
    <n v="1"/>
    <m/>
    <n v="141.1"/>
    <n v="24.900000000000002"/>
  </r>
  <r>
    <s v="Backend - OM"/>
    <x v="2"/>
    <s v="Technical task"/>
    <s v="OM-146"/>
    <s v="OM-138&gt; Prescription process stage 2 - SCAN"/>
    <s v="Technical task"/>
    <x v="0"/>
    <d v="2015-04-29T11:11:00"/>
    <x v="0"/>
    <x v="0"/>
    <x v="12"/>
    <n v="4"/>
    <m/>
    <n v="141.1"/>
    <n v="24.900000000000002"/>
  </r>
  <r>
    <s v="Backend - OM"/>
    <x v="2"/>
    <s v="Technical task"/>
    <s v="OM-146"/>
    <s v="OM-138&gt; Prescription process stage 2 - SCAN"/>
    <s v="Technical task"/>
    <x v="0"/>
    <d v="2015-05-21T15:08:00"/>
    <x v="1"/>
    <x v="0"/>
    <x v="9"/>
    <n v="5"/>
    <s v="fix data of s_po_item_eyewear"/>
    <n v="141.1"/>
    <n v="24.900000000000002"/>
  </r>
  <r>
    <s v="Backend - OM"/>
    <x v="2"/>
    <s v="Technical task"/>
    <s v="OM-147"/>
    <s v="OM-138&gt; Prescription process stage 2 - Auto Responder"/>
    <s v="Technical task"/>
    <x v="0"/>
    <d v="2015-04-03T19:31:00"/>
    <x v="0"/>
    <x v="0"/>
    <x v="9"/>
    <n v="8"/>
    <m/>
    <n v="141.1"/>
    <n v="24.900000000000002"/>
  </r>
  <r>
    <s v="Backend - OM"/>
    <x v="2"/>
    <s v="Technical task"/>
    <s v="OM-147"/>
    <s v="OM-138&gt; Prescription process stage 2 - Auto Responder"/>
    <s v="Technical task"/>
    <x v="0"/>
    <d v="2015-04-09T18:21:00"/>
    <x v="0"/>
    <x v="0"/>
    <x v="9"/>
    <n v="4"/>
    <s v="detail complete and test!"/>
    <n v="141.1"/>
    <n v="24.900000000000002"/>
  </r>
  <r>
    <s v="Backend - OM"/>
    <x v="2"/>
    <s v="Technical task"/>
    <s v="OM-147"/>
    <s v="OM-138&gt; Prescription process stage 2 - Auto Responder"/>
    <s v="Technical task"/>
    <x v="0"/>
    <d v="2015-04-10T16:10:00"/>
    <x v="0"/>
    <x v="0"/>
    <x v="9"/>
    <n v="0.5"/>
    <m/>
    <n v="141.1"/>
    <n v="24.900000000000002"/>
  </r>
  <r>
    <s v="Backend - OM"/>
    <x v="2"/>
    <s v="Technical task"/>
    <s v="OM-147"/>
    <s v="OM-138&gt; Prescription process stage 2 - Auto Responder"/>
    <s v="Technical task"/>
    <x v="0"/>
    <d v="2015-04-24T17:47:00"/>
    <x v="0"/>
    <x v="0"/>
    <x v="9"/>
    <n v="3"/>
    <m/>
    <n v="141.1"/>
    <n v="24.900000000000002"/>
  </r>
  <r>
    <s v="Backend - OM"/>
    <x v="2"/>
    <s v="Technical task"/>
    <s v="OM-147"/>
    <s v="OM-138&gt; Prescription process stage 2 - Auto Responder"/>
    <s v="Technical task"/>
    <x v="0"/>
    <d v="2015-04-27T17:46:00"/>
    <x v="0"/>
    <x v="0"/>
    <x v="9"/>
    <n v="3"/>
    <m/>
    <n v="141.1"/>
    <n v="24.900000000000002"/>
  </r>
  <r>
    <s v="Backend - OM"/>
    <x v="2"/>
    <s v="Technical task"/>
    <s v="OM-147"/>
    <s v="OM-138&gt; Prescription process stage 2 - Auto Responder"/>
    <s v="Technical task"/>
    <x v="0"/>
    <d v="2015-04-28T16:27:00"/>
    <x v="0"/>
    <x v="0"/>
    <x v="9"/>
    <n v="2"/>
    <s v="email detail complete"/>
    <n v="141.1"/>
    <n v="24.900000000000002"/>
  </r>
  <r>
    <s v="Backend - OM"/>
    <x v="2"/>
    <s v="Improvement"/>
    <s v="OM-173"/>
    <s v="Fraud + Refund and Cancel +Refund Export function + Other refund reason."/>
    <s v="Improvement"/>
    <x v="0"/>
    <d v="2015-05-22T14:55:00"/>
    <x v="1"/>
    <x v="0"/>
    <x v="9"/>
    <n v="1.5"/>
    <s v="read and disscuss request!"/>
    <n v="141.1"/>
    <n v="24.900000000000002"/>
  </r>
  <r>
    <s v="Backend - OM"/>
    <x v="2"/>
    <s v="Bug"/>
    <s v="OM-176"/>
    <s v="IT Lux stars report"/>
    <s v="Bug"/>
    <x v="1"/>
    <d v="2015-05-28T19:02:00"/>
    <x v="1"/>
    <x v="0"/>
    <x v="9"/>
    <n v="1"/>
    <s v="process and test"/>
    <n v="141.1"/>
    <n v="24.900000000000002"/>
  </r>
  <r>
    <s v="Backend - OM"/>
    <x v="2"/>
    <s v="New Feature"/>
    <s v="OM-189"/>
    <s v="Add permissions for URL access"/>
    <s v="New Feature"/>
    <x v="0"/>
    <d v="2015-04-09T18:51:00"/>
    <x v="0"/>
    <x v="0"/>
    <x v="12"/>
    <n v="4"/>
    <m/>
    <n v="141.1"/>
    <n v="24.900000000000002"/>
  </r>
  <r>
    <s v="Backend - OM"/>
    <x v="1"/>
    <s v="New Feature"/>
    <s v="OM-189"/>
    <s v="Add permissions for URL access"/>
    <s v="New Feature"/>
    <x v="0"/>
    <d v="2015-04-10T11:32:00"/>
    <x v="0"/>
    <x v="0"/>
    <x v="8"/>
    <n v="0.5"/>
    <m/>
    <n v="141.1"/>
    <n v="24.900000000000002"/>
  </r>
  <r>
    <s v="Backend - OM"/>
    <x v="1"/>
    <s v="New Feature"/>
    <s v="OM-189"/>
    <s v="Add permissions for URL access"/>
    <s v="New Feature"/>
    <x v="0"/>
    <d v="2015-04-10T17:09:00"/>
    <x v="0"/>
    <x v="0"/>
    <x v="8"/>
    <n v="1"/>
    <m/>
    <n v="141.1"/>
    <n v="24.900000000000002"/>
  </r>
  <r>
    <s v="Backend - OM"/>
    <x v="3"/>
    <s v="New Feature"/>
    <s v="OM-189"/>
    <s v="Add permissions for URL access"/>
    <s v="New Feature"/>
    <x v="0"/>
    <d v="2015-04-15T12:19:00"/>
    <x v="0"/>
    <x v="0"/>
    <x v="3"/>
    <n v="1"/>
    <m/>
    <n v="83"/>
    <n v="83"/>
  </r>
  <r>
    <s v="Backend - OM"/>
    <x v="1"/>
    <s v="New Feature"/>
    <s v="OM-189"/>
    <s v="Add permissions for URL access"/>
    <s v="New Feature"/>
    <x v="0"/>
    <d v="2015-04-15T15:26:00"/>
    <x v="0"/>
    <x v="0"/>
    <x v="8"/>
    <n v="0.5"/>
    <m/>
    <n v="141.1"/>
    <n v="24.900000000000002"/>
  </r>
  <r>
    <s v="Backend - OM"/>
    <x v="2"/>
    <s v="New Feature"/>
    <s v="OM-191"/>
    <s v="Freshdesk Group API"/>
    <s v="New Feature"/>
    <x v="0"/>
    <d v="2015-04-17T12:30:00"/>
    <x v="0"/>
    <x v="0"/>
    <x v="9"/>
    <n v="2"/>
    <m/>
    <n v="141.1"/>
    <n v="24.900000000000002"/>
  </r>
  <r>
    <s v="Backend - OM"/>
    <x v="1"/>
    <s v="New Feature"/>
    <s v="OM-191"/>
    <s v="Freshdesk Group API"/>
    <s v="New Feature"/>
    <x v="0"/>
    <d v="2015-04-17T16:29:00"/>
    <x v="0"/>
    <x v="0"/>
    <x v="8"/>
    <n v="0.5"/>
    <m/>
    <n v="141.1"/>
    <n v="24.900000000000002"/>
  </r>
  <r>
    <s v="Backend - OM"/>
    <x v="2"/>
    <s v="New Feature"/>
    <s v="OM-192"/>
    <s v="Data Crawler"/>
    <s v="New Feature"/>
    <x v="0"/>
    <d v="2015-04-01T18:33:00"/>
    <x v="0"/>
    <x v="0"/>
    <x v="16"/>
    <n v="8"/>
    <m/>
    <n v="141.1"/>
    <n v="24.900000000000002"/>
  </r>
  <r>
    <s v="Backend - OM"/>
    <x v="2"/>
    <s v="New Feature"/>
    <s v="OM-192"/>
    <s v="Data Crawler"/>
    <s v="New Feature"/>
    <x v="0"/>
    <d v="2015-04-03T17:17:00"/>
    <x v="0"/>
    <x v="0"/>
    <x v="16"/>
    <n v="8"/>
    <s v="1. 219 Server JDBC connection bug fixes completed. 2. tiny testing"/>
    <n v="141.1"/>
    <n v="24.900000000000002"/>
  </r>
  <r>
    <s v="Backend - OM"/>
    <x v="2"/>
    <s v="New Feature"/>
    <s v="OM-192"/>
    <s v="Data Crawler"/>
    <s v="New Feature"/>
    <x v="0"/>
    <d v="2015-04-14T17:32:00"/>
    <x v="0"/>
    <x v="0"/>
    <x v="16"/>
    <n v="4"/>
    <m/>
    <n v="141.1"/>
    <n v="24.900000000000002"/>
  </r>
  <r>
    <s v="Backend - OM"/>
    <x v="2"/>
    <s v="New Feature"/>
    <s v="OM-192"/>
    <s v="Data Crawler"/>
    <s v="New Feature"/>
    <x v="0"/>
    <d v="2015-04-15T18:43:00"/>
    <x v="0"/>
    <x v="0"/>
    <x v="16"/>
    <n v="4"/>
    <s v="Data Crawler Testing"/>
    <n v="141.1"/>
    <n v="24.900000000000002"/>
  </r>
  <r>
    <s v="Backend - OM"/>
    <x v="1"/>
    <s v="New Feature"/>
    <s v="OM-193"/>
    <s v="Loyalty Program Stage 1-- Memembership and Rewards"/>
    <s v="New Feature"/>
    <x v="0"/>
    <d v="2015-04-27T10:56:00"/>
    <x v="0"/>
    <x v="0"/>
    <x v="1"/>
    <n v="1"/>
    <m/>
    <n v="141.1"/>
    <n v="24.900000000000002"/>
  </r>
  <r>
    <s v="Backend - OM"/>
    <x v="1"/>
    <s v="New Feature"/>
    <s v="OM-193"/>
    <s v="Loyalty Program Stage 1-- Memembership and Rewards"/>
    <s v="New Feature"/>
    <x v="0"/>
    <d v="2015-05-05T18:45:00"/>
    <x v="1"/>
    <x v="0"/>
    <x v="1"/>
    <n v="4"/>
    <m/>
    <n v="141.1"/>
    <n v="24.900000000000002"/>
  </r>
  <r>
    <s v="Backend - OM"/>
    <x v="2"/>
    <s v="New Feature"/>
    <s v="OM-270"/>
    <s v="Add new courier in OM"/>
    <s v="New Feature"/>
    <x v="0"/>
    <d v="2015-04-16T18:36:00"/>
    <x v="0"/>
    <x v="0"/>
    <x v="9"/>
    <n v="0.5"/>
    <m/>
    <n v="141.1"/>
    <n v="24.900000000000002"/>
  </r>
  <r>
    <s v="Backend - OM"/>
    <x v="2"/>
    <s v="New Feature"/>
    <s v="OM-324"/>
    <s v="OM brand save bug which cause feed couldn't work"/>
    <s v="New Feature"/>
    <x v="0"/>
    <d v="2015-04-03T15:58:00"/>
    <x v="0"/>
    <x v="0"/>
    <x v="9"/>
    <n v="0.5"/>
    <m/>
    <n v="141.1"/>
    <n v="24.900000000000002"/>
  </r>
  <r>
    <s v="Backend - OM"/>
    <x v="1"/>
    <s v="New Feature"/>
    <s v="OM-324"/>
    <s v="OM brand save bug which cause feed couldn't work"/>
    <s v="New Feature"/>
    <x v="0"/>
    <d v="2015-04-03T16:11:00"/>
    <x v="0"/>
    <x v="0"/>
    <x v="8"/>
    <n v="0.5"/>
    <m/>
    <n v="141.1"/>
    <n v="24.900000000000002"/>
  </r>
  <r>
    <s v="Backend - OM"/>
    <x v="2"/>
    <s v="New Feature"/>
    <s v="OM-349"/>
    <s v="Warehouse Stock issue"/>
    <s v="New Feature"/>
    <x v="0"/>
    <d v="2015-04-22T11:31:00"/>
    <x v="0"/>
    <x v="0"/>
    <x v="9"/>
    <n v="2"/>
    <m/>
    <n v="141.1"/>
    <n v="24.900000000000002"/>
  </r>
  <r>
    <s v="Backend - OM"/>
    <x v="1"/>
    <s v="New Feature"/>
    <s v="OM-349"/>
    <s v="Warehouse Stock issue"/>
    <s v="New Feature"/>
    <x v="0"/>
    <d v="2015-04-22T12:13:00"/>
    <x v="0"/>
    <x v="0"/>
    <x v="8"/>
    <n v="0.5"/>
    <m/>
    <n v="141.1"/>
    <n v="24.900000000000002"/>
  </r>
  <r>
    <s v="Backend - OM"/>
    <x v="2"/>
    <s v="New Feature"/>
    <s v="OM-359"/>
    <s v="Stock Match Issue"/>
    <s v="New Feature"/>
    <x v="0"/>
    <d v="2015-04-30T17:44:00"/>
    <x v="0"/>
    <x v="0"/>
    <x v="12"/>
    <n v="6"/>
    <m/>
    <n v="141.1"/>
    <n v="24.900000000000002"/>
  </r>
  <r>
    <s v="Backend - OM"/>
    <x v="2"/>
    <s v="New Feature"/>
    <s v="OM-359"/>
    <s v="Stock Match Issue"/>
    <s v="New Feature"/>
    <x v="0"/>
    <d v="2015-04-30T17:52:00"/>
    <x v="0"/>
    <x v="0"/>
    <x v="9"/>
    <n v="6"/>
    <s v="issue1, check And fix the bug"/>
    <n v="141.1"/>
    <n v="24.900000000000002"/>
  </r>
  <r>
    <s v="Backend - OM"/>
    <x v="1"/>
    <s v="New Feature"/>
    <s v="OM-359"/>
    <s v="Stock Match Issue"/>
    <s v="New Feature"/>
    <x v="0"/>
    <d v="2015-04-30T18:18:00"/>
    <x v="0"/>
    <x v="0"/>
    <x v="8"/>
    <n v="0.5"/>
    <m/>
    <n v="141.1"/>
    <n v="24.900000000000002"/>
  </r>
  <r>
    <s v="Backend - OM"/>
    <x v="2"/>
    <s v="New Feature"/>
    <s v="OM-362"/>
    <s v="Check reserving inventory issues of contact lens orders"/>
    <s v="New Feature"/>
    <x v="0"/>
    <d v="2015-04-20T11:08:00"/>
    <x v="0"/>
    <x v="0"/>
    <x v="12"/>
    <n v="5"/>
    <m/>
    <n v="141.1"/>
    <n v="24.900000000000002"/>
  </r>
  <r>
    <s v="Backend - OM"/>
    <x v="2"/>
    <s v="New Feature"/>
    <s v="OM-362"/>
    <s v="Check reserving inventory issues of contact lens orders"/>
    <s v="New Feature"/>
    <x v="0"/>
    <d v="2015-04-28T11:11:00"/>
    <x v="0"/>
    <x v="0"/>
    <x v="12"/>
    <n v="8"/>
    <m/>
    <n v="141.1"/>
    <n v="24.900000000000002"/>
  </r>
  <r>
    <s v="Backend - OM"/>
    <x v="2"/>
    <s v="New Feature"/>
    <s v="OM-362"/>
    <s v="Check reserving inventory issues of contact lens orders"/>
    <s v="New Feature"/>
    <x v="0"/>
    <d v="2015-05-07T16:15:00"/>
    <x v="1"/>
    <x v="0"/>
    <x v="12"/>
    <n v="8"/>
    <m/>
    <n v="141.1"/>
    <n v="24.900000000000002"/>
  </r>
  <r>
    <s v="Backend - OM"/>
    <x v="2"/>
    <s v="New Feature"/>
    <s v="OM-366"/>
    <s v="can this be fixed and the status in the PO change to stock received in warehouse?"/>
    <s v="New Feature"/>
    <x v="0"/>
    <d v="2015-04-09T16:06:00"/>
    <x v="0"/>
    <x v="0"/>
    <x v="9"/>
    <n v="1.5"/>
    <s v="check this bug! s_po_item_eyewear 的order_id,operate_user被置成NULL"/>
    <n v="141.1"/>
    <n v="24.900000000000002"/>
  </r>
  <r>
    <s v="Backend - OM"/>
    <x v="2"/>
    <s v="New Feature"/>
    <s v="OM-366"/>
    <s v="can this be fixed and the status in the PO change to stock received in warehouse?"/>
    <s v="New Feature"/>
    <x v="0"/>
    <d v="2015-04-10T16:08:00"/>
    <x v="0"/>
    <x v="0"/>
    <x v="9"/>
    <n v="5"/>
    <s v="s_po_item_eyewear 的order_id,operate_user被置成NULL, 检查其原因!"/>
    <n v="141.1"/>
    <n v="24.900000000000002"/>
  </r>
  <r>
    <s v="Backend - OM"/>
    <x v="2"/>
    <s v="New Feature"/>
    <s v="OM-379"/>
    <s v="Essilor RX PO for Italy (wong!)"/>
    <s v="New Feature"/>
    <x v="0"/>
    <d v="2015-04-28T16:26:00"/>
    <x v="0"/>
    <x v="0"/>
    <x v="9"/>
    <n v="1.5"/>
    <m/>
    <n v="141.1"/>
    <n v="24.900000000000002"/>
  </r>
  <r>
    <s v="Backend - OM"/>
    <x v="2"/>
    <s v="New Feature"/>
    <s v="OM-379"/>
    <s v="Essilor RX PO for Italy (wong!)"/>
    <s v="New Feature"/>
    <x v="0"/>
    <d v="2015-05-20T17:33:00"/>
    <x v="1"/>
    <x v="0"/>
    <x v="9"/>
    <n v="3.5"/>
    <m/>
    <n v="141.1"/>
    <n v="24.900000000000002"/>
  </r>
  <r>
    <s v="Backend - OM"/>
    <x v="3"/>
    <s v="New Feature"/>
    <s v="OM-379"/>
    <s v="Essilor RX PO for Italy (wong!)"/>
    <s v="New Feature"/>
    <x v="0"/>
    <d v="2015-05-22T12:43:00"/>
    <x v="1"/>
    <x v="0"/>
    <x v="3"/>
    <n v="0.5"/>
    <m/>
    <n v="83"/>
    <n v="83"/>
  </r>
  <r>
    <s v="Backend - OM"/>
    <x v="2"/>
    <s v="New Feature"/>
    <s v="OM-379"/>
    <s v="Essilor RX PO for Italy (wong!)"/>
    <s v="New Feature"/>
    <x v="0"/>
    <d v="2015-05-22T14:55:00"/>
    <x v="1"/>
    <x v="0"/>
    <x v="9"/>
    <n v="1"/>
    <m/>
    <n v="141.1"/>
    <n v="24.900000000000002"/>
  </r>
  <r>
    <s v="Backend - OM"/>
    <x v="2"/>
    <s v="New Feature"/>
    <s v="OM-391"/>
    <s v="Rill Inventory Related Improvement"/>
    <s v="New Feature"/>
    <x v="0"/>
    <d v="2015-04-29T11:01:00"/>
    <x v="0"/>
    <x v="0"/>
    <x v="9"/>
    <n v="1"/>
    <m/>
    <n v="141.1"/>
    <n v="24.900000000000002"/>
  </r>
  <r>
    <s v="Backend - OM"/>
    <x v="2"/>
    <s v="New Feature"/>
    <s v="OM-391"/>
    <s v="Rill Inventory Related Improvement"/>
    <s v="New Feature"/>
    <x v="0"/>
    <d v="2015-04-29T11:24:00"/>
    <x v="0"/>
    <x v="0"/>
    <x v="12"/>
    <n v="4"/>
    <m/>
    <n v="141.1"/>
    <n v="24.900000000000002"/>
  </r>
  <r>
    <s v="Backend - OM"/>
    <x v="1"/>
    <s v="New Feature"/>
    <s v="OM-391"/>
    <s v="Rill Inventory Related Improvement"/>
    <s v="New Feature"/>
    <x v="0"/>
    <d v="2015-04-29T15:00:00"/>
    <x v="0"/>
    <x v="0"/>
    <x v="8"/>
    <n v="0.5"/>
    <m/>
    <n v="141.1"/>
    <n v="24.900000000000002"/>
  </r>
  <r>
    <s v="Backend - OM"/>
    <x v="2"/>
    <s v="New Feature"/>
    <s v="OM-398"/>
    <s v="Order for Stock items can not be stocked in Scan"/>
    <s v="New Feature"/>
    <x v="0"/>
    <d v="2015-05-19T15:23:00"/>
    <x v="1"/>
    <x v="0"/>
    <x v="12"/>
    <n v="2"/>
    <s v="Added UPC of product id 279 in OM. Deleted UPC of product id 72"/>
    <n v="141.1"/>
    <n v="24.900000000000002"/>
  </r>
  <r>
    <s v="Backend - OM"/>
    <x v="2"/>
    <s v="Bug"/>
    <s v="OM-478"/>
    <s v="DK0266187501GE - GE order does not exist!"/>
    <s v="Bug"/>
    <x v="1"/>
    <d v="2015-05-18T12:56:00"/>
    <x v="1"/>
    <x v="0"/>
    <x v="9"/>
    <n v="2"/>
    <m/>
    <n v="141.1"/>
    <n v="24.900000000000002"/>
  </r>
  <r>
    <s v="Backend - OM"/>
    <x v="1"/>
    <s v="Bug"/>
    <s v="OM-532"/>
    <s v="Order status issues"/>
    <s v="Bug"/>
    <x v="1"/>
    <d v="2015-04-02T15:45:00"/>
    <x v="0"/>
    <x v="0"/>
    <x v="8"/>
    <n v="0.5"/>
    <m/>
    <n v="141.1"/>
    <n v="24.900000000000002"/>
  </r>
  <r>
    <s v="Backend - OM"/>
    <x v="2"/>
    <s v="Bug"/>
    <s v="OM-557"/>
    <s v="Duplicate po items"/>
    <s v="Bug"/>
    <x v="1"/>
    <d v="2015-04-30T12:02:00"/>
    <x v="0"/>
    <x v="0"/>
    <x v="12"/>
    <n v="4"/>
    <m/>
    <n v="141.1"/>
    <n v="24.900000000000002"/>
  </r>
  <r>
    <s v="Backend - OM"/>
    <x v="2"/>
    <s v="Bug"/>
    <s v="OM-557"/>
    <s v="Duplicate po items"/>
    <s v="Bug"/>
    <x v="1"/>
    <d v="2015-05-04T12:02:00"/>
    <x v="1"/>
    <x v="0"/>
    <x v="12"/>
    <n v="1"/>
    <m/>
    <n v="141.1"/>
    <n v="24.900000000000002"/>
  </r>
  <r>
    <s v="Backend - OM"/>
    <x v="3"/>
    <s v="Bug"/>
    <s v="OM-557"/>
    <s v="Duplicate po items"/>
    <s v="Bug"/>
    <x v="1"/>
    <d v="2015-05-04T12:10:00"/>
    <x v="1"/>
    <x v="0"/>
    <x v="3"/>
    <n v="0.5"/>
    <m/>
    <n v="83"/>
    <n v="83"/>
  </r>
  <r>
    <s v="Backend - OM"/>
    <x v="1"/>
    <s v="Bug"/>
    <s v="OM-557"/>
    <s v="Duplicate po items"/>
    <s v="Bug"/>
    <x v="1"/>
    <d v="2015-05-04T12:11:00"/>
    <x v="1"/>
    <x v="0"/>
    <x v="8"/>
    <n v="0.5"/>
    <m/>
    <n v="141.1"/>
    <n v="24.900000000000002"/>
  </r>
  <r>
    <s v="Backend - OM"/>
    <x v="2"/>
    <s v="Bug"/>
    <s v="OM-683"/>
    <s v="Data Crawl Isuess"/>
    <s v="Bug"/>
    <x v="1"/>
    <d v="2015-05-26T15:08:00"/>
    <x v="1"/>
    <x v="0"/>
    <x v="16"/>
    <n v="6"/>
    <m/>
    <n v="141.1"/>
    <n v="24.900000000000002"/>
  </r>
  <r>
    <s v="Backend - OM"/>
    <x v="2"/>
    <s v="Bug"/>
    <s v="OM-705"/>
    <s v="Cannot create manifest for BE0228815705G"/>
    <s v="Bug"/>
    <x v="1"/>
    <d v="2015-05-20T15:41:00"/>
    <x v="1"/>
    <x v="0"/>
    <x v="12"/>
    <n v="2"/>
    <m/>
    <n v="141.1"/>
    <n v="24.900000000000002"/>
  </r>
  <r>
    <s v="Backend - OM"/>
    <x v="2"/>
    <s v="Bug"/>
    <s v="OM-793"/>
    <s v="Can not go to warehouse po"/>
    <s v="Bug"/>
    <x v="1"/>
    <d v="2015-04-17T17:07:00"/>
    <x v="0"/>
    <x v="0"/>
    <x v="12"/>
    <n v="3"/>
    <m/>
    <n v="141.1"/>
    <n v="24.900000000000002"/>
  </r>
  <r>
    <s v="Backend - OM"/>
    <x v="1"/>
    <s v="Bug"/>
    <s v="OM-808"/>
    <s v="Stock reservation issue"/>
    <s v="Bug"/>
    <x v="1"/>
    <d v="2015-04-28T15:47:00"/>
    <x v="0"/>
    <x v="0"/>
    <x v="8"/>
    <n v="0.5"/>
    <m/>
    <n v="141.1"/>
    <n v="24.900000000000002"/>
  </r>
  <r>
    <s v="Backend - OM"/>
    <x v="2"/>
    <s v="Bug"/>
    <s v="OM-808"/>
    <s v="Stock reservation issue"/>
    <s v="Bug"/>
    <x v="1"/>
    <d v="2015-04-28T16:25:00"/>
    <x v="0"/>
    <x v="0"/>
    <x v="9"/>
    <n v="1"/>
    <m/>
    <n v="141.1"/>
    <n v="24.900000000000002"/>
  </r>
  <r>
    <s v="Backend - OM"/>
    <x v="1"/>
    <s v="Bug"/>
    <s v="OM-809"/>
    <s v="Contact lens UPC issues"/>
    <s v="Bug"/>
    <x v="1"/>
    <d v="2015-04-20T18:14:00"/>
    <x v="0"/>
    <x v="0"/>
    <x v="8"/>
    <n v="0.5"/>
    <m/>
    <n v="141.1"/>
    <n v="24.900000000000002"/>
  </r>
  <r>
    <s v="Backend - OM"/>
    <x v="2"/>
    <s v="Bug"/>
    <s v="OM-809"/>
    <s v="Contact lens UPC issues"/>
    <s v="Bug"/>
    <x v="1"/>
    <d v="2015-04-20T18:21:00"/>
    <x v="0"/>
    <x v="0"/>
    <x v="9"/>
    <n v="2"/>
    <s v="fix and test!"/>
    <n v="141.1"/>
    <n v="24.900000000000002"/>
  </r>
  <r>
    <s v="Backend - OM"/>
    <x v="2"/>
    <s v="Improvement"/>
    <s v="OM-843"/>
    <s v="Eyeware Supplier PO Issue"/>
    <s v="Improvement"/>
    <x v="0"/>
    <d v="2015-04-23T15:38:00"/>
    <x v="0"/>
    <x v="0"/>
    <x v="9"/>
    <n v="5"/>
    <s v="test and check the bug!"/>
    <n v="141.1"/>
    <n v="24.900000000000002"/>
  </r>
  <r>
    <s v="Backend - OM"/>
    <x v="2"/>
    <s v="Improvement"/>
    <s v="OM-843"/>
    <s v="Eyeware Supplier PO Issue"/>
    <s v="Improvement"/>
    <x v="0"/>
    <d v="2015-04-24T15:39:00"/>
    <x v="0"/>
    <x v="0"/>
    <x v="9"/>
    <n v="3"/>
    <s v="test..."/>
    <n v="141.1"/>
    <n v="24.900000000000002"/>
  </r>
  <r>
    <s v="Backend - OM"/>
    <x v="3"/>
    <s v="Improvement"/>
    <s v="OM-843"/>
    <s v="Eyeware Supplier PO Issue"/>
    <s v="Improvement"/>
    <x v="0"/>
    <d v="2015-04-27T12:09:00"/>
    <x v="0"/>
    <x v="0"/>
    <x v="3"/>
    <n v="0.33300000000000002"/>
    <m/>
    <n v="83"/>
    <n v="83"/>
  </r>
  <r>
    <s v="Backend - OM"/>
    <x v="1"/>
    <s v="Improvement"/>
    <s v="OM-843"/>
    <s v="Eyeware Supplier PO Issue"/>
    <s v="Improvement"/>
    <x v="0"/>
    <d v="2015-04-27T12:09:00"/>
    <x v="0"/>
    <x v="0"/>
    <x v="8"/>
    <n v="0.5"/>
    <m/>
    <n v="141.1"/>
    <n v="24.900000000000002"/>
  </r>
  <r>
    <s v="Backend - OM"/>
    <x v="2"/>
    <s v="Improvement"/>
    <s v="OM-843"/>
    <s v="Eyeware Supplier PO Issue"/>
    <s v="Improvement"/>
    <x v="0"/>
    <d v="2015-04-27T12:10:00"/>
    <x v="0"/>
    <x v="0"/>
    <x v="9"/>
    <n v="2"/>
    <s v="test and release!"/>
    <n v="141.1"/>
    <n v="24.900000000000002"/>
  </r>
  <r>
    <s v="Backend - OM"/>
    <x v="2"/>
    <s v="Bug"/>
    <s v="OM-871"/>
    <s v="Reward system doesn't work properly"/>
    <s v="Bug"/>
    <x v="1"/>
    <d v="2015-04-15T18:35:00"/>
    <x v="0"/>
    <x v="0"/>
    <x v="12"/>
    <n v="1"/>
    <m/>
    <n v="141.1"/>
    <n v="24.900000000000002"/>
  </r>
  <r>
    <s v="Backend - OM"/>
    <x v="2"/>
    <s v="Bug"/>
    <s v="OM-885"/>
    <s v="Orders are not in any create po list"/>
    <s v="Bug"/>
    <x v="1"/>
    <d v="2015-05-19T15:29:00"/>
    <x v="1"/>
    <x v="0"/>
    <x v="12"/>
    <n v="1"/>
    <m/>
    <n v="141.1"/>
    <n v="24.900000000000002"/>
  </r>
  <r>
    <s v="Backend - OM"/>
    <x v="1"/>
    <s v="Bug"/>
    <s v="OM-893"/>
    <s v="Not print courier label"/>
    <s v="Bug"/>
    <x v="1"/>
    <d v="2015-04-22T11:08:00"/>
    <x v="0"/>
    <x v="0"/>
    <x v="8"/>
    <n v="0.5"/>
    <m/>
    <n v="141.1"/>
    <n v="24.900000000000002"/>
  </r>
  <r>
    <s v="Backend - OM"/>
    <x v="2"/>
    <s v="Bug"/>
    <s v="OM-893"/>
    <s v="Not print courier label"/>
    <s v="Bug"/>
    <x v="1"/>
    <d v="2015-04-22T11:31:00"/>
    <x v="0"/>
    <x v="0"/>
    <x v="9"/>
    <n v="2"/>
    <m/>
    <n v="141.1"/>
    <n v="24.900000000000002"/>
  </r>
  <r>
    <s v="Backend - OM"/>
    <x v="1"/>
    <s v="Bug"/>
    <s v="OM-941"/>
    <s v="Can not create a po for US0234546606G"/>
    <s v="Bug"/>
    <x v="1"/>
    <d v="2015-04-07T16:03:00"/>
    <x v="0"/>
    <x v="0"/>
    <x v="8"/>
    <n v="0.5"/>
    <m/>
    <n v="141.1"/>
    <n v="24.900000000000002"/>
  </r>
  <r>
    <s v="Backend - OM"/>
    <x v="2"/>
    <s v="Bug"/>
    <s v="OM-941"/>
    <s v="Can not create a po for US0234546606G"/>
    <s v="Bug"/>
    <x v="1"/>
    <d v="2015-04-15T11:00:00"/>
    <x v="0"/>
    <x v="0"/>
    <x v="12"/>
    <n v="2"/>
    <m/>
    <n v="141.1"/>
    <n v="24.900000000000002"/>
  </r>
  <r>
    <s v="Backend - OM"/>
    <x v="2"/>
    <s v="Bug"/>
    <s v="OM-985"/>
    <s v="Duplicate menus in order page"/>
    <s v="Bug"/>
    <x v="1"/>
    <d v="2015-04-08T16:12:00"/>
    <x v="0"/>
    <x v="0"/>
    <x v="12"/>
    <n v="1"/>
    <m/>
    <n v="141.1"/>
    <n v="24.900000000000002"/>
  </r>
  <r>
    <s v="Backend - OM"/>
    <x v="3"/>
    <s v="Bug"/>
    <s v="OM-985"/>
    <s v="Duplicate menus in order page"/>
    <s v="Bug"/>
    <x v="1"/>
    <d v="2015-04-08T16:21:00"/>
    <x v="0"/>
    <x v="0"/>
    <x v="3"/>
    <n v="0.33300000000000002"/>
    <m/>
    <n v="83"/>
    <n v="83"/>
  </r>
  <r>
    <s v="Backend - OM"/>
    <x v="2"/>
    <s v="Bug"/>
    <s v="OM-1035"/>
    <s v="Should delete web inventory after item is shipped"/>
    <s v="Bug"/>
    <x v="1"/>
    <d v="2015-04-17T11:27:00"/>
    <x v="0"/>
    <x v="0"/>
    <x v="12"/>
    <n v="4"/>
    <m/>
    <n v="141.1"/>
    <n v="24.900000000000002"/>
  </r>
  <r>
    <s v="Backend - OM"/>
    <x v="2"/>
    <s v="Bug"/>
    <s v="OM-1035"/>
    <s v="Should delete web inventory after item is shipped"/>
    <s v="Bug"/>
    <x v="1"/>
    <d v="2015-04-21T11:08:00"/>
    <x v="0"/>
    <x v="0"/>
    <x v="12"/>
    <n v="3.3000000000000002E-2"/>
    <m/>
    <n v="141.1"/>
    <n v="24.900000000000002"/>
  </r>
  <r>
    <s v="Backend - OM"/>
    <x v="3"/>
    <s v="Bug"/>
    <s v="OM-1067"/>
    <s v="Cannot create RX PO manually"/>
    <s v="Bug"/>
    <x v="1"/>
    <d v="2015-04-15T12:59:00"/>
    <x v="0"/>
    <x v="0"/>
    <x v="17"/>
    <n v="4"/>
    <s v="follow ticket"/>
    <n v="83"/>
    <n v="83"/>
  </r>
  <r>
    <s v="Backend - OM"/>
    <x v="3"/>
    <s v="Improvement"/>
    <s v="OM-1121"/>
    <s v="Daily Supply Chain / Warehouse Issues"/>
    <s v="Improvement"/>
    <x v="0"/>
    <d v="2015-05-14T12:50:00"/>
    <x v="1"/>
    <x v="0"/>
    <x v="3"/>
    <n v="0.5"/>
    <m/>
    <n v="83"/>
    <n v="83"/>
  </r>
  <r>
    <s v="Backend - OM"/>
    <x v="2"/>
    <s v="Improvement"/>
    <s v="OM-1121"/>
    <s v="Daily Supply Chain / Warehouse Issues"/>
    <s v="Improvement"/>
    <x v="0"/>
    <d v="2015-05-19T14:13:00"/>
    <x v="1"/>
    <x v="0"/>
    <x v="9"/>
    <n v="1"/>
    <m/>
    <n v="141.1"/>
    <n v="24.900000000000002"/>
  </r>
  <r>
    <s v="Backend - OM"/>
    <x v="2"/>
    <s v="Improvement"/>
    <s v="OM-1121"/>
    <s v="Daily Supply Chain / Warehouse Issues"/>
    <s v="Improvement"/>
    <x v="0"/>
    <d v="2015-05-19T16:19:00"/>
    <x v="1"/>
    <x v="0"/>
    <x v="12"/>
    <n v="2"/>
    <m/>
    <n v="141.1"/>
    <n v="24.900000000000002"/>
  </r>
  <r>
    <s v="Backend - OM"/>
    <x v="2"/>
    <s v="Improvement"/>
    <s v="OM-1121"/>
    <s v="Daily Supply Chain / Warehouse Issues"/>
    <s v="Improvement"/>
    <x v="0"/>
    <d v="2015-05-20T16:56:00"/>
    <x v="1"/>
    <x v="0"/>
    <x v="9"/>
    <n v="1"/>
    <m/>
    <n v="141.1"/>
    <n v="24.900000000000002"/>
  </r>
  <r>
    <s v="Backend - OM"/>
    <x v="2"/>
    <s v="Improvement"/>
    <s v="OM-1121"/>
    <s v="Daily Supply Chain / Warehouse Issues"/>
    <s v="Improvement"/>
    <x v="0"/>
    <d v="2015-05-21T15:18:00"/>
    <x v="1"/>
    <x v="0"/>
    <x v="9"/>
    <n v="1"/>
    <m/>
    <n v="141.1"/>
    <n v="24.900000000000002"/>
  </r>
  <r>
    <s v="Backend - OM"/>
    <x v="2"/>
    <s v="Improvement"/>
    <s v="OM-1121"/>
    <s v="Daily Supply Chain / Warehouse Issues"/>
    <s v="Improvement"/>
    <x v="0"/>
    <d v="2015-05-22T12:28:00"/>
    <x v="1"/>
    <x v="0"/>
    <x v="12"/>
    <n v="1"/>
    <m/>
    <n v="141.1"/>
    <n v="24.900000000000002"/>
  </r>
  <r>
    <s v="Backend - OM"/>
    <x v="3"/>
    <s v="Improvement"/>
    <s v="OM-1121"/>
    <s v="Daily Supply Chain / Warehouse Issues"/>
    <s v="Improvement"/>
    <x v="0"/>
    <d v="2015-05-22T12:43:00"/>
    <x v="1"/>
    <x v="0"/>
    <x v="3"/>
    <n v="0.5"/>
    <m/>
    <n v="83"/>
    <n v="83"/>
  </r>
  <r>
    <s v="Backend - OM"/>
    <x v="2"/>
    <s v="Improvement"/>
    <s v="OM-1121"/>
    <s v="Daily Supply Chain / Warehouse Issues"/>
    <s v="Improvement"/>
    <x v="0"/>
    <d v="2015-05-25T15:49:00"/>
    <x v="1"/>
    <x v="0"/>
    <x v="12"/>
    <n v="8"/>
    <m/>
    <n v="141.1"/>
    <n v="24.900000000000002"/>
  </r>
  <r>
    <s v="Backend - OM"/>
    <x v="2"/>
    <s v="Improvement"/>
    <s v="OM-1121"/>
    <s v="Daily Supply Chain / Warehouse Issues"/>
    <s v="Improvement"/>
    <x v="0"/>
    <d v="2015-05-26T15:49:00"/>
    <x v="1"/>
    <x v="0"/>
    <x v="12"/>
    <n v="7"/>
    <m/>
    <n v="141.1"/>
    <n v="24.900000000000002"/>
  </r>
  <r>
    <s v="Backend - OM"/>
    <x v="2"/>
    <s v="Improvement"/>
    <s v="OM-1121"/>
    <s v="Daily Supply Chain / Warehouse Issues"/>
    <s v="Improvement"/>
    <x v="0"/>
    <d v="2015-05-28T15:45:00"/>
    <x v="1"/>
    <x v="0"/>
    <x v="12"/>
    <n v="2"/>
    <m/>
    <n v="141.1"/>
    <n v="24.900000000000002"/>
  </r>
  <r>
    <s v="Backend - OM"/>
    <x v="2"/>
    <s v="Improvement"/>
    <s v="OM-1121"/>
    <s v="Daily Supply Chain / Warehouse Issues"/>
    <s v="Improvement"/>
    <x v="0"/>
    <d v="2015-05-29T15:45:00"/>
    <x v="1"/>
    <x v="0"/>
    <x v="12"/>
    <n v="2"/>
    <m/>
    <n v="141.1"/>
    <n v="24.900000000000002"/>
  </r>
  <r>
    <s v="Backend - OM"/>
    <x v="2"/>
    <s v="Improvement"/>
    <s v="OM-1121"/>
    <s v="Daily Supply Chain / Warehouse Issues"/>
    <s v="Improvement"/>
    <x v="0"/>
    <d v="2015-05-29T18:52:00"/>
    <x v="1"/>
    <x v="0"/>
    <x v="9"/>
    <n v="1"/>
    <m/>
    <n v="141.1"/>
    <n v="24.900000000000002"/>
  </r>
  <r>
    <s v="Backend - OM"/>
    <x v="2"/>
    <s v="Bug"/>
    <s v="OM-1170"/>
    <s v="Referral email sending every few minutes"/>
    <s v="Bug"/>
    <x v="1"/>
    <d v="2015-04-24T15:05:00"/>
    <x v="0"/>
    <x v="0"/>
    <x v="12"/>
    <n v="1"/>
    <m/>
    <n v="141.1"/>
    <n v="24.900000000000002"/>
  </r>
  <r>
    <s v="Backend - OM"/>
    <x v="2"/>
    <s v="Bug"/>
    <s v="OM-1170"/>
    <s v="Referral email sending every few minutes"/>
    <s v="Bug"/>
    <x v="1"/>
    <d v="2015-04-24T17:51:00"/>
    <x v="0"/>
    <x v="0"/>
    <x v="2"/>
    <n v="2"/>
    <s v="It's sbg_gift_voucher table double records bug"/>
    <n v="141.1"/>
    <n v="24.900000000000002"/>
  </r>
  <r>
    <s v="Backend - OM"/>
    <x v="2"/>
    <s v="Bug"/>
    <s v="OM-1190"/>
    <s v="semi rimless, suggest full rim which is incorrect"/>
    <s v="Bug"/>
    <x v="1"/>
    <d v="2015-04-28T16:26:00"/>
    <x v="0"/>
    <x v="0"/>
    <x v="9"/>
    <n v="1"/>
    <m/>
    <n v="141.1"/>
    <n v="24.900000000000002"/>
  </r>
  <r>
    <s v="Backend - OM"/>
    <x v="2"/>
    <s v="Bug"/>
    <s v="OM-1204"/>
    <s v="plx change to shipped"/>
    <s v="Bug"/>
    <x v="1"/>
    <d v="2015-05-26T17:42:00"/>
    <x v="1"/>
    <x v="0"/>
    <x v="12"/>
    <n v="1"/>
    <m/>
    <n v="141.1"/>
    <n v="24.900000000000002"/>
  </r>
  <r>
    <s v="Backend - OM"/>
    <x v="3"/>
    <s v="Bug"/>
    <s v="OM-1262"/>
    <s v="US0236278606G gose to wrong supplier PO"/>
    <s v="Bug"/>
    <x v="1"/>
    <d v="2015-04-21T09:30:00"/>
    <x v="0"/>
    <x v="0"/>
    <x v="17"/>
    <n v="2"/>
    <m/>
    <n v="83"/>
    <n v="83"/>
  </r>
  <r>
    <s v="Backend - OM"/>
    <x v="2"/>
    <s v="Bug"/>
    <s v="OM-1262"/>
    <s v="US0236278606G gose to wrong supplier PO"/>
    <s v="Bug"/>
    <x v="1"/>
    <d v="2015-04-27T11:10:00"/>
    <x v="0"/>
    <x v="0"/>
    <x v="12"/>
    <n v="8"/>
    <m/>
    <n v="141.1"/>
    <n v="24.900000000000002"/>
  </r>
  <r>
    <s v="Backend - OM"/>
    <x v="2"/>
    <s v="Bug"/>
    <s v="OM-1274"/>
    <s v="Manifest detail has multiple quantities"/>
    <s v="Bug"/>
    <x v="1"/>
    <d v="2015-05-05T12:19:00"/>
    <x v="1"/>
    <x v="0"/>
    <x v="9"/>
    <n v="1.5"/>
    <m/>
    <n v="141.1"/>
    <n v="24.900000000000002"/>
  </r>
  <r>
    <s v="Backend - OM"/>
    <x v="1"/>
    <s v="Bug"/>
    <s v="OM-1274"/>
    <s v="Manifest detail has multiple quantities"/>
    <s v="Bug"/>
    <x v="1"/>
    <d v="2015-05-05T12:24:00"/>
    <x v="1"/>
    <x v="0"/>
    <x v="8"/>
    <n v="0.5"/>
    <m/>
    <n v="141.1"/>
    <n v="24.900000000000002"/>
  </r>
  <r>
    <s v="Backend - OM"/>
    <x v="2"/>
    <s v="Task"/>
    <s v="OM-1329"/>
    <s v="VD4462662217REX can not receive returns"/>
    <s v="Task"/>
    <x v="0"/>
    <d v="2015-05-15T18:21:00"/>
    <x v="1"/>
    <x v="0"/>
    <x v="9"/>
    <n v="1"/>
    <m/>
    <n v="141.1"/>
    <n v="24.900000000000002"/>
  </r>
  <r>
    <s v="Backend - OM"/>
    <x v="2"/>
    <s v="Task"/>
    <s v="OM-1523"/>
    <s v="Add the export PO button and templete for new suppliers(Woodys/Julbo)"/>
    <s v="Task"/>
    <x v="0"/>
    <d v="2015-05-27T12:24:00"/>
    <x v="1"/>
    <x v="0"/>
    <x v="12"/>
    <n v="0.5"/>
    <m/>
    <n v="141.1"/>
    <n v="24.900000000000002"/>
  </r>
  <r>
    <s v="Backend - OM"/>
    <x v="2"/>
    <s v="Improvement"/>
    <s v="OM-1563"/>
    <s v="Daily tasks"/>
    <s v="Improvement"/>
    <x v="0"/>
    <d v="2015-04-13T17:46:00"/>
    <x v="0"/>
    <x v="0"/>
    <x v="9"/>
    <n v="2.5"/>
    <s v="Data Matching 文档整理"/>
    <n v="141.1"/>
    <n v="24.900000000000002"/>
  </r>
  <r>
    <s v="Backend - OM"/>
    <x v="2"/>
    <s v="Improvement"/>
    <s v="OM-1563"/>
    <s v="Daily tasks"/>
    <s v="Improvement"/>
    <x v="0"/>
    <d v="2015-04-15T18:37:00"/>
    <x v="0"/>
    <x v="0"/>
    <x v="9"/>
    <n v="2"/>
    <s v="help Alexis install PHP envirment."/>
    <n v="141.1"/>
    <n v="24.900000000000002"/>
  </r>
  <r>
    <s v="Backend - OM"/>
    <x v="2"/>
    <s v="Improvement"/>
    <s v="OM-1563"/>
    <s v="Daily tasks"/>
    <s v="Improvement"/>
    <x v="0"/>
    <d v="2015-04-16T18:35:00"/>
    <x v="0"/>
    <x v="0"/>
    <x v="9"/>
    <n v="1.5"/>
    <s v="Training email crontab function with Emily!"/>
    <n v="141.1"/>
    <n v="24.900000000000002"/>
  </r>
  <r>
    <s v="Backend - OM"/>
    <x v="2"/>
    <s v="Improvement"/>
    <s v="OM-1563"/>
    <s v="Daily tasks"/>
    <s v="Improvement"/>
    <x v="0"/>
    <d v="2015-04-17T17:57:00"/>
    <x v="0"/>
    <x v="0"/>
    <x v="9"/>
    <n v="1"/>
    <s v="merchandise department meetting..."/>
    <n v="141.1"/>
    <n v="24.900000000000002"/>
  </r>
  <r>
    <s v="Backend - OM"/>
    <x v="2"/>
    <s v="Improvement"/>
    <s v="OM-1563"/>
    <s v="Daily tasks"/>
    <s v="Improvement"/>
    <x v="0"/>
    <d v="2015-04-20T16:57:00"/>
    <x v="0"/>
    <x v="0"/>
    <x v="9"/>
    <n v="1.5"/>
    <s v="整理ticket"/>
    <n v="141.1"/>
    <n v="24.900000000000002"/>
  </r>
  <r>
    <s v="Backend - OM"/>
    <x v="2"/>
    <s v="Improvement"/>
    <s v="OM-1563"/>
    <s v="Daily tasks"/>
    <s v="Improvement"/>
    <x v="0"/>
    <d v="2015-05-08T18:31:00"/>
    <x v="1"/>
    <x v="0"/>
    <x v="9"/>
    <n v="2"/>
    <s v="MY0370209502G 这个issue客人付的是USD，金额是89.08，但是om的金额是对的，货币确实马来西亚的. 讨论这个问题。"/>
    <n v="141.1"/>
    <n v="24.900000000000002"/>
  </r>
  <r>
    <s v="Backend - OM"/>
    <x v="2"/>
    <s v="Improvement"/>
    <s v="OM-1563"/>
    <s v="Daily tasks"/>
    <s v="Improvement"/>
    <x v="0"/>
    <d v="2015-05-18T15:29:00"/>
    <x v="1"/>
    <x v="0"/>
    <x v="9"/>
    <n v="1"/>
    <s v="department meeting..."/>
    <n v="141.1"/>
    <n v="24.900000000000002"/>
  </r>
  <r>
    <s v="Backend - OM"/>
    <x v="2"/>
    <s v="Improvement"/>
    <s v="OM-1563"/>
    <s v="Daily tasks"/>
    <s v="Improvement"/>
    <x v="0"/>
    <d v="2015-05-25T10:23:00"/>
    <x v="1"/>
    <x v="0"/>
    <x v="9"/>
    <n v="2"/>
    <s v="meeting..."/>
    <n v="141.1"/>
    <n v="24.900000000000002"/>
  </r>
  <r>
    <s v="Backend - OM"/>
    <x v="2"/>
    <s v="Improvement"/>
    <s v="OM-1563"/>
    <s v="Daily tasks"/>
    <s v="Improvement"/>
    <x v="0"/>
    <d v="2015-05-28T19:03:00"/>
    <x v="1"/>
    <x v="0"/>
    <x v="9"/>
    <n v="1.5"/>
    <s v="help francesca export some report. -- &quot;hi, can you help us to find a report in om to download all the rx already received, received and ship and still to be received?&quot; SELECT * FROM `s_ship_manifest_item` WHERE shipping_time&gt;'2015-05-18' LIMIT 3000; SELECT * FROM `s_rx_log` WHERE operate_time&gt;'2015-05-18' AND operate_type=&quot;receive&quot;; SELECT a.*,b.`item_status` FROM `s_rx_log` AS a LEFT JOIN s_order_item AS b ON a.`order_item_id`=b.`id` WHERE a.operate_time&gt;'2015-05-18' AND a.operate_type=&quot;receive&quot; AND b.`item_status`!='21';"/>
    <n v="141.1"/>
    <n v="24.900000000000002"/>
  </r>
  <r>
    <s v="Backend - OM"/>
    <x v="2"/>
    <s v="Task"/>
    <s v="OM-1629"/>
    <s v="Please help to add one supplier for contactlenses"/>
    <s v="Task"/>
    <x v="0"/>
    <d v="2015-05-25T15:14:00"/>
    <x v="1"/>
    <x v="0"/>
    <x v="16"/>
    <n v="2"/>
    <m/>
    <n v="141.1"/>
    <n v="24.900000000000002"/>
  </r>
  <r>
    <s v="Backend - OM"/>
    <x v="2"/>
    <s v="Task"/>
    <s v="OM-1629"/>
    <s v="Please help to add one supplier for contactlenses"/>
    <s v="Task"/>
    <x v="0"/>
    <d v="2015-05-27T12:24:00"/>
    <x v="1"/>
    <x v="0"/>
    <x v="12"/>
    <n v="0.5"/>
    <m/>
    <n v="141.1"/>
    <n v="24.900000000000002"/>
  </r>
  <r>
    <s v="Backend - OM"/>
    <x v="2"/>
    <s v="Task"/>
    <s v="OM-1636"/>
    <s v="contact sight orders into same PO twice"/>
    <s v="Task"/>
    <x v="0"/>
    <d v="2015-05-21T18:03:00"/>
    <x v="1"/>
    <x v="0"/>
    <x v="12"/>
    <n v="4"/>
    <m/>
    <n v="141.1"/>
    <n v="24.900000000000002"/>
  </r>
  <r>
    <s v="Backend - OM"/>
    <x v="2"/>
    <s v="Task"/>
    <s v="OM-1640"/>
    <s v="Blance due issue--customer paid, but still waiting for payment"/>
    <s v="Task"/>
    <x v="0"/>
    <d v="2015-04-27T14:23:00"/>
    <x v="0"/>
    <x v="0"/>
    <x v="9"/>
    <n v="1"/>
    <m/>
    <n v="141.1"/>
    <n v="24.900000000000002"/>
  </r>
  <r>
    <s v="Backend - OM"/>
    <x v="2"/>
    <s v="Task"/>
    <s v="OM-1640"/>
    <s v="Blance due issue--customer paid, but still waiting for payment"/>
    <s v="Task"/>
    <x v="0"/>
    <d v="2015-05-04T17:09:00"/>
    <x v="1"/>
    <x v="0"/>
    <x v="9"/>
    <n v="3"/>
    <m/>
    <n v="141.1"/>
    <n v="24.900000000000002"/>
  </r>
  <r>
    <s v="Backend - OM"/>
    <x v="2"/>
    <s v="Task"/>
    <s v="OM-1640"/>
    <s v="Blance due issue--customer paid, but still waiting for payment"/>
    <s v="Task"/>
    <x v="0"/>
    <d v="2015-05-04T18:37:00"/>
    <x v="1"/>
    <x v="0"/>
    <x v="9"/>
    <n v="1"/>
    <m/>
    <n v="141.1"/>
    <n v="24.900000000000002"/>
  </r>
  <r>
    <s v="Backend - OM"/>
    <x v="2"/>
    <s v="New Feature"/>
    <s v="OM-2021"/>
    <s v="Add permissions of Export order and export rma button"/>
    <s v="New Feature"/>
    <x v="0"/>
    <d v="2015-04-01T15:24:00"/>
    <x v="0"/>
    <x v="0"/>
    <x v="12"/>
    <n v="4"/>
    <m/>
    <n v="141.1"/>
    <n v="24.900000000000002"/>
  </r>
  <r>
    <s v="Backend - OM"/>
    <x v="2"/>
    <s v="New Feature"/>
    <s v="OM-2024"/>
    <s v="Searching criteria is not included if clicking page XX in &quot;View Manifest&quot; page"/>
    <s v="New Feature"/>
    <x v="0"/>
    <d v="2015-04-09T15:42:00"/>
    <x v="0"/>
    <x v="0"/>
    <x v="16"/>
    <n v="6"/>
    <m/>
    <n v="141.1"/>
    <n v="24.900000000000002"/>
  </r>
  <r>
    <s v="Backend - OM"/>
    <x v="2"/>
    <s v="New Feature"/>
    <s v="OM-2024"/>
    <s v="Searching criteria is not included if clicking page XX in &quot;View Manifest&quot; page"/>
    <s v="New Feature"/>
    <x v="0"/>
    <d v="2015-04-14T10:35:00"/>
    <x v="0"/>
    <x v="0"/>
    <x v="16"/>
    <n v="8"/>
    <m/>
    <n v="141.1"/>
    <n v="24.900000000000002"/>
  </r>
  <r>
    <s v="Backend - OM"/>
    <x v="2"/>
    <s v="New Feature"/>
    <s v="OM-2058"/>
    <s v="OM Changes"/>
    <s v="New Feature"/>
    <x v="0"/>
    <d v="2015-04-16T16:58:00"/>
    <x v="0"/>
    <x v="0"/>
    <x v="12"/>
    <n v="2"/>
    <m/>
    <n v="141.1"/>
    <n v="24.900000000000002"/>
  </r>
  <r>
    <s v="Backend - OM"/>
    <x v="2"/>
    <s v="New Feature"/>
    <s v="OM-2058"/>
    <s v="OM Changes"/>
    <s v="New Feature"/>
    <x v="0"/>
    <d v="2015-04-19T15:03:00"/>
    <x v="0"/>
    <x v="0"/>
    <x v="12"/>
    <n v="24"/>
    <m/>
    <n v="141.1"/>
    <n v="24.900000000000002"/>
  </r>
  <r>
    <s v="Backend - OM"/>
    <x v="1"/>
    <s v="Improvement"/>
    <s v="OM-2138"/>
    <s v="Add timestamp column to key business module"/>
    <s v="Improvement"/>
    <x v="0"/>
    <d v="2015-04-20T18:11:00"/>
    <x v="0"/>
    <x v="0"/>
    <x v="8"/>
    <n v="0.5"/>
    <m/>
    <n v="141.1"/>
    <n v="24.900000000000002"/>
  </r>
  <r>
    <s v="Backend - OM"/>
    <x v="2"/>
    <s v="Improvement"/>
    <s v="OM-2138"/>
    <s v="Add timestamp column to key business module"/>
    <s v="Improvement"/>
    <x v="0"/>
    <d v="2015-04-20T18:47:00"/>
    <x v="0"/>
    <x v="0"/>
    <x v="9"/>
    <n v="1.5"/>
    <m/>
    <n v="141.1"/>
    <n v="24.900000000000002"/>
  </r>
  <r>
    <s v="Backend - OM"/>
    <x v="1"/>
    <s v="Improvement"/>
    <s v="OM-2138"/>
    <s v="Add timestamp column to key business module"/>
    <s v="Improvement"/>
    <x v="0"/>
    <d v="2015-04-21T18:23:00"/>
    <x v="0"/>
    <x v="0"/>
    <x v="8"/>
    <n v="3"/>
    <m/>
    <n v="141.1"/>
    <n v="24.900000000000002"/>
  </r>
  <r>
    <s v="Backend - OM"/>
    <x v="2"/>
    <s v="Improvement"/>
    <s v="OM-2138"/>
    <s v="Add timestamp column to key business module"/>
    <s v="Improvement"/>
    <x v="0"/>
    <d v="2015-04-21T18:31:00"/>
    <x v="0"/>
    <x v="0"/>
    <x v="9"/>
    <n v="1.5"/>
    <m/>
    <n v="141.1"/>
    <n v="24.900000000000002"/>
  </r>
  <r>
    <s v="Backend - OM"/>
    <x v="1"/>
    <s v="Improvement"/>
    <s v="OM-2138"/>
    <s v="Add timestamp column to key business module"/>
    <s v="Improvement"/>
    <x v="0"/>
    <d v="2015-04-22T17:53:00"/>
    <x v="0"/>
    <x v="0"/>
    <x v="8"/>
    <n v="4"/>
    <m/>
    <n v="141.1"/>
    <n v="24.900000000000002"/>
  </r>
  <r>
    <s v="Backend - OM"/>
    <x v="2"/>
    <s v="Improvement"/>
    <s v="OM-2138"/>
    <s v="Add timestamp column to key business module"/>
    <s v="Improvement"/>
    <x v="0"/>
    <d v="2015-04-22T18:33:00"/>
    <x v="0"/>
    <x v="0"/>
    <x v="9"/>
    <n v="1"/>
    <m/>
    <n v="141.1"/>
    <n v="24.900000000000002"/>
  </r>
  <r>
    <s v="Backend - OM"/>
    <x v="2"/>
    <s v="Improvement"/>
    <s v="OM-2138"/>
    <s v="Add timestamp column to key business module"/>
    <s v="Improvement"/>
    <x v="0"/>
    <d v="2015-04-23T17:04:00"/>
    <x v="0"/>
    <x v="0"/>
    <x v="9"/>
    <n v="1"/>
    <m/>
    <n v="141.1"/>
    <n v="24.900000000000002"/>
  </r>
  <r>
    <s v="Backend - OM"/>
    <x v="1"/>
    <s v="Improvement"/>
    <s v="OM-2138"/>
    <s v="Add timestamp column to key business module"/>
    <s v="Improvement"/>
    <x v="0"/>
    <d v="2015-04-23T17:05:00"/>
    <x v="0"/>
    <x v="0"/>
    <x v="8"/>
    <n v="2.5"/>
    <m/>
    <n v="141.1"/>
    <n v="24.900000000000002"/>
  </r>
  <r>
    <s v="Backend - OM"/>
    <x v="1"/>
    <s v="Improvement"/>
    <s v="OM-2179"/>
    <s v="HK CN Shipment - (Declare value change to USD125 ); UK/IT Declare value change to 20usd-25usd"/>
    <s v="Improvement"/>
    <x v="0"/>
    <d v="2015-04-17T16:47:00"/>
    <x v="0"/>
    <x v="0"/>
    <x v="8"/>
    <n v="0.5"/>
    <m/>
    <n v="141.1"/>
    <n v="24.900000000000002"/>
  </r>
  <r>
    <s v="Backend - OM"/>
    <x v="2"/>
    <s v="Improvement"/>
    <s v="OM-2179"/>
    <s v="HK CN Shipment - (Declare value change to USD125 ); UK/IT Declare value change to 20usd-25usd"/>
    <s v="Improvement"/>
    <x v="0"/>
    <d v="2015-04-17T17:52:00"/>
    <x v="0"/>
    <x v="0"/>
    <x v="9"/>
    <n v="1"/>
    <s v="request 4 线上文件被覆盖,整理文件并测试request 4."/>
    <n v="141.1"/>
    <n v="24.900000000000002"/>
  </r>
  <r>
    <s v="SBG Quality Assurance"/>
    <x v="1"/>
    <s v="Task"/>
    <s v="QA-174"/>
    <s v="Work Log 2014 December Candy Gan"/>
    <s v="Task"/>
    <x v="0"/>
    <d v="2015-04-27T11:48:00"/>
    <x v="0"/>
    <x v="0"/>
    <x v="1"/>
    <n v="1"/>
    <m/>
    <n v="141.1"/>
    <n v="24.900000000000002"/>
  </r>
  <r>
    <s v="SBG Quality Assurance"/>
    <x v="1"/>
    <s v="Task"/>
    <s v="QA-180"/>
    <s v="Work Log 2015 Candy Gan"/>
    <s v="Task"/>
    <x v="0"/>
    <d v="2015-04-03T11:52:00"/>
    <x v="0"/>
    <x v="0"/>
    <x v="1"/>
    <n v="1"/>
    <m/>
    <n v="141.1"/>
    <n v="24.900000000000002"/>
  </r>
  <r>
    <s v="SBG Quality Assurance"/>
    <x v="1"/>
    <s v="Task"/>
    <s v="QA-180"/>
    <s v="Work Log 2015 Candy Gan"/>
    <s v="Task"/>
    <x v="0"/>
    <d v="2015-04-06T10:45:00"/>
    <x v="0"/>
    <x v="0"/>
    <x v="1"/>
    <n v="8"/>
    <m/>
    <n v="141.1"/>
    <n v="24.900000000000002"/>
  </r>
  <r>
    <s v="SBG Quality Assurance"/>
    <x v="1"/>
    <s v="Task"/>
    <s v="QA-180"/>
    <s v="Work Log 2015 Candy Gan"/>
    <s v="Task"/>
    <x v="0"/>
    <d v="2015-04-14T17:24:00"/>
    <x v="0"/>
    <x v="0"/>
    <x v="1"/>
    <n v="2.5"/>
    <m/>
    <n v="141.1"/>
    <n v="24.900000000000002"/>
  </r>
  <r>
    <s v="SBG Quality Assurance"/>
    <x v="1"/>
    <s v="Task"/>
    <s v="QA-180"/>
    <s v="Work Log 2015 Candy Gan"/>
    <s v="Task"/>
    <x v="0"/>
    <d v="2015-04-21T10:40:00"/>
    <x v="0"/>
    <x v="0"/>
    <x v="1"/>
    <n v="1"/>
    <m/>
    <n v="141.1"/>
    <n v="24.900000000000002"/>
  </r>
  <r>
    <s v="SBG Quality Assurance"/>
    <x v="1"/>
    <s v="Task"/>
    <s v="QA-180"/>
    <s v="Work Log 2015 Candy Gan"/>
    <s v="Task"/>
    <x v="0"/>
    <d v="2015-04-24T18:58:00"/>
    <x v="0"/>
    <x v="0"/>
    <x v="1"/>
    <n v="4"/>
    <s v="work log"/>
    <n v="141.1"/>
    <n v="24.900000000000002"/>
  </r>
  <r>
    <s v="SBG Quality Assurance"/>
    <x v="1"/>
    <s v="Task"/>
    <s v="QA-180"/>
    <s v="Work Log 2015 Candy Gan"/>
    <s v="Task"/>
    <x v="0"/>
    <d v="2015-04-27T10:46:00"/>
    <x v="0"/>
    <x v="0"/>
    <x v="1"/>
    <n v="3"/>
    <m/>
    <n v="141.1"/>
    <n v="24.900000000000002"/>
  </r>
  <r>
    <s v="SBG Quality Assurance"/>
    <x v="1"/>
    <s v="Task"/>
    <s v="QA-180"/>
    <s v="Work Log 2015 Candy Gan"/>
    <s v="Task"/>
    <x v="0"/>
    <d v="2015-04-28T17:21:00"/>
    <x v="0"/>
    <x v="0"/>
    <x v="1"/>
    <n v="2"/>
    <m/>
    <n v="141.1"/>
    <n v="24.900000000000002"/>
  </r>
  <r>
    <s v="SBG Quality Assurance"/>
    <x v="1"/>
    <s v="Task"/>
    <s v="QA-180"/>
    <s v="Work Log 2015 Candy Gan"/>
    <s v="Task"/>
    <x v="0"/>
    <d v="2015-05-18T18:18:00"/>
    <x v="1"/>
    <x v="0"/>
    <x v="1"/>
    <n v="1.5"/>
    <m/>
    <n v="141.1"/>
    <n v="24.900000000000002"/>
  </r>
  <r>
    <s v="SBG Quality Assurance"/>
    <x v="1"/>
    <s v="Task"/>
    <s v="QA-180"/>
    <s v="Work Log 2015 Candy Gan"/>
    <s v="Task"/>
    <x v="0"/>
    <d v="2015-05-18T18:21:00"/>
    <x v="1"/>
    <x v="0"/>
    <x v="1"/>
    <n v="1.5"/>
    <m/>
    <n v="141.1"/>
    <n v="24.900000000000002"/>
  </r>
  <r>
    <s v="SBG Quality Assurance"/>
    <x v="1"/>
    <s v="Task"/>
    <s v="QA-180"/>
    <s v="Work Log 2015 Candy Gan"/>
    <s v="Task"/>
    <x v="0"/>
    <d v="2015-05-20T18:42:00"/>
    <x v="1"/>
    <x v="0"/>
    <x v="1"/>
    <n v="0.5"/>
    <m/>
    <n v="141.1"/>
    <n v="24.900000000000002"/>
  </r>
  <r>
    <s v="SBG Quality Assurance"/>
    <x v="1"/>
    <s v="Task"/>
    <s v="QA-180"/>
    <s v="Work Log 2015 Candy Gan"/>
    <s v="Task"/>
    <x v="0"/>
    <d v="2015-05-25T18:29:00"/>
    <x v="1"/>
    <x v="0"/>
    <x v="1"/>
    <n v="1"/>
    <m/>
    <n v="141.1"/>
    <n v="24.900000000000002"/>
  </r>
  <r>
    <s v="SBG Quality Assurance"/>
    <x v="1"/>
    <s v="Task"/>
    <s v="QA-180"/>
    <s v="Work Log 2015 Candy Gan"/>
    <s v="Task"/>
    <x v="0"/>
    <d v="2015-05-27T20:00:00"/>
    <x v="1"/>
    <x v="0"/>
    <x v="1"/>
    <n v="2"/>
    <m/>
    <n v="141.1"/>
    <n v="24.900000000000002"/>
  </r>
  <r>
    <s v="SBG Quality Assurance"/>
    <x v="1"/>
    <s v="Task"/>
    <s v="QA-180"/>
    <s v="Work Log 2015 Candy Gan"/>
    <s v="Task"/>
    <x v="0"/>
    <d v="2015-05-29T20:01:00"/>
    <x v="1"/>
    <x v="0"/>
    <x v="1"/>
    <n v="1"/>
    <m/>
    <n v="141.1"/>
    <n v="24.900000000000002"/>
  </r>
  <r>
    <s v="SBG Quality Assurance"/>
    <x v="1"/>
    <s v="Task"/>
    <s v="QA-196"/>
    <s v="work log 2015"/>
    <s v="Task"/>
    <x v="0"/>
    <d v="2015-04-01T18:44:00"/>
    <x v="0"/>
    <x v="0"/>
    <x v="8"/>
    <n v="2"/>
    <s v="1.test case writing 2.other things"/>
    <n v="141.1"/>
    <n v="24.900000000000002"/>
  </r>
  <r>
    <s v="SBG Quality Assurance"/>
    <x v="1"/>
    <s v="Task"/>
    <s v="QA-196"/>
    <s v="work log 2015"/>
    <s v="Task"/>
    <x v="0"/>
    <d v="2015-04-03T18:35:00"/>
    <x v="0"/>
    <x v="0"/>
    <x v="8"/>
    <n v="4.5"/>
    <s v="1.meeting (1.5h) 2.discuss with Samuel and Chengye Wang (1h) 3.test case writing"/>
    <n v="141.1"/>
    <n v="24.900000000000002"/>
  </r>
  <r>
    <s v="SBG Quality Assurance"/>
    <x v="1"/>
    <s v="Task"/>
    <s v="QA-196"/>
    <s v="work log 2015"/>
    <s v="Task"/>
    <x v="0"/>
    <d v="2015-04-07T18:30:00"/>
    <x v="0"/>
    <x v="0"/>
    <x v="8"/>
    <n v="2"/>
    <s v="1.regression testing 2.create SB-5095"/>
    <n v="141.1"/>
    <n v="24.900000000000002"/>
  </r>
  <r>
    <s v="SBG Quality Assurance"/>
    <x v="1"/>
    <s v="Task"/>
    <s v="QA-196"/>
    <s v="work log 2015"/>
    <s v="Task"/>
    <x v="0"/>
    <d v="2015-04-09T18:50:00"/>
    <x v="0"/>
    <x v="0"/>
    <x v="8"/>
    <n v="0.5"/>
    <s v="meeting"/>
    <n v="141.1"/>
    <n v="24.900000000000002"/>
  </r>
  <r>
    <s v="SBG Quality Assurance"/>
    <x v="1"/>
    <s v="Task"/>
    <s v="QA-196"/>
    <s v="work log 2015"/>
    <s v="Task"/>
    <x v="0"/>
    <d v="2015-04-10T18:31:00"/>
    <x v="0"/>
    <x v="0"/>
    <x v="8"/>
    <n v="2"/>
    <s v="1.test case writing 2.other things"/>
    <n v="141.1"/>
    <n v="24.900000000000002"/>
  </r>
  <r>
    <s v="SBG Quality Assurance"/>
    <x v="1"/>
    <s v="Task"/>
    <s v="QA-196"/>
    <s v="work log 2015"/>
    <s v="Task"/>
    <x v="0"/>
    <d v="2015-04-13T18:31:00"/>
    <x v="0"/>
    <x v="0"/>
    <x v="8"/>
    <n v="2.5"/>
    <s v="1.test new visa card 2.test case writing 3.other things"/>
    <n v="141.1"/>
    <n v="24.900000000000002"/>
  </r>
  <r>
    <s v="SBG Quality Assurance"/>
    <x v="1"/>
    <s v="Task"/>
    <s v="QA-196"/>
    <s v="work log 2015"/>
    <s v="Task"/>
    <x v="0"/>
    <d v="2015-04-14T18:33:00"/>
    <x v="0"/>
    <x v="0"/>
    <x v="8"/>
    <n v="8"/>
    <s v="1.OM training 2.test case writing 3.other things"/>
    <n v="141.1"/>
    <n v="24.900000000000002"/>
  </r>
  <r>
    <s v="SBG Quality Assurance"/>
    <x v="1"/>
    <s v="Task"/>
    <s v="QA-196"/>
    <s v="work log 2015"/>
    <s v="Task"/>
    <x v="0"/>
    <d v="2015-04-15T18:31:00"/>
    <x v="0"/>
    <x v="0"/>
    <x v="8"/>
    <n v="2"/>
    <s v="1.build up local environment 2.test case writing and testlink debug"/>
    <n v="141.1"/>
    <n v="24.900000000000002"/>
  </r>
  <r>
    <s v="SBG Quality Assurance"/>
    <x v="1"/>
    <s v="Task"/>
    <s v="QA-196"/>
    <s v="work log 2015"/>
    <s v="Task"/>
    <x v="0"/>
    <d v="2015-04-16T18:30:00"/>
    <x v="0"/>
    <x v="0"/>
    <x v="8"/>
    <n v="3.5"/>
    <s v="1.test case writing 2.computer dead and maintenance"/>
    <n v="141.1"/>
    <n v="24.900000000000002"/>
  </r>
  <r>
    <s v="SBG Quality Assurance"/>
    <x v="1"/>
    <s v="Task"/>
    <s v="QA-196"/>
    <s v="work log 2015"/>
    <s v="Task"/>
    <x v="0"/>
    <d v="2015-04-17T18:30:00"/>
    <x v="0"/>
    <x v="0"/>
    <x v="8"/>
    <n v="5.5"/>
    <s v="1.MC training (1h) 2.OD-1285 3.help CS and MC check contact lens (1h) 4.test case writing (2.5h) 5.other things"/>
    <n v="141.1"/>
    <n v="24.900000000000002"/>
  </r>
  <r>
    <s v="SBG Quality Assurance"/>
    <x v="1"/>
    <s v="Task"/>
    <s v="QA-196"/>
    <s v="work log 2015"/>
    <s v="Task"/>
    <x v="0"/>
    <d v="2015-04-20T18:34:00"/>
    <x v="0"/>
    <x v="0"/>
    <x v="8"/>
    <n v="4"/>
    <s v="1.talk with Arum about CN requirement (0.5h) 2.OD-1328 (0.5h) 3.test case writing (2.5h) 4.other things"/>
    <n v="141.1"/>
    <n v="24.900000000000002"/>
  </r>
  <r>
    <s v="SBG Quality Assurance"/>
    <x v="1"/>
    <s v="Task"/>
    <s v="QA-196"/>
    <s v="work log 2015"/>
    <s v="Task"/>
    <x v="0"/>
    <d v="2015-04-21T18:37:00"/>
    <x v="0"/>
    <x v="0"/>
    <x v="8"/>
    <n v="4.5"/>
    <s v="1.OD-1285 2.IT meeting (1h) 3.test case writing (2.5h) 4.other things"/>
    <n v="141.1"/>
    <n v="24.900000000000002"/>
  </r>
  <r>
    <s v="SBG Quality Assurance"/>
    <x v="1"/>
    <s v="Task"/>
    <s v="QA-196"/>
    <s v="work log 2015"/>
    <s v="Task"/>
    <x v="0"/>
    <d v="2015-04-22T18:32:00"/>
    <x v="0"/>
    <x v="0"/>
    <x v="8"/>
    <n v="2"/>
    <s v="1.SB-4451 2.welcome party (0.5h) 3.test case writing (1h) 4.other things"/>
    <n v="141.1"/>
    <n v="24.900000000000002"/>
  </r>
  <r>
    <s v="SBG Quality Assurance"/>
    <x v="1"/>
    <s v="Task"/>
    <s v="QA-196"/>
    <s v="work log 2015"/>
    <s v="Task"/>
    <x v="0"/>
    <d v="2015-04-23T18:33:00"/>
    <x v="0"/>
    <x v="0"/>
    <x v="8"/>
    <n v="4"/>
    <s v="1.test case writing (2.5h) 2.learn sql (1h) 3.other things"/>
    <n v="141.1"/>
    <n v="24.900000000000002"/>
  </r>
  <r>
    <s v="SBG Quality Assurance"/>
    <x v="1"/>
    <s v="Task"/>
    <s v="QA-196"/>
    <s v="work log 2015"/>
    <s v="Task"/>
    <x v="0"/>
    <d v="2015-04-24T18:58:00"/>
    <x v="0"/>
    <x v="0"/>
    <x v="8"/>
    <n v="4"/>
    <s v="fix log time"/>
    <n v="141.1"/>
    <n v="24.900000000000002"/>
  </r>
  <r>
    <s v="SBG Quality Assurance"/>
    <x v="1"/>
    <s v="Task"/>
    <s v="QA-196"/>
    <s v="work log 2015"/>
    <s v="Task"/>
    <x v="0"/>
    <d v="2015-04-27T18:37:00"/>
    <x v="0"/>
    <x v="0"/>
    <x v="8"/>
    <n v="4"/>
    <s v="1.talk with Jan and Felix about SB-5149 (0.5h) 2.fix log time (3h) 3.other things"/>
    <n v="141.1"/>
    <n v="24.900000000000002"/>
  </r>
  <r>
    <s v="SBG Quality Assurance"/>
    <x v="1"/>
    <s v="Task"/>
    <s v="QA-196"/>
    <s v="work log 2015"/>
    <s v="Task"/>
    <x v="0"/>
    <d v="2015-04-28T18:33:00"/>
    <x v="0"/>
    <x v="0"/>
    <x v="8"/>
    <n v="4"/>
    <s v="1.discuss with Samuel, Jan, Felix and Ben on SB-5149 (2h) 2.fix log time (1.5h) 3.other things"/>
    <n v="141.1"/>
    <n v="24.900000000000002"/>
  </r>
  <r>
    <s v="SBG Quality Assurance"/>
    <x v="1"/>
    <s v="Task"/>
    <s v="QA-196"/>
    <s v="work log 2015"/>
    <s v="Task"/>
    <x v="0"/>
    <d v="2015-04-29T18:32:00"/>
    <x v="0"/>
    <x v="0"/>
    <x v="8"/>
    <n v="4.5"/>
    <s v="1.test case writing (3.5h) 2.discuss with Hank and Alan 3.other things"/>
    <n v="141.1"/>
    <n v="24.900000000000002"/>
  </r>
  <r>
    <s v="SBG Quality Assurance"/>
    <x v="1"/>
    <s v="Task"/>
    <s v="QA-196"/>
    <s v="work log 2015"/>
    <s v="Task"/>
    <x v="0"/>
    <d v="2015-04-30T18:36:00"/>
    <x v="0"/>
    <x v="0"/>
    <x v="8"/>
    <n v="2.5"/>
    <s v="1.birthday party (0.5h) 2.test case writing 3.other things"/>
    <n v="141.1"/>
    <n v="24.900000000000002"/>
  </r>
  <r>
    <s v="SBG Quality Assurance"/>
    <x v="1"/>
    <s v="Task"/>
    <s v="QA-196"/>
    <s v="work log 2015"/>
    <s v="Task"/>
    <x v="0"/>
    <d v="2015-05-04T18:38:00"/>
    <x v="1"/>
    <x v="0"/>
    <x v="8"/>
    <n v="1"/>
    <s v="IT meeting"/>
    <n v="141.1"/>
    <n v="24.900000000000002"/>
  </r>
  <r>
    <s v="SBG Quality Assurance"/>
    <x v="1"/>
    <s v="Task"/>
    <s v="QA-196"/>
    <s v="work log 2015"/>
    <s v="Task"/>
    <x v="0"/>
    <d v="2015-05-06T18:31:00"/>
    <x v="1"/>
    <x v="0"/>
    <x v="8"/>
    <n v="0.5"/>
    <s v="other thing"/>
    <n v="141.1"/>
    <n v="24.900000000000002"/>
  </r>
  <r>
    <s v="SBG Quality Assurance"/>
    <x v="1"/>
    <s v="Task"/>
    <s v="QA-196"/>
    <s v="work log 2015"/>
    <s v="Task"/>
    <x v="0"/>
    <d v="2015-05-07T18:30:00"/>
    <x v="1"/>
    <x v="0"/>
    <x v="8"/>
    <n v="0.5"/>
    <s v="discuss with Isabell on credit card"/>
    <n v="141.1"/>
    <n v="24.900000000000002"/>
  </r>
  <r>
    <s v="SBG Quality Assurance"/>
    <x v="1"/>
    <s v="Task"/>
    <s v="QA-196"/>
    <s v="work log 2015"/>
    <s v="Task"/>
    <x v="0"/>
    <d v="2015-05-08T18:34:00"/>
    <x v="1"/>
    <x v="0"/>
    <x v="8"/>
    <n v="4.5"/>
    <s v="1.check online orders (1.5h) 2.farewell party (1h) 3.team building preparation and discussion (2h)"/>
    <n v="141.1"/>
    <n v="24.900000000000002"/>
  </r>
  <r>
    <s v="SBG Quality Assurance"/>
    <x v="1"/>
    <s v="Task"/>
    <s v="QA-196"/>
    <s v="work log 2015"/>
    <s v="Task"/>
    <x v="0"/>
    <d v="2015-05-11T18:45:00"/>
    <x v="1"/>
    <x v="0"/>
    <x v="8"/>
    <n v="0.5"/>
    <s v="QA meeting"/>
    <n v="141.1"/>
    <n v="24.900000000000002"/>
  </r>
  <r>
    <s v="SBG Quality Assurance"/>
    <x v="1"/>
    <s v="Task"/>
    <s v="QA-196"/>
    <s v="work log 2015"/>
    <s v="Task"/>
    <x v="0"/>
    <d v="2015-05-18T22:05:00"/>
    <x v="1"/>
    <x v="0"/>
    <x v="8"/>
    <n v="1.5"/>
    <s v="1.IT meeting 2.QA meeting"/>
    <n v="141.1"/>
    <n v="24.900000000000002"/>
  </r>
  <r>
    <s v="SBG Quality Assurance"/>
    <x v="1"/>
    <s v="Task"/>
    <s v="QA-196"/>
    <s v="work log 2015"/>
    <s v="Task"/>
    <x v="0"/>
    <d v="2015-05-20T19:29:00"/>
    <x v="1"/>
    <x v="0"/>
    <x v="8"/>
    <n v="0.5"/>
    <s v="welcome party"/>
    <n v="141.1"/>
    <n v="24.900000000000002"/>
  </r>
  <r>
    <s v="SBG Quality Assurance"/>
    <x v="1"/>
    <s v="Task"/>
    <s v="QA-196"/>
    <s v="work log 2015"/>
    <s v="Task"/>
    <x v="0"/>
    <d v="2015-05-21T18:32:00"/>
    <x v="1"/>
    <x v="0"/>
    <x v="8"/>
    <n v="8"/>
    <s v="1.check rx order (OD-1363) 2h 2.mobile specification 2h 3.computer maintanance 2h 4.test case writing 2h"/>
    <n v="141.1"/>
    <n v="24.900000000000002"/>
  </r>
  <r>
    <s v="SBG Quality Assurance"/>
    <x v="1"/>
    <s v="Task"/>
    <s v="QA-196"/>
    <s v="work log 2015"/>
    <s v="Task"/>
    <x v="0"/>
    <d v="2015-05-22T18:30:00"/>
    <x v="1"/>
    <x v="0"/>
    <x v="8"/>
    <n v="8"/>
    <s v="1. mobile specification review (4.5h) 2. test case writing"/>
    <n v="141.1"/>
    <n v="24.900000000000002"/>
  </r>
  <r>
    <s v="SBG Quality Assurance"/>
    <x v="1"/>
    <s v="Task"/>
    <s v="QA-196"/>
    <s v="work log 2015"/>
    <s v="Task"/>
    <x v="0"/>
    <d v="2015-05-25T18:30:00"/>
    <x v="1"/>
    <x v="0"/>
    <x v="8"/>
    <n v="6"/>
    <s v="1. IT meeting (1h) 2. test case writing 3. discuss new workflow with Gabriel"/>
    <n v="141.1"/>
    <n v="24.900000000000002"/>
  </r>
  <r>
    <s v="SBG Quality Assurance"/>
    <x v="1"/>
    <s v="Task"/>
    <s v="QA-196"/>
    <s v="work log 2015"/>
    <s v="Task"/>
    <x v="0"/>
    <d v="2015-05-26T13:30:00"/>
    <x v="1"/>
    <x v="0"/>
    <x v="8"/>
    <n v="4"/>
    <s v="1. test case writing 2. talk with Michael"/>
    <n v="141.1"/>
    <n v="24.900000000000002"/>
  </r>
  <r>
    <s v="SBG Quality Assurance"/>
    <x v="1"/>
    <s v="Task"/>
    <s v="QA-198"/>
    <s v="Regression test every Monday."/>
    <s v="Task"/>
    <x v="0"/>
    <d v="2015-04-13T11:25:00"/>
    <x v="0"/>
    <x v="0"/>
    <x v="8"/>
    <n v="1.5"/>
    <m/>
    <n v="141.1"/>
    <n v="24.900000000000002"/>
  </r>
  <r>
    <s v="SBG Quality Assurance"/>
    <x v="1"/>
    <s v="Task"/>
    <s v="QA-198"/>
    <s v="Regression test every Monday."/>
    <s v="Task"/>
    <x v="0"/>
    <d v="2015-04-20T11:35:00"/>
    <x v="0"/>
    <x v="0"/>
    <x v="8"/>
    <n v="1.5"/>
    <m/>
    <n v="141.1"/>
    <n v="24.900000000000002"/>
  </r>
  <r>
    <s v="SBG Quality Assurance"/>
    <x v="1"/>
    <s v="Task"/>
    <s v="QA-198"/>
    <s v="Regression test every Monday."/>
    <s v="Task"/>
    <x v="0"/>
    <d v="2015-04-27T16:01:00"/>
    <x v="0"/>
    <x v="0"/>
    <x v="8"/>
    <n v="1"/>
    <m/>
    <n v="141.1"/>
    <n v="24.900000000000002"/>
  </r>
  <r>
    <s v="SBG Quality Assurance"/>
    <x v="1"/>
    <s v="Task"/>
    <s v="QA-198"/>
    <s v="Regression test every Monday."/>
    <s v="Task"/>
    <x v="0"/>
    <d v="2015-05-04T12:18:00"/>
    <x v="1"/>
    <x v="0"/>
    <x v="8"/>
    <n v="1.5"/>
    <m/>
    <n v="141.1"/>
    <n v="24.900000000000002"/>
  </r>
  <r>
    <s v="SBG Quality Assurance"/>
    <x v="1"/>
    <s v="Task"/>
    <s v="QA-198"/>
    <s v="Regression test every Monday."/>
    <s v="Task"/>
    <x v="0"/>
    <d v="2015-05-11T17:10:00"/>
    <x v="1"/>
    <x v="0"/>
    <x v="8"/>
    <n v="1.5"/>
    <m/>
    <n v="141.1"/>
    <n v="24.900000000000002"/>
  </r>
  <r>
    <s v="SBG Quality Assurance"/>
    <x v="1"/>
    <s v="Task"/>
    <s v="QA-198"/>
    <s v="Regression test every Monday."/>
    <s v="Task"/>
    <x v="0"/>
    <d v="2015-05-25T12:35:00"/>
    <x v="1"/>
    <x v="0"/>
    <x v="8"/>
    <n v="2"/>
    <m/>
    <n v="141.1"/>
    <n v="24.900000000000002"/>
  </r>
  <r>
    <s v="SBG Quality Assurance"/>
    <x v="1"/>
    <s v="Task"/>
    <s v="QA-199"/>
    <s v="Automation framework maintain"/>
    <s v="Task"/>
    <x v="0"/>
    <d v="2015-04-07T11:15:00"/>
    <x v="0"/>
    <x v="0"/>
    <x v="5"/>
    <n v="4"/>
    <m/>
    <n v="141.1"/>
    <n v="24.900000000000002"/>
  </r>
  <r>
    <s v="SBG Quality Assurance"/>
    <x v="2"/>
    <s v="Improvement"/>
    <s v="QA-204"/>
    <s v="Changing the work with .wr1 files"/>
    <s v="Improvement"/>
    <x v="0"/>
    <d v="2015-05-07T17:32:00"/>
    <x v="1"/>
    <x v="0"/>
    <x v="11"/>
    <n v="1"/>
    <s v="Changed $orderid=substr($row,3,68); to $row = preg_replace(&quot;/ +/&quot;,&quot;;&quot;,$row); $row_arr = explode(';',$row); $orderid = $row_arr[1]; because of no dependency from the length of ID"/>
    <n v="141.1"/>
    <n v="24.900000000000002"/>
  </r>
  <r>
    <s v="SBG Quality Assurance"/>
    <x v="2"/>
    <s v="Task"/>
    <s v="QA-206"/>
    <s v="DE0231816005GM, shipped but can´t create RMA"/>
    <s v="Task"/>
    <x v="0"/>
    <d v="2015-05-19T16:03:00"/>
    <x v="1"/>
    <x v="0"/>
    <x v="9"/>
    <n v="1"/>
    <m/>
    <n v="141.1"/>
    <n v="24.900000000000002"/>
  </r>
  <r>
    <s v="Backend - Scan"/>
    <x v="2"/>
    <s v="Bug"/>
    <s v="SCAN-362"/>
    <s v="Contact Lens Scan Bug List"/>
    <s v="Bug"/>
    <x v="1"/>
    <d v="2015-04-02T10:14:00"/>
    <x v="0"/>
    <x v="0"/>
    <x v="12"/>
    <n v="6"/>
    <m/>
    <n v="141.1"/>
    <n v="24.900000000000002"/>
  </r>
  <r>
    <s v="Backend - Scan"/>
    <x v="2"/>
    <s v="Bug"/>
    <s v="SCAN-387"/>
    <s v="Contact Lens Orders send out old email template."/>
    <s v="Bug"/>
    <x v="1"/>
    <d v="2015-04-20T11:31:00"/>
    <x v="0"/>
    <x v="0"/>
    <x v="9"/>
    <n v="2"/>
    <s v="process and test..."/>
    <n v="141.1"/>
    <n v="24.900000000000002"/>
  </r>
  <r>
    <s v="Backend - Scan"/>
    <x v="1"/>
    <s v="Bug"/>
    <s v="SCAN-387"/>
    <s v="Contact Lens Orders send out old email template."/>
    <s v="Bug"/>
    <x v="1"/>
    <d v="2015-04-20T11:41:00"/>
    <x v="0"/>
    <x v="0"/>
    <x v="8"/>
    <n v="0.5"/>
    <m/>
    <n v="141.1"/>
    <n v="24.900000000000002"/>
  </r>
  <r>
    <s v="Backend - Scan"/>
    <x v="2"/>
    <s v="Improvement"/>
    <s v="SCAN-394"/>
    <s v="Add Popup of product info in Rev&amp;Ship, Pick&amp; Ship module"/>
    <s v="Improvement"/>
    <x v="0"/>
    <d v="2015-05-19T11:55:00"/>
    <x v="1"/>
    <x v="0"/>
    <x v="9"/>
    <n v="2"/>
    <m/>
    <n v="141.1"/>
    <n v="24.900000000000002"/>
  </r>
  <r>
    <s v="Backend - Scan"/>
    <x v="2"/>
    <s v="Improvement"/>
    <s v="SCAN-394"/>
    <s v="Add Popup of product info in Rev&amp;Ship, Pick&amp; Ship module"/>
    <s v="Improvement"/>
    <x v="0"/>
    <d v="2015-05-20T11:55:00"/>
    <x v="1"/>
    <x v="0"/>
    <x v="9"/>
    <n v="2.5"/>
    <s v="test , tidy file and release"/>
    <n v="141.1"/>
    <n v="24.900000000000002"/>
  </r>
  <r>
    <s v="Backend - Scan"/>
    <x v="3"/>
    <s v="Improvement"/>
    <s v="SCAN-394"/>
    <s v="Add Popup of product info in Rev&amp;Ship, Pick&amp; Ship module"/>
    <s v="Improvement"/>
    <x v="0"/>
    <d v="2015-05-20T12:48:00"/>
    <x v="1"/>
    <x v="0"/>
    <x v="3"/>
    <n v="0.5"/>
    <m/>
    <n v="83"/>
    <n v="83"/>
  </r>
  <r>
    <s v="Backend - Scan"/>
    <x v="1"/>
    <s v="Improvement"/>
    <s v="SCAN-394"/>
    <s v="Add Popup of product info in Rev&amp;Ship, Pick&amp; Ship module"/>
    <s v="Improvement"/>
    <x v="0"/>
    <d v="2015-05-20T14:23:00"/>
    <x v="1"/>
    <x v="0"/>
    <x v="8"/>
    <n v="1"/>
    <m/>
    <n v="141.1"/>
    <n v="24.900000000000002"/>
  </r>
  <r>
    <s v="Backend - Scan"/>
    <x v="2"/>
    <s v="Bug"/>
    <s v="SCAN-395"/>
    <s v="Pull latest Billing and shipping information from OM at printing time"/>
    <s v="Bug"/>
    <x v="1"/>
    <d v="2015-05-22T10:51:00"/>
    <x v="1"/>
    <x v="0"/>
    <x v="9"/>
    <n v="1"/>
    <m/>
    <n v="141.1"/>
    <n v="24.900000000000002"/>
  </r>
  <r>
    <s v="Backend - Scan"/>
    <x v="2"/>
    <s v="Task"/>
    <s v="SCAN-400"/>
    <s v="Remove lens cleaner from invoice"/>
    <s v="Task"/>
    <x v="0"/>
    <d v="2015-05-13T12:46:00"/>
    <x v="1"/>
    <x v="0"/>
    <x v="9"/>
    <n v="2"/>
    <m/>
    <n v="141.1"/>
    <n v="24.900000000000002"/>
  </r>
  <r>
    <s v="Backend - Scan"/>
    <x v="2"/>
    <s v="Improvement"/>
    <s v="SCAN-401"/>
    <s v="US shipment (Invoice and Drop Ball Cert adjustment)"/>
    <s v="Improvement"/>
    <x v="0"/>
    <d v="2015-05-26T16:41:00"/>
    <x v="1"/>
    <x v="0"/>
    <x v="9"/>
    <n v="3"/>
    <m/>
    <n v="141.1"/>
    <n v="24.900000000000002"/>
  </r>
  <r>
    <s v="Backend - Scan"/>
    <x v="2"/>
    <s v="Improvement"/>
    <s v="SCAN-401"/>
    <s v="US shipment (Invoice and Drop Ball Cert adjustment)"/>
    <s v="Improvement"/>
    <x v="0"/>
    <d v="2015-05-27T16:40:00"/>
    <x v="1"/>
    <x v="0"/>
    <x v="9"/>
    <n v="5"/>
    <s v="processing and test"/>
    <n v="141.1"/>
    <n v="24.900000000000002"/>
  </r>
  <r>
    <s v="Backend - Scan"/>
    <x v="2"/>
    <s v="Improvement"/>
    <s v="SCAN-401"/>
    <s v="US shipment (Invoice and Drop Ball Cert adjustment)"/>
    <s v="Improvement"/>
    <x v="0"/>
    <d v="2015-05-28T19:05:00"/>
    <x v="1"/>
    <x v="0"/>
    <x v="9"/>
    <n v="5.5"/>
    <s v="detail complete and test, release!"/>
    <n v="141.1"/>
    <n v="24.900000000000002"/>
  </r>
  <r>
    <s v="Backend - Scan"/>
    <x v="2"/>
    <s v="Improvement"/>
    <s v="SCAN-401"/>
    <s v="US shipment (Invoice and Drop Ball Cert adjustment)"/>
    <s v="Improvement"/>
    <x v="0"/>
    <d v="2015-05-29T18:52:00"/>
    <x v="1"/>
    <x v="0"/>
    <x v="9"/>
    <n v="7"/>
    <m/>
    <n v="141.1"/>
    <n v="24.900000000000002"/>
  </r>
  <r>
    <s v="Backend - Scan"/>
    <x v="2"/>
    <s v="Bug"/>
    <s v="SCAN-510"/>
    <s v="Print JS Issue"/>
    <s v="Bug"/>
    <x v="1"/>
    <d v="2015-04-23T17:47:00"/>
    <x v="0"/>
    <x v="0"/>
    <x v="9"/>
    <n v="1"/>
    <m/>
    <n v="141.1"/>
    <n v="24.900000000000002"/>
  </r>
  <r>
    <s v="Backend - Scan"/>
    <x v="1"/>
    <s v="Bug"/>
    <s v="SCAN-510"/>
    <s v="Print JS Issue"/>
    <s v="Bug"/>
    <x v="1"/>
    <d v="2015-04-23T17:48:00"/>
    <x v="0"/>
    <x v="0"/>
    <x v="8"/>
    <n v="0.5"/>
    <m/>
    <n v="141.1"/>
    <n v="24.900000000000002"/>
  </r>
  <r>
    <s v="Backend - Scan"/>
    <x v="2"/>
    <s v="Bug"/>
    <s v="SCAN-510"/>
    <s v="Print JS Issue"/>
    <s v="Bug"/>
    <x v="1"/>
    <d v="2015-04-30T12:39:00"/>
    <x v="0"/>
    <x v="0"/>
    <x v="9"/>
    <n v="2"/>
    <m/>
    <n v="141.1"/>
    <n v="24.900000000000002"/>
  </r>
  <r>
    <s v="Backend - Scan"/>
    <x v="2"/>
    <s v="Bug"/>
    <s v="SCAN-510"/>
    <s v="Print JS Issue"/>
    <s v="Bug"/>
    <x v="1"/>
    <d v="2015-05-04T12:39:00"/>
    <x v="1"/>
    <x v="0"/>
    <x v="9"/>
    <n v="2"/>
    <m/>
    <n v="141.1"/>
    <n v="24.900000000000002"/>
  </r>
  <r>
    <s v="Backend - Scan"/>
    <x v="1"/>
    <s v="Bug"/>
    <s v="SCAN-510"/>
    <s v="Print JS Issue"/>
    <s v="Bug"/>
    <x v="1"/>
    <d v="2015-05-04T12:43:00"/>
    <x v="1"/>
    <x v="0"/>
    <x v="8"/>
    <n v="0.5"/>
    <m/>
    <n v="141.1"/>
    <n v="24.900000000000002"/>
  </r>
  <r>
    <s v="Backend - Scan"/>
    <x v="2"/>
    <s v="Bug"/>
    <s v="SCAN-519"/>
    <s v="Rx Slip Barcode Issue"/>
    <s v="Bug"/>
    <x v="1"/>
    <d v="2015-05-21T10:00:00"/>
    <x v="1"/>
    <x v="0"/>
    <x v="12"/>
    <n v="1"/>
    <m/>
    <n v="141.1"/>
    <n v="24.900000000000002"/>
  </r>
  <r>
    <s v="Backend - Scan"/>
    <x v="2"/>
    <s v="Bug"/>
    <s v="SCAN-520"/>
    <s v="Pack and ship on hold issue"/>
    <s v="Bug"/>
    <x v="1"/>
    <d v="2015-05-18T22:09:00"/>
    <x v="1"/>
    <x v="0"/>
    <x v="9"/>
    <n v="2"/>
    <m/>
    <n v="141.1"/>
    <n v="24.900000000000002"/>
  </r>
  <r>
    <s v="Backend - Scan"/>
    <x v="3"/>
    <s v="Bug"/>
    <s v="SCAN-536"/>
    <s v="Rev &amp; Ship - search function"/>
    <s v="Bug"/>
    <x v="1"/>
    <d v="2015-05-26T09:59:00"/>
    <x v="1"/>
    <x v="0"/>
    <x v="3"/>
    <n v="0.5"/>
    <m/>
    <n v="83"/>
    <n v="83"/>
  </r>
  <r>
    <s v="Backend - Scan"/>
    <x v="2"/>
    <s v="Improvement"/>
    <s v="SCAN-551"/>
    <s v="API error investigation"/>
    <s v="Improvement"/>
    <x v="0"/>
    <d v="2015-05-19T15:47:00"/>
    <x v="1"/>
    <x v="0"/>
    <x v="12"/>
    <n v="3"/>
    <m/>
    <n v="141.1"/>
    <n v="24.900000000000002"/>
  </r>
  <r>
    <s v="Backend - Scan"/>
    <x v="2"/>
    <s v="Improvement"/>
    <s v="SCAN-551"/>
    <s v="API error investigation"/>
    <s v="Improvement"/>
    <x v="0"/>
    <d v="2015-05-20T15:48:00"/>
    <x v="1"/>
    <x v="0"/>
    <x v="12"/>
    <n v="2"/>
    <m/>
    <n v="141.1"/>
    <n v="24.900000000000002"/>
  </r>
  <r>
    <s v="Backend - Scan"/>
    <x v="2"/>
    <s v="Improvement"/>
    <s v="SCAN-551"/>
    <s v="API error investigation"/>
    <s v="Improvement"/>
    <x v="0"/>
    <d v="2015-05-21T17:54:00"/>
    <x v="1"/>
    <x v="0"/>
    <x v="12"/>
    <n v="4"/>
    <m/>
    <n v="141.1"/>
    <n v="24.900000000000002"/>
  </r>
  <r>
    <s v="Backend - Scan"/>
    <x v="2"/>
    <s v="Improvement"/>
    <s v="SCAN-551"/>
    <s v="API error investigation"/>
    <s v="Improvement"/>
    <x v="0"/>
    <d v="2015-05-22T10:20:00"/>
    <x v="1"/>
    <x v="0"/>
    <x v="9"/>
    <n v="4"/>
    <m/>
    <n v="141.1"/>
    <n v="24.900000000000002"/>
  </r>
  <r>
    <s v="Backend - Scan"/>
    <x v="3"/>
    <s v="Improvement"/>
    <s v="SCAN-551"/>
    <s v="API error investigation"/>
    <s v="Improvement"/>
    <x v="0"/>
    <d v="2015-05-22T12:43:00"/>
    <x v="1"/>
    <x v="0"/>
    <x v="3"/>
    <n v="0.5"/>
    <m/>
    <n v="83"/>
    <n v="83"/>
  </r>
  <r>
    <s v="Backend - Scan"/>
    <x v="2"/>
    <s v="Improvement"/>
    <s v="SCAN-551"/>
    <s v="API error investigation"/>
    <s v="Improvement"/>
    <x v="0"/>
    <d v="2015-05-22T15:48:00"/>
    <x v="1"/>
    <x v="0"/>
    <x v="12"/>
    <n v="7"/>
    <m/>
    <n v="141.1"/>
    <n v="24.900000000000002"/>
  </r>
  <r>
    <s v="Backend - Scan"/>
    <x v="2"/>
    <s v="Improvement"/>
    <s v="SCAN-551"/>
    <s v="API error investigation"/>
    <s v="Improvement"/>
    <x v="0"/>
    <d v="2015-05-25T18:34:00"/>
    <x v="1"/>
    <x v="0"/>
    <x v="9"/>
    <n v="6"/>
    <m/>
    <n v="141.1"/>
    <n v="24.900000000000002"/>
  </r>
  <r>
    <s v="Backend - Scan"/>
    <x v="3"/>
    <s v="Improvement"/>
    <s v="SCAN-551"/>
    <s v="API error investigation"/>
    <s v="Improvement"/>
    <x v="0"/>
    <d v="2015-05-26T09:58:00"/>
    <x v="1"/>
    <x v="0"/>
    <x v="3"/>
    <n v="0.5"/>
    <m/>
    <n v="83"/>
    <n v="83"/>
  </r>
  <r>
    <s v="Backend - Scan"/>
    <x v="3"/>
    <s v="Improvement"/>
    <s v="SCAN-551"/>
    <s v="API error investigation"/>
    <s v="Improvement"/>
    <x v="0"/>
    <d v="2015-05-26T12:26:00"/>
    <x v="1"/>
    <x v="0"/>
    <x v="3"/>
    <n v="0.5"/>
    <m/>
    <n v="83"/>
    <n v="83"/>
  </r>
  <r>
    <s v="Backend - Scan"/>
    <x v="3"/>
    <s v="Improvement"/>
    <s v="SCAN-551"/>
    <s v="API error investigation"/>
    <s v="Improvement"/>
    <x v="0"/>
    <d v="2015-05-27T09:59:00"/>
    <x v="1"/>
    <x v="0"/>
    <x v="3"/>
    <n v="0.5"/>
    <m/>
    <n v="83"/>
    <n v="83"/>
  </r>
  <r>
    <s v="Backend - Scan"/>
    <x v="2"/>
    <s v="Improvement"/>
    <s v="SCAN-551"/>
    <s v="API error investigation"/>
    <s v="Improvement"/>
    <x v="0"/>
    <d v="2015-05-27T11:27:00"/>
    <x v="1"/>
    <x v="0"/>
    <x v="9"/>
    <n v="1"/>
    <s v="fix ups tracking number... ups error_20150526.xlsx Fix Tracking Number.sql"/>
    <n v="141.1"/>
    <n v="24.900000000000002"/>
  </r>
  <r>
    <s v="Operation Team Task"/>
    <x v="3"/>
    <s v="Maintenance"/>
    <s v="TASK-95"/>
    <s v="zabbix"/>
    <s v="Maintenance"/>
    <x v="1"/>
    <d v="2015-04-20T15:32:00"/>
    <x v="0"/>
    <x v="0"/>
    <x v="3"/>
    <n v="1.5"/>
    <m/>
    <n v="83"/>
    <n v="83"/>
  </r>
  <r>
    <s v="Operation Team Task"/>
    <x v="3"/>
    <s v="Maintenance"/>
    <s v="TASK-104"/>
    <s v="scan download and code check"/>
    <s v="Maintenance"/>
    <x v="1"/>
    <d v="2015-04-22T10:32:00"/>
    <x v="0"/>
    <x v="0"/>
    <x v="17"/>
    <n v="7"/>
    <m/>
    <n v="83"/>
    <n v="83"/>
  </r>
  <r>
    <s v="Operation Team Task"/>
    <x v="3"/>
    <s v="Maintenance"/>
    <s v="TASK-104"/>
    <s v="scan download and code check"/>
    <s v="Maintenance"/>
    <x v="1"/>
    <d v="2015-04-23T10:33:00"/>
    <x v="0"/>
    <x v="0"/>
    <x v="17"/>
    <n v="8"/>
    <m/>
    <n v="83"/>
    <n v="83"/>
  </r>
  <r>
    <s v="Operation Team Task"/>
    <x v="3"/>
    <s v="Maintenance"/>
    <s v="TASK-104"/>
    <s v="scan download and code check"/>
    <s v="Maintenance"/>
    <x v="1"/>
    <d v="2015-04-28T10:37:00"/>
    <x v="0"/>
    <x v="0"/>
    <x v="17"/>
    <n v="8"/>
    <m/>
    <n v="83"/>
    <n v="83"/>
  </r>
  <r>
    <s v="Operation Team Task"/>
    <x v="3"/>
    <s v="Maintenance"/>
    <s v="TASK-104"/>
    <s v="scan download and code check"/>
    <s v="Maintenance"/>
    <x v="1"/>
    <d v="2015-04-30T10:41:00"/>
    <x v="0"/>
    <x v="0"/>
    <x v="17"/>
    <n v="8"/>
    <m/>
    <n v="83"/>
    <n v="83"/>
  </r>
  <r>
    <s v="Operation Team Task"/>
    <x v="3"/>
    <s v="Maintenance"/>
    <s v="TASK-127"/>
    <s v="HK internet issue"/>
    <s v="Maintenance"/>
    <x v="1"/>
    <d v="2015-05-05T11:18:00"/>
    <x v="1"/>
    <x v="0"/>
    <x v="17"/>
    <n v="8"/>
    <m/>
    <n v="83"/>
    <n v="83"/>
  </r>
  <r>
    <s v="Operation Team Task"/>
    <x v="3"/>
    <s v="Maintenance"/>
    <s v="TASK-127"/>
    <s v="HK internet issue"/>
    <s v="Maintenance"/>
    <x v="1"/>
    <d v="2015-05-06T11:18:00"/>
    <x v="1"/>
    <x v="0"/>
    <x v="17"/>
    <n v="8"/>
    <m/>
    <n v="83"/>
    <n v="83"/>
  </r>
  <r>
    <s v="Operation Team Task"/>
    <x v="3"/>
    <s v="Maintenance"/>
    <s v="TASK-127"/>
    <s v="HK internet issue"/>
    <s v="Maintenance"/>
    <x v="1"/>
    <d v="2015-05-07T11:18:00"/>
    <x v="1"/>
    <x v="0"/>
    <x v="17"/>
    <n v="8"/>
    <m/>
    <n v="83"/>
    <n v="83"/>
  </r>
  <r>
    <s v="Operation Team Task"/>
    <x v="3"/>
    <s v="Maintenance"/>
    <s v="TASK-127"/>
    <s v="HK internet issue"/>
    <s v="Maintenance"/>
    <x v="1"/>
    <d v="2015-05-08T11:19:00"/>
    <x v="1"/>
    <x v="0"/>
    <x v="17"/>
    <n v="8"/>
    <m/>
    <n v="83"/>
    <n v="83"/>
  </r>
  <r>
    <s v="Operation Team Task"/>
    <x v="3"/>
    <s v="Maintenance"/>
    <s v="TASK-127"/>
    <s v="HK internet issue"/>
    <s v="Maintenance"/>
    <x v="1"/>
    <d v="2015-05-13T12:39:00"/>
    <x v="1"/>
    <x v="0"/>
    <x v="17"/>
    <n v="8"/>
    <m/>
    <n v="83"/>
    <n v="83"/>
  </r>
  <r>
    <s v="Operation Team Task"/>
    <x v="3"/>
    <s v="Maintenance"/>
    <s v="TASK-127"/>
    <s v="HK internet issue"/>
    <s v="Maintenance"/>
    <x v="1"/>
    <d v="2015-05-14T06:26:00"/>
    <x v="1"/>
    <x v="0"/>
    <x v="17"/>
    <n v="6"/>
    <m/>
    <n v="83"/>
    <n v="83"/>
  </r>
  <r>
    <s v="Operation Team Task"/>
    <x v="3"/>
    <s v="Maintenance"/>
    <s v="TASK-127"/>
    <s v="HK internet issue"/>
    <s v="Maintenance"/>
    <x v="1"/>
    <d v="2015-05-15T12:40:00"/>
    <x v="1"/>
    <x v="0"/>
    <x v="17"/>
    <n v="2"/>
    <m/>
    <n v="83"/>
    <n v="83"/>
  </r>
  <r>
    <s v="Operation Team Task"/>
    <x v="3"/>
    <s v="Maintenance"/>
    <s v="TASK-127"/>
    <s v="HK internet issue"/>
    <s v="Maintenance"/>
    <x v="1"/>
    <d v="2015-05-18T12:41:00"/>
    <x v="1"/>
    <x v="0"/>
    <x v="17"/>
    <n v="8"/>
    <m/>
    <n v="83"/>
    <n v="83"/>
  </r>
  <r>
    <s v="Operation Team Task"/>
    <x v="3"/>
    <s v="Maintenance"/>
    <s v="TASK-127"/>
    <s v="HK internet issue"/>
    <s v="Maintenance"/>
    <x v="1"/>
    <d v="2015-05-20T12:41:00"/>
    <x v="1"/>
    <x v="0"/>
    <x v="17"/>
    <n v="8"/>
    <m/>
    <n v="83"/>
    <n v="83"/>
  </r>
  <r>
    <s v="Operation Team Task"/>
    <x v="3"/>
    <s v="Maintenance"/>
    <s v="TASK-127"/>
    <s v="HK internet issue"/>
    <s v="Maintenance"/>
    <x v="1"/>
    <d v="2015-05-22T12:42:00"/>
    <x v="1"/>
    <x v="0"/>
    <x v="17"/>
    <n v="8"/>
    <m/>
    <n v="83"/>
    <n v="83"/>
  </r>
  <r>
    <s v="Operation Team Task"/>
    <x v="3"/>
    <s v="Maintenance"/>
    <s v="TASK-154"/>
    <s v="linux SSL issue and Luxottica ftp issue"/>
    <s v="Maintenance"/>
    <x v="1"/>
    <d v="2015-04-06T11:01:00"/>
    <x v="0"/>
    <x v="0"/>
    <x v="17"/>
    <n v="8"/>
    <m/>
    <n v="83"/>
    <n v="83"/>
  </r>
  <r>
    <s v="Operation Team Task"/>
    <x v="3"/>
    <s v="Maintenance"/>
    <s v="TASK-154"/>
    <s v="linux SSL issue and Luxottica ftp issue"/>
    <s v="Maintenance"/>
    <x v="1"/>
    <d v="2015-04-07T11:03:00"/>
    <x v="0"/>
    <x v="0"/>
    <x v="17"/>
    <n v="8"/>
    <m/>
    <n v="83"/>
    <n v="83"/>
  </r>
  <r>
    <s v="Operation Team Task"/>
    <x v="3"/>
    <s v="Maintenance"/>
    <s v="TASK-154"/>
    <s v="linux SSL issue and Luxottica ftp issue"/>
    <s v="Maintenance"/>
    <x v="1"/>
    <d v="2015-04-15T11:02:00"/>
    <x v="0"/>
    <x v="0"/>
    <x v="17"/>
    <n v="4"/>
    <m/>
    <n v="83"/>
    <n v="83"/>
  </r>
  <r>
    <s v="Operation Team Task"/>
    <x v="3"/>
    <s v="Maintenance"/>
    <s v="TASK-154"/>
    <s v="linux SSL issue and Luxottica ftp issue"/>
    <s v="Maintenance"/>
    <x v="1"/>
    <d v="2015-04-16T11:02:00"/>
    <x v="0"/>
    <x v="0"/>
    <x v="17"/>
    <n v="8"/>
    <m/>
    <n v="83"/>
    <n v="83"/>
  </r>
  <r>
    <s v="Operation Team Task"/>
    <x v="3"/>
    <s v="Maintenance"/>
    <s v="TASK-154"/>
    <s v="linux SSL issue and Luxottica ftp issue"/>
    <s v="Maintenance"/>
    <x v="1"/>
    <d v="2015-04-29T10:38:00"/>
    <x v="0"/>
    <x v="0"/>
    <x v="17"/>
    <n v="3"/>
    <s v="linux ssl for check and support"/>
    <n v="83"/>
    <n v="83"/>
  </r>
  <r>
    <s v="Operation Team Task"/>
    <x v="3"/>
    <s v="Maintenance"/>
    <s v="TASK-154"/>
    <s v="linux SSL issue and Luxottica ftp issue"/>
    <s v="Maintenance"/>
    <x v="1"/>
    <d v="2015-04-29T10:39:00"/>
    <x v="0"/>
    <x v="0"/>
    <x v="17"/>
    <n v="3"/>
    <s v="luxottica support"/>
    <n v="83"/>
    <n v="83"/>
  </r>
  <r>
    <s v="Operation Team Task"/>
    <x v="3"/>
    <s v="Technical task"/>
    <s v="TASK-1525"/>
    <s v="TASK-120&gt; repair pbx"/>
    <s v="Technical task"/>
    <x v="0"/>
    <d v="2015-04-01T16:14:00"/>
    <x v="0"/>
    <x v="0"/>
    <x v="17"/>
    <n v="2"/>
    <m/>
    <n v="83"/>
    <n v="83"/>
  </r>
  <r>
    <s v="Operation Team Task"/>
    <x v="3"/>
    <s v="Technical task"/>
    <s v="TASK-1526"/>
    <s v="TASK-120&gt; java test"/>
    <s v="Technical task"/>
    <x v="0"/>
    <d v="2015-04-03T09:30:00"/>
    <x v="0"/>
    <x v="0"/>
    <x v="17"/>
    <n v="4"/>
    <m/>
    <n v="83"/>
    <n v="83"/>
  </r>
  <r>
    <s v="Operation Team Task"/>
    <x v="3"/>
    <s v="Technical task"/>
    <s v="TASK-1527"/>
    <s v="TASK-120&gt; repair pbx"/>
    <s v="Technical task"/>
    <x v="0"/>
    <d v="2015-04-10T12:57:00"/>
    <x v="0"/>
    <x v="0"/>
    <x v="17"/>
    <n v="4"/>
    <m/>
    <n v="83"/>
    <n v="83"/>
  </r>
  <r>
    <s v="Operation Team Task"/>
    <x v="3"/>
    <s v="Technical task"/>
    <s v="TASK-1528"/>
    <s v="TASK-120&gt; log adjustment"/>
    <s v="Technical task"/>
    <x v="0"/>
    <d v="2015-04-14T09:30:00"/>
    <x v="0"/>
    <x v="0"/>
    <x v="17"/>
    <n v="4"/>
    <m/>
    <n v="83"/>
    <n v="83"/>
  </r>
  <r>
    <s v="Operation Team Task"/>
    <x v="3"/>
    <s v="Technical task"/>
    <s v="TASK-1529"/>
    <s v="TASK-120&gt; java-server adjustment"/>
    <s v="Technical task"/>
    <x v="0"/>
    <d v="2015-04-14T13:03:00"/>
    <x v="0"/>
    <x v="0"/>
    <x v="17"/>
    <n v="4"/>
    <m/>
    <n v="83"/>
    <n v="83"/>
  </r>
  <r>
    <s v="Operation Team Task"/>
    <x v="3"/>
    <s v="Technical task"/>
    <s v="TASK-1530"/>
    <s v="TASK-120&gt; fix java server issue"/>
    <s v="Technical task"/>
    <x v="0"/>
    <d v="2015-04-17T13:03:00"/>
    <x v="0"/>
    <x v="0"/>
    <x v="17"/>
    <n v="4"/>
    <m/>
    <n v="83"/>
    <n v="83"/>
  </r>
  <r>
    <s v="Operation Team Task"/>
    <x v="3"/>
    <s v="Technical task"/>
    <s v="TASK-1531"/>
    <s v="TASK-120&gt; maintenance support"/>
    <s v="Technical task"/>
    <x v="0"/>
    <d v="2015-05-15T11:48:00"/>
    <x v="1"/>
    <x v="0"/>
    <x v="17"/>
    <n v="4"/>
    <m/>
    <n v="83"/>
    <n v="83"/>
  </r>
  <r>
    <s v="Operation Team Task"/>
    <x v="3"/>
    <s v="Technical task"/>
    <s v="TASK-1532"/>
    <s v="TASK-120&gt; BI db issue"/>
    <s v="Technical task"/>
    <x v="0"/>
    <d v="2015-05-21T11:53:00"/>
    <x v="1"/>
    <x v="0"/>
    <x v="17"/>
    <n v="8"/>
    <m/>
    <n v="83"/>
    <n v="83"/>
  </r>
  <r>
    <s v="Operation Team Task"/>
    <x v="3"/>
    <s v="Develop"/>
    <s v="TASK-1561"/>
    <s v="Discontinued Issue"/>
    <s v="Develop"/>
    <x v="0"/>
    <d v="2015-04-21T12:30:00"/>
    <x v="0"/>
    <x v="0"/>
    <x v="17"/>
    <n v="1"/>
    <m/>
    <n v="83"/>
    <n v="83"/>
  </r>
  <r>
    <s v="Operation Team Task"/>
    <x v="3"/>
    <s v="Develop"/>
    <s v="TASK-1561"/>
    <s v="Discontinued Issue"/>
    <s v="Develop"/>
    <x v="0"/>
    <d v="2015-05-08T04:08:00"/>
    <x v="1"/>
    <x v="0"/>
    <x v="17"/>
    <n v="8"/>
    <m/>
    <n v="83"/>
    <n v="83"/>
  </r>
  <r>
    <s v="Operation Team Task"/>
    <x v="3"/>
    <s v="Develop"/>
    <s v="TASK-1565"/>
    <s v="OM RX Price table (edit bug)"/>
    <s v="Develop"/>
    <x v="0"/>
    <d v="2015-04-09T09:00:00"/>
    <x v="0"/>
    <x v="0"/>
    <x v="17"/>
    <n v="6"/>
    <m/>
    <n v="83"/>
    <n v="83"/>
  </r>
  <r>
    <s v="Operation Team Task"/>
    <x v="3"/>
    <s v="Develop"/>
    <s v="TASK-1565"/>
    <s v="OM RX Price table (edit bug)"/>
    <s v="Develop"/>
    <x v="0"/>
    <d v="2015-04-10T09:30:00"/>
    <x v="0"/>
    <x v="0"/>
    <x v="17"/>
    <n v="1"/>
    <m/>
    <n v="83"/>
    <n v="83"/>
  </r>
  <r>
    <s v="Operation Team Task"/>
    <x v="1"/>
    <s v="Develop"/>
    <s v="TASK-1565"/>
    <s v="OM RX Price table (edit bug)"/>
    <s v="Develop"/>
    <x v="0"/>
    <d v="2015-04-10T11:32:00"/>
    <x v="0"/>
    <x v="0"/>
    <x v="8"/>
    <n v="0.5"/>
    <m/>
    <n v="141.1"/>
    <n v="24.900000000000002"/>
  </r>
  <r>
    <s v="Operation Team Task"/>
    <x v="3"/>
    <s v="Develop"/>
    <s v="TASK-1569"/>
    <s v="MANUAL RX ORDER"/>
    <s v="Develop"/>
    <x v="0"/>
    <d v="2015-04-01T10:00:00"/>
    <x v="0"/>
    <x v="0"/>
    <x v="17"/>
    <n v="6"/>
    <m/>
    <n v="83"/>
    <n v="83"/>
  </r>
  <r>
    <s v="Operation Team Task"/>
    <x v="3"/>
    <s v="Develop"/>
    <s v="TASK-1569"/>
    <s v="MANUAL RX ORDER"/>
    <s v="Develop"/>
    <x v="0"/>
    <d v="2015-04-02T10:01:00"/>
    <x v="0"/>
    <x v="0"/>
    <x v="17"/>
    <n v="7"/>
    <m/>
    <n v="83"/>
    <n v="83"/>
  </r>
  <r>
    <s v="Operation Team Task"/>
    <x v="3"/>
    <s v="Develop"/>
    <s v="TASK-1569"/>
    <s v="MANUAL RX ORDER"/>
    <s v="Develop"/>
    <x v="0"/>
    <d v="2015-04-03T14:00:00"/>
    <x v="0"/>
    <x v="0"/>
    <x v="17"/>
    <n v="4"/>
    <m/>
    <n v="83"/>
    <n v="83"/>
  </r>
  <r>
    <s v="Operation Team Task"/>
    <x v="3"/>
    <s v="Develop"/>
    <s v="TASK-1569"/>
    <s v="MANUAL RX ORDER"/>
    <s v="Develop"/>
    <x v="0"/>
    <d v="2015-04-08T09:30:00"/>
    <x v="0"/>
    <x v="0"/>
    <x v="17"/>
    <n v="4"/>
    <s v="test successful on test server and assign to QA team."/>
    <n v="83"/>
    <n v="83"/>
  </r>
  <r>
    <s v="Operation Team Task"/>
    <x v="3"/>
    <s v="Develop"/>
    <s v="TASK-1569"/>
    <s v="MANUAL RX ORDER"/>
    <s v="Develop"/>
    <x v="0"/>
    <d v="2015-04-08T16:00:00"/>
    <x v="0"/>
    <x v="0"/>
    <x v="3"/>
    <n v="0.33300000000000002"/>
    <m/>
    <n v="83"/>
    <n v="83"/>
  </r>
  <r>
    <s v="Operation Team Task"/>
    <x v="2"/>
    <s v="Develop"/>
    <s v="TASK-1569"/>
    <s v="MANUAL RX ORDER"/>
    <s v="Develop"/>
    <x v="0"/>
    <d v="2015-04-08T16:06:00"/>
    <x v="0"/>
    <x v="0"/>
    <x v="12"/>
    <n v="1"/>
    <m/>
    <n v="141.1"/>
    <n v="24.900000000000002"/>
  </r>
  <r>
    <s v="Operation Team Task"/>
    <x v="3"/>
    <s v="Develop"/>
    <s v="TASK-1569"/>
    <s v="MANUAL RX ORDER"/>
    <s v="Develop"/>
    <x v="0"/>
    <d v="2015-04-24T04:06:00"/>
    <x v="0"/>
    <x v="0"/>
    <x v="17"/>
    <n v="8"/>
    <m/>
    <n v="83"/>
    <n v="83"/>
  </r>
  <r>
    <s v="Operation Team Task"/>
    <x v="3"/>
    <s v="Develop"/>
    <s v="TASK-1569"/>
    <s v="MANUAL RX ORDER"/>
    <s v="Develop"/>
    <x v="0"/>
    <d v="2015-04-27T04:07:00"/>
    <x v="0"/>
    <x v="0"/>
    <x v="17"/>
    <n v="8"/>
    <m/>
    <n v="83"/>
    <n v="83"/>
  </r>
  <r>
    <s v="Operation Team Task"/>
    <x v="3"/>
    <s v="Develop"/>
    <s v="TASK-1569"/>
    <s v="MANUAL RX ORDER"/>
    <s v="Develop"/>
    <x v="0"/>
    <d v="2015-04-29T10:07:00"/>
    <x v="0"/>
    <x v="0"/>
    <x v="17"/>
    <n v="2"/>
    <m/>
    <n v="83"/>
    <n v="83"/>
  </r>
  <r>
    <s v="Operation Team Task"/>
    <x v="3"/>
    <s v="Develop"/>
    <s v="TASK-1575"/>
    <s v="Manifeset format for New courier ''Continental Express '"/>
    <s v="Develop"/>
    <x v="0"/>
    <d v="2015-05-28T10:25:00"/>
    <x v="1"/>
    <x v="0"/>
    <x v="17"/>
    <n v="2"/>
    <m/>
    <n v="83"/>
    <n v="83"/>
  </r>
  <r>
    <s v="Operation Team Task"/>
    <x v="3"/>
    <s v="Develop"/>
    <s v="TASK-1575"/>
    <s v="Manifeset format for New courier ''Continental Express '"/>
    <s v="Develop"/>
    <x v="0"/>
    <d v="2015-05-28T14:59:00"/>
    <x v="1"/>
    <x v="0"/>
    <x v="17"/>
    <n v="6"/>
    <m/>
    <n v="83"/>
    <n v="83"/>
  </r>
  <r>
    <s v="Operation Team Task"/>
    <x v="3"/>
    <s v="Develop"/>
    <s v="TASK-1581"/>
    <s v="RXPO export excel file - Add RX Slip code field"/>
    <s v="Develop"/>
    <x v="0"/>
    <d v="2015-04-21T10:28:00"/>
    <x v="0"/>
    <x v="0"/>
    <x v="17"/>
    <n v="3"/>
    <m/>
    <n v="83"/>
    <n v="83"/>
  </r>
  <r>
    <s v="Operation Team Task"/>
    <x v="3"/>
    <s v="Develop"/>
    <s v="TASK-1581"/>
    <s v="RXPO export excel file - Add RX Slip code field"/>
    <s v="Develop"/>
    <x v="0"/>
    <d v="2015-04-21T12:27:00"/>
    <x v="0"/>
    <x v="0"/>
    <x v="17"/>
    <n v="1"/>
    <m/>
    <n v="83"/>
    <n v="83"/>
  </r>
  <r>
    <s v="Operation Team Task"/>
    <x v="3"/>
    <s v="Develop"/>
    <s v="TASK-1581"/>
    <s v="RXPO export excel file - Add RX Slip code field"/>
    <s v="Develop"/>
    <x v="0"/>
    <d v="2015-05-04T09:43:00"/>
    <x v="1"/>
    <x v="0"/>
    <x v="17"/>
    <n v="8"/>
    <m/>
    <n v="83"/>
    <n v="83"/>
  </r>
  <r>
    <s v="Operation Team Task"/>
    <x v="3"/>
    <s v="Develop"/>
    <s v="TASK-1582"/>
    <s v="Contactlenses Manifest--can update tracking number according tag"/>
    <s v="Develop"/>
    <x v="0"/>
    <d v="2015-05-14T10:26:00"/>
    <x v="1"/>
    <x v="0"/>
    <x v="17"/>
    <n v="2"/>
    <m/>
    <n v="83"/>
    <n v="83"/>
  </r>
  <r>
    <s v="Operation Team Task"/>
    <x v="3"/>
    <s v="Develop"/>
    <s v="TASK-1582"/>
    <s v="Contactlenses Manifest--can update tracking number according tag"/>
    <s v="Develop"/>
    <x v="0"/>
    <d v="2015-05-19T11:49:00"/>
    <x v="1"/>
    <x v="0"/>
    <x v="17"/>
    <n v="8"/>
    <m/>
    <n v="83"/>
    <n v="83"/>
  </r>
  <r>
    <s v="Operation Team Task"/>
    <x v="3"/>
    <s v="Develop"/>
    <s v="TASK-1582"/>
    <s v="Contactlenses Manifest--can update tracking number according tag"/>
    <s v="Develop"/>
    <x v="0"/>
    <d v="2015-05-25T11:53:00"/>
    <x v="1"/>
    <x v="0"/>
    <x v="17"/>
    <n v="8"/>
    <m/>
    <n v="83"/>
    <n v="83"/>
  </r>
  <r>
    <s v="Operation Team Task"/>
    <x v="3"/>
    <s v="Develop"/>
    <s v="TASK-1582"/>
    <s v="Contactlenses Manifest--can update tracking number according tag"/>
    <s v="Develop"/>
    <x v="0"/>
    <d v="2015-05-29T12:43:00"/>
    <x v="1"/>
    <x v="0"/>
    <x v="17"/>
    <n v="8"/>
    <m/>
    <n v="83"/>
    <n v="83"/>
  </r>
  <r>
    <s v="Operation Team Task"/>
    <x v="3"/>
    <s v="Develop"/>
    <s v="TASK-1584"/>
    <s v="Please add Tag column in export PO for every contactlense supplier"/>
    <s v="Develop"/>
    <x v="0"/>
    <d v="2015-05-11T09:48:00"/>
    <x v="1"/>
    <x v="0"/>
    <x v="17"/>
    <n v="8"/>
    <m/>
    <n v="83"/>
    <n v="83"/>
  </r>
  <r>
    <s v="Operation Team Task"/>
    <x v="3"/>
    <s v="Develop"/>
    <s v="TASK-1584"/>
    <s v="Please add Tag column in export PO for every contactlense supplier"/>
    <s v="Develop"/>
    <x v="0"/>
    <d v="2015-05-12T09:48:00"/>
    <x v="1"/>
    <x v="0"/>
    <x v="17"/>
    <n v="8"/>
    <m/>
    <n v="83"/>
    <n v="83"/>
  </r>
  <r>
    <s v="Operation Team Task"/>
    <x v="3"/>
    <s v="Develop"/>
    <s v="TASK-1584"/>
    <s v="Please add Tag column in export PO for every contactlense supplier"/>
    <s v="Develop"/>
    <x v="0"/>
    <d v="2015-05-15T15:23:00"/>
    <x v="1"/>
    <x v="0"/>
    <x v="17"/>
    <n v="2"/>
    <m/>
    <n v="83"/>
    <n v="83"/>
  </r>
  <r>
    <s v="Operation Team Task"/>
    <x v="3"/>
    <s v="Develop"/>
    <s v="TASK-1584"/>
    <s v="Please add Tag column in export PO for every contactlense supplier"/>
    <s v="Develop"/>
    <x v="0"/>
    <d v="2015-05-20T12:48:00"/>
    <x v="1"/>
    <x v="0"/>
    <x v="3"/>
    <n v="0.5"/>
    <m/>
    <n v="83"/>
    <n v="83"/>
  </r>
  <r>
    <s v="Operation Team Task"/>
    <x v="3"/>
    <s v="Develop"/>
    <s v="TASK-1586"/>
    <s v="Open orders release items period - example of Boleto"/>
    <s v="Develop"/>
    <x v="0"/>
    <d v="2015-04-08T16:54:00"/>
    <x v="0"/>
    <x v="0"/>
    <x v="17"/>
    <n v="4"/>
    <m/>
    <n v="83"/>
    <n v="83"/>
  </r>
  <r>
    <s v="Operation Team Task"/>
    <x v="3"/>
    <s v="Develop"/>
    <s v="TASK-1586"/>
    <s v="Open orders release items period - example of Boleto"/>
    <s v="Develop"/>
    <x v="0"/>
    <d v="2015-04-10T12:53:00"/>
    <x v="0"/>
    <x v="0"/>
    <x v="17"/>
    <n v="2"/>
    <m/>
    <n v="83"/>
    <n v="83"/>
  </r>
  <r>
    <s v="Operation Team Task"/>
    <x v="3"/>
    <s v="Develop"/>
    <s v="TASK-1586"/>
    <s v="Open orders release items period - example of Boleto"/>
    <s v="Develop"/>
    <x v="0"/>
    <d v="2015-04-13T12:54:00"/>
    <x v="0"/>
    <x v="0"/>
    <x v="17"/>
    <n v="8"/>
    <m/>
    <n v="83"/>
    <n v="83"/>
  </r>
  <r>
    <s v="Operation Team Task"/>
    <x v="3"/>
    <s v="Develop"/>
    <s v="TASK-1586"/>
    <s v="Open orders release items period - example of Boleto"/>
    <s v="Develop"/>
    <x v="0"/>
    <d v="2015-04-15T13:01:00"/>
    <x v="0"/>
    <x v="0"/>
    <x v="17"/>
    <n v="4"/>
    <m/>
    <n v="83"/>
    <n v="83"/>
  </r>
  <r>
    <s v="Operation Team Task"/>
    <x v="3"/>
    <s v="Develop"/>
    <s v="TASK-1586"/>
    <s v="Open orders release items period - example of Boleto"/>
    <s v="Develop"/>
    <x v="0"/>
    <d v="2015-04-17T12:53:00"/>
    <x v="0"/>
    <x v="0"/>
    <x v="17"/>
    <n v="4"/>
    <m/>
    <n v="83"/>
    <n v="83"/>
  </r>
  <r>
    <s v="Operation Team Task"/>
    <x v="3"/>
    <s v="Develop"/>
    <s v="TASK-1586"/>
    <s v="Open orders release items period - example of Boleto"/>
    <s v="Develop"/>
    <x v="0"/>
    <d v="2015-04-20T12:52:00"/>
    <x v="0"/>
    <x v="0"/>
    <x v="17"/>
    <n v="8"/>
    <m/>
    <n v="83"/>
    <n v="83"/>
  </r>
  <r>
    <s v="Operation Team Task"/>
    <x v="3"/>
    <s v="Develop"/>
    <s v="TASK-1586"/>
    <s v="Open orders release items period - example of Boleto"/>
    <s v="Develop"/>
    <x v="0"/>
    <d v="2015-04-21T12:31:00"/>
    <x v="0"/>
    <x v="0"/>
    <x v="17"/>
    <n v="1"/>
    <m/>
    <n v="83"/>
    <n v="83"/>
  </r>
  <r>
    <s v="Operation Team Task"/>
    <x v="1"/>
    <s v="Develop"/>
    <s v="TASK-1586"/>
    <s v="Open orders release items period - example of Boleto"/>
    <s v="Develop"/>
    <x v="0"/>
    <d v="2015-04-22T11:08:00"/>
    <x v="0"/>
    <x v="0"/>
    <x v="8"/>
    <n v="0.5"/>
    <m/>
    <n v="141.1"/>
    <n v="24.900000000000002"/>
  </r>
  <r>
    <s v="Operation Team Task"/>
    <x v="3"/>
    <s v="Develop"/>
    <s v="TASK-1586"/>
    <s v="Open orders release items period - example of Boleto"/>
    <s v="Develop"/>
    <x v="0"/>
    <d v="2015-04-22T12:31:00"/>
    <x v="0"/>
    <x v="0"/>
    <x v="17"/>
    <n v="1"/>
    <m/>
    <n v="83"/>
    <n v="83"/>
  </r>
  <r>
    <s v="Operation Team Task"/>
    <x v="3"/>
    <s v="Develop"/>
    <s v="TASK-1588"/>
    <s v="Product Name missing in Report tab"/>
    <s v="Develop"/>
    <x v="0"/>
    <d v="2015-05-26T11:54:00"/>
    <x v="1"/>
    <x v="0"/>
    <x v="17"/>
    <n v="3"/>
    <m/>
    <n v="83"/>
    <n v="83"/>
  </r>
  <r>
    <s v="Operation Team Task"/>
    <x v="3"/>
    <s v="Develop"/>
    <s v="TASK-1588"/>
    <s v="Product Name missing in Report tab"/>
    <s v="Develop"/>
    <x v="0"/>
    <d v="2015-05-27T11:54:00"/>
    <x v="1"/>
    <x v="0"/>
    <x v="17"/>
    <n v="8"/>
    <m/>
    <n v="83"/>
    <n v="83"/>
  </r>
  <r>
    <s v="Operation Team Task"/>
    <x v="3"/>
    <s v="Develop"/>
    <s v="TASK-1590"/>
    <s v="Add stock out reasons"/>
    <s v="Develop"/>
    <x v="0"/>
    <d v="2015-05-26T11:53:00"/>
    <x v="1"/>
    <x v="0"/>
    <x v="17"/>
    <n v="5"/>
    <m/>
    <n v="83"/>
    <n v="83"/>
  </r>
  <r>
    <s v="SBG - Desktop"/>
    <x v="0"/>
    <s v="New Feature"/>
    <s v="DESK-2116"/>
    <s v="Mobile Reskin deisgn and HTML design"/>
    <s v="New Feature"/>
    <x v="0"/>
    <d v="2015-06-04T18:32:00"/>
    <x v="6"/>
    <x v="0"/>
    <x v="7"/>
    <n v="2"/>
    <m/>
    <n v="83"/>
    <n v="83"/>
  </r>
  <r>
    <s v="SBG - Desktop"/>
    <x v="4"/>
    <s v="New Feature"/>
    <s v="DESK-2120"/>
    <s v="SBG New Header / Footer / Homepage Banners / Choose your country"/>
    <s v="New Feature"/>
    <x v="0"/>
    <d v="2015-06-18T02:56:00"/>
    <x v="6"/>
    <x v="0"/>
    <x v="13"/>
    <n v="4"/>
    <m/>
    <n v="141.1"/>
    <n v="24.900000000000002"/>
  </r>
  <r>
    <s v="SBG - Desktop"/>
    <x v="4"/>
    <s v="New Feature"/>
    <s v="DESK-2120"/>
    <s v="SBG New Header / Footer / Homepage Banners / Choose your country"/>
    <s v="New Feature"/>
    <x v="0"/>
    <d v="2015-06-19T13:50:00"/>
    <x v="6"/>
    <x v="0"/>
    <x v="13"/>
    <n v="4"/>
    <m/>
    <n v="141.1"/>
    <n v="24.900000000000002"/>
  </r>
  <r>
    <s v="SBG - Desktop"/>
    <x v="4"/>
    <s v="New Feature"/>
    <s v="DESK-2120"/>
    <s v="SBG New Header / Footer / Homepage Banners / Choose your country"/>
    <s v="New Feature"/>
    <x v="0"/>
    <d v="2015-06-23T11:00:00"/>
    <x v="6"/>
    <x v="0"/>
    <x v="13"/>
    <n v="1"/>
    <m/>
    <n v="141.1"/>
    <n v="24.900000000000002"/>
  </r>
  <r>
    <s v="SBG - Desktop"/>
    <x v="4"/>
    <s v="New Feature"/>
    <s v="DESK-2120"/>
    <s v="SBG New Header / Footer / Homepage Banners / Choose your country"/>
    <s v="New Feature"/>
    <x v="0"/>
    <d v="2015-06-26T14:58:00"/>
    <x v="6"/>
    <x v="0"/>
    <x v="13"/>
    <n v="2"/>
    <m/>
    <n v="141.1"/>
    <n v="24.900000000000002"/>
  </r>
  <r>
    <s v="SBG - Desktop"/>
    <x v="4"/>
    <s v="New Feature"/>
    <s v="DESK-2120"/>
    <s v="SBG New Header / Footer / Homepage Banners / Choose your country"/>
    <s v="New Feature"/>
    <x v="0"/>
    <d v="2015-06-30T14:21:00"/>
    <x v="6"/>
    <x v="0"/>
    <x v="13"/>
    <n v="3"/>
    <m/>
    <n v="141.1"/>
    <n v="24.900000000000002"/>
  </r>
  <r>
    <s v="SBG - Desktop"/>
    <x v="4"/>
    <s v="New Feature"/>
    <s v="DESK-2120"/>
    <s v="SBG New Header / Footer / Homepage Banners / Choose your country"/>
    <s v="New Feature"/>
    <x v="0"/>
    <d v="2015-07-02T10:32:00"/>
    <x v="2"/>
    <x v="0"/>
    <x v="13"/>
    <n v="5"/>
    <m/>
    <n v="147.9"/>
    <n v="26.100000000000005"/>
  </r>
  <r>
    <s v="SBG - Desktop"/>
    <x v="4"/>
    <s v="New Feature"/>
    <s v="DESK-2120"/>
    <s v="SBG New Header / Footer / Homepage Banners / Choose your country"/>
    <s v="New Feature"/>
    <x v="0"/>
    <d v="2015-07-03T10:31:00"/>
    <x v="2"/>
    <x v="0"/>
    <x v="13"/>
    <n v="5"/>
    <m/>
    <n v="147.9"/>
    <n v="26.100000000000005"/>
  </r>
  <r>
    <s v="SBG - Desktop"/>
    <x v="4"/>
    <s v="New Feature"/>
    <s v="DESK-2122"/>
    <s v="Product page - Discontinued logic"/>
    <s v="New Feature"/>
    <x v="0"/>
    <d v="2015-06-25T11:01:00"/>
    <x v="6"/>
    <x v="0"/>
    <x v="13"/>
    <n v="3"/>
    <m/>
    <n v="141.1"/>
    <n v="24.900000000000002"/>
  </r>
  <r>
    <s v="SBG - Desktop"/>
    <x v="4"/>
    <s v="New Feature"/>
    <s v="DESK-2122"/>
    <s v="Product page - Discontinued logic"/>
    <s v="New Feature"/>
    <x v="0"/>
    <d v="2015-06-29T16:19:00"/>
    <x v="6"/>
    <x v="0"/>
    <x v="13"/>
    <n v="2"/>
    <m/>
    <n v="141.1"/>
    <n v="24.900000000000002"/>
  </r>
  <r>
    <s v="SBG - Desktop"/>
    <x v="4"/>
    <s v="New Feature"/>
    <s v="DESK-2122"/>
    <s v="Product page - Discontinued logic"/>
    <s v="New Feature"/>
    <x v="0"/>
    <d v="2015-07-24T15:39:00"/>
    <x v="2"/>
    <x v="0"/>
    <x v="13"/>
    <n v="3"/>
    <m/>
    <n v="147.9"/>
    <n v="26.100000000000005"/>
  </r>
  <r>
    <s v="SBG - Desktop"/>
    <x v="4"/>
    <s v="New Feature"/>
    <s v="DESK-2123"/>
    <s v="Product Page - Layout tweaks"/>
    <s v="New Feature"/>
    <x v="0"/>
    <d v="2015-06-22T10:02:00"/>
    <x v="6"/>
    <x v="0"/>
    <x v="13"/>
    <n v="3"/>
    <m/>
    <n v="141.1"/>
    <n v="24.900000000000002"/>
  </r>
  <r>
    <s v="SBG - Desktop"/>
    <x v="4"/>
    <s v="New Feature"/>
    <s v="DESK-2123"/>
    <s v="Product Page - Layout tweaks"/>
    <s v="New Feature"/>
    <x v="0"/>
    <d v="2015-06-23T14:03:00"/>
    <x v="6"/>
    <x v="0"/>
    <x v="13"/>
    <n v="4"/>
    <m/>
    <n v="141.1"/>
    <n v="24.900000000000002"/>
  </r>
  <r>
    <s v="SBG - Desktop"/>
    <x v="4"/>
    <s v="New Feature"/>
    <s v="DESK-2123"/>
    <s v="Product Page - Layout tweaks"/>
    <s v="New Feature"/>
    <x v="0"/>
    <d v="2015-06-25T15:41:00"/>
    <x v="6"/>
    <x v="0"/>
    <x v="13"/>
    <n v="3"/>
    <m/>
    <n v="141.1"/>
    <n v="24.900000000000002"/>
  </r>
  <r>
    <s v="SBG - Desktop"/>
    <x v="4"/>
    <s v="New Feature"/>
    <s v="DESK-2123"/>
    <s v="Product Page - Layout tweaks"/>
    <s v="New Feature"/>
    <x v="0"/>
    <d v="2015-06-29T16:20:00"/>
    <x v="6"/>
    <x v="0"/>
    <x v="13"/>
    <n v="3"/>
    <m/>
    <n v="141.1"/>
    <n v="24.900000000000002"/>
  </r>
  <r>
    <s v="SBG - Desktop"/>
    <x v="4"/>
    <s v="New Feature"/>
    <s v="DESK-2124"/>
    <s v="Geotargeting rule and design update"/>
    <s v="New Feature"/>
    <x v="0"/>
    <d v="2015-06-22T14:04:00"/>
    <x v="6"/>
    <x v="0"/>
    <x v="13"/>
    <n v="4"/>
    <m/>
    <n v="141.1"/>
    <n v="24.900000000000002"/>
  </r>
  <r>
    <s v="SBG - Desktop"/>
    <x v="4"/>
    <s v="New Feature"/>
    <s v="DESK-2124"/>
    <s v="Geotargeting rule and design update"/>
    <s v="New Feature"/>
    <x v="0"/>
    <d v="2015-06-24T10:04:00"/>
    <x v="6"/>
    <x v="0"/>
    <x v="13"/>
    <n v="4"/>
    <m/>
    <n v="141.1"/>
    <n v="24.900000000000002"/>
  </r>
  <r>
    <s v="SBG - Desktop"/>
    <x v="4"/>
    <s v="New Feature"/>
    <s v="DESK-2124"/>
    <s v="Geotargeting rule and design update"/>
    <s v="New Feature"/>
    <x v="0"/>
    <d v="2015-06-25T12:04:00"/>
    <x v="6"/>
    <x v="0"/>
    <x v="13"/>
    <n v="2"/>
    <m/>
    <n v="141.1"/>
    <n v="24.900000000000002"/>
  </r>
  <r>
    <s v="SBG - Desktop"/>
    <x v="2"/>
    <s v="New Feature"/>
    <s v="DESK-2126"/>
    <s v="301 Redirect ot smartbuyglasses.com.au to visiondirect.com.au"/>
    <s v="New Feature"/>
    <x v="0"/>
    <d v="2015-06-01T11:39:00"/>
    <x v="6"/>
    <x v="0"/>
    <x v="10"/>
    <n v="0.5"/>
    <m/>
    <n v="141.1"/>
    <n v="24.900000000000002"/>
  </r>
  <r>
    <s v="SBG - Desktop"/>
    <x v="1"/>
    <s v="New Feature"/>
    <s v="DESK-2126"/>
    <s v="301 Redirect ot smartbuyglasses.com.au to visiondirect.com.au"/>
    <s v="New Feature"/>
    <x v="0"/>
    <d v="2015-06-02T18:30:00"/>
    <x v="6"/>
    <x v="0"/>
    <x v="5"/>
    <n v="1"/>
    <m/>
    <n v="141.1"/>
    <n v="24.900000000000002"/>
  </r>
  <r>
    <s v="SBG - Desktop"/>
    <x v="2"/>
    <s v="New Feature"/>
    <s v="DESK-2127"/>
    <s v="Master Feed 2: at SIZE LEVEL"/>
    <s v="New Feature"/>
    <x v="0"/>
    <d v="2015-07-13T18:11:00"/>
    <x v="2"/>
    <x v="0"/>
    <x v="16"/>
    <n v="6"/>
    <m/>
    <n v="147.9"/>
    <n v="26.100000000000005"/>
  </r>
  <r>
    <s v="SBG - Desktop"/>
    <x v="2"/>
    <s v="New Feature"/>
    <s v="DESK-2127"/>
    <s v="Master Feed 2: at SIZE LEVEL"/>
    <s v="New Feature"/>
    <x v="0"/>
    <d v="2015-07-16T18:12:00"/>
    <x v="2"/>
    <x v="0"/>
    <x v="16"/>
    <n v="8"/>
    <m/>
    <n v="147.9"/>
    <n v="26.100000000000005"/>
  </r>
  <r>
    <s v="SBG - Desktop"/>
    <x v="2"/>
    <s v="New Feature"/>
    <s v="DESK-2127"/>
    <s v="Master Feed 2: at SIZE LEVEL"/>
    <s v="New Feature"/>
    <x v="0"/>
    <d v="2015-07-17T18:12:00"/>
    <x v="2"/>
    <x v="0"/>
    <x v="16"/>
    <n v="8"/>
    <m/>
    <n v="147.9"/>
    <n v="26.100000000000005"/>
  </r>
  <r>
    <s v="SBG - Desktop"/>
    <x v="2"/>
    <s v="New Feature"/>
    <s v="DESK-2127"/>
    <s v="Master Feed 2: at SIZE LEVEL"/>
    <s v="New Feature"/>
    <x v="0"/>
    <d v="2015-07-20T18:12:00"/>
    <x v="2"/>
    <x v="0"/>
    <x v="16"/>
    <n v="8"/>
    <m/>
    <n v="147.9"/>
    <n v="26.100000000000005"/>
  </r>
  <r>
    <s v="SBG - Desktop"/>
    <x v="2"/>
    <s v="New Feature"/>
    <s v="DESK-2127"/>
    <s v="Master Feed 2: at SIZE LEVEL"/>
    <s v="New Feature"/>
    <x v="0"/>
    <d v="2015-07-21T18:13:00"/>
    <x v="2"/>
    <x v="0"/>
    <x v="16"/>
    <n v="8"/>
    <m/>
    <n v="147.9"/>
    <n v="26.100000000000005"/>
  </r>
  <r>
    <s v="SBG - Desktop"/>
    <x v="2"/>
    <s v="New Feature"/>
    <s v="DESK-2127"/>
    <s v="Master Feed 2: at SIZE LEVEL"/>
    <s v="New Feature"/>
    <x v="0"/>
    <d v="2015-07-22T18:13:00"/>
    <x v="2"/>
    <x v="0"/>
    <x v="16"/>
    <n v="8"/>
    <m/>
    <n v="147.9"/>
    <n v="26.100000000000005"/>
  </r>
  <r>
    <s v="SBG - Desktop"/>
    <x v="2"/>
    <s v="New Feature"/>
    <s v="DESK-2128"/>
    <s v="us_soquero feed re-coding"/>
    <s v="New Feature"/>
    <x v="0"/>
    <d v="2015-06-05T11:51:00"/>
    <x v="6"/>
    <x v="0"/>
    <x v="16"/>
    <n v="1.9"/>
    <m/>
    <n v="141.1"/>
    <n v="24.900000000000002"/>
  </r>
  <r>
    <s v="SBG - Desktop"/>
    <x v="2"/>
    <s v="New Feature"/>
    <s v="DESK-2128"/>
    <s v="us_soquero feed re-coding"/>
    <s v="New Feature"/>
    <x v="0"/>
    <d v="2015-06-08T15:05:00"/>
    <x v="6"/>
    <x v="0"/>
    <x v="16"/>
    <n v="8"/>
    <m/>
    <n v="141.1"/>
    <n v="24.900000000000002"/>
  </r>
  <r>
    <s v="SBG - Desktop"/>
    <x v="2"/>
    <s v="New Feature"/>
    <s v="DESK-2128"/>
    <s v="us_soquero feed re-coding"/>
    <s v="New Feature"/>
    <x v="0"/>
    <d v="2015-06-09T15:05:00"/>
    <x v="6"/>
    <x v="0"/>
    <x v="16"/>
    <n v="8"/>
    <m/>
    <n v="141.1"/>
    <n v="24.900000000000002"/>
  </r>
  <r>
    <s v="SBG - Desktop"/>
    <x v="2"/>
    <s v="New Feature"/>
    <s v="DESK-2128"/>
    <s v="us_soquero feed re-coding"/>
    <s v="New Feature"/>
    <x v="0"/>
    <d v="2015-06-10T15:06:00"/>
    <x v="6"/>
    <x v="0"/>
    <x v="16"/>
    <n v="8"/>
    <m/>
    <n v="141.1"/>
    <n v="24.900000000000002"/>
  </r>
  <r>
    <s v="SBG - Desktop"/>
    <x v="2"/>
    <s v="New Feature"/>
    <s v="DESK-2128"/>
    <s v="us_soquero feed re-coding"/>
    <s v="New Feature"/>
    <x v="0"/>
    <d v="2015-06-11T15:06:00"/>
    <x v="6"/>
    <x v="0"/>
    <x v="16"/>
    <n v="8"/>
    <m/>
    <n v="141.1"/>
    <n v="24.900000000000002"/>
  </r>
  <r>
    <s v="SBG - Desktop"/>
    <x v="2"/>
    <s v="New Feature"/>
    <s v="DESK-2128"/>
    <s v="us_soquero feed re-coding"/>
    <s v="New Feature"/>
    <x v="0"/>
    <d v="2015-06-12T15:07:00"/>
    <x v="6"/>
    <x v="0"/>
    <x v="16"/>
    <n v="8"/>
    <m/>
    <n v="141.1"/>
    <n v="24.900000000000002"/>
  </r>
  <r>
    <s v="SBG - Desktop"/>
    <x v="2"/>
    <s v="New Feature"/>
    <s v="DESK-2128"/>
    <s v="us_soquero feed re-coding"/>
    <s v="New Feature"/>
    <x v="0"/>
    <d v="2015-06-15T15:07:00"/>
    <x v="6"/>
    <x v="0"/>
    <x v="16"/>
    <n v="8"/>
    <m/>
    <n v="141.1"/>
    <n v="24.900000000000002"/>
  </r>
  <r>
    <s v="SBG - Desktop"/>
    <x v="2"/>
    <s v="New Feature"/>
    <s v="DESK-2128"/>
    <s v="us_soquero feed re-coding"/>
    <s v="New Feature"/>
    <x v="0"/>
    <d v="2015-06-16T15:08:00"/>
    <x v="6"/>
    <x v="0"/>
    <x v="16"/>
    <n v="8"/>
    <m/>
    <n v="141.1"/>
    <n v="24.900000000000002"/>
  </r>
  <r>
    <s v="SBG - Desktop"/>
    <x v="2"/>
    <s v="New Feature"/>
    <s v="DESK-2128"/>
    <s v="us_soquero feed re-coding"/>
    <s v="New Feature"/>
    <x v="0"/>
    <d v="2015-06-17T15:08:00"/>
    <x v="6"/>
    <x v="0"/>
    <x v="16"/>
    <n v="8"/>
    <m/>
    <n v="141.1"/>
    <n v="24.900000000000002"/>
  </r>
  <r>
    <s v="SBG - Desktop"/>
    <x v="2"/>
    <s v="New Feature"/>
    <s v="DESK-2128"/>
    <s v="us_soquero feed re-coding"/>
    <s v="New Feature"/>
    <x v="0"/>
    <d v="2015-06-18T15:08:00"/>
    <x v="6"/>
    <x v="0"/>
    <x v="16"/>
    <n v="8"/>
    <m/>
    <n v="141.1"/>
    <n v="24.900000000000002"/>
  </r>
  <r>
    <s v="SBG - Desktop"/>
    <x v="2"/>
    <s v="New Feature"/>
    <s v="DESK-2128"/>
    <s v="us_soquero feed re-coding"/>
    <s v="New Feature"/>
    <x v="0"/>
    <d v="2015-06-19T15:09:00"/>
    <x v="6"/>
    <x v="0"/>
    <x v="16"/>
    <n v="8"/>
    <m/>
    <n v="141.1"/>
    <n v="24.900000000000002"/>
  </r>
  <r>
    <s v="SBG - Desktop"/>
    <x v="2"/>
    <s v="New Feature"/>
    <s v="DESK-2128"/>
    <s v="us_soquero feed re-coding"/>
    <s v="New Feature"/>
    <x v="0"/>
    <d v="2015-06-22T15:09:00"/>
    <x v="6"/>
    <x v="0"/>
    <x v="16"/>
    <n v="8"/>
    <m/>
    <n v="141.1"/>
    <n v="24.900000000000002"/>
  </r>
  <r>
    <s v="SBG - Desktop"/>
    <x v="2"/>
    <s v="New Feature"/>
    <s v="DESK-2128"/>
    <s v="us_soquero feed re-coding"/>
    <s v="New Feature"/>
    <x v="0"/>
    <d v="2015-06-23T15:09:00"/>
    <x v="6"/>
    <x v="0"/>
    <x v="16"/>
    <n v="8"/>
    <m/>
    <n v="141.1"/>
    <n v="24.900000000000002"/>
  </r>
  <r>
    <s v="SBG - Desktop"/>
    <x v="2"/>
    <s v="New Feature"/>
    <s v="DESK-2128"/>
    <s v="us_soquero feed re-coding"/>
    <s v="New Feature"/>
    <x v="0"/>
    <d v="2015-06-24T15:10:00"/>
    <x v="6"/>
    <x v="0"/>
    <x v="16"/>
    <n v="8"/>
    <m/>
    <n v="141.1"/>
    <n v="24.900000000000002"/>
  </r>
  <r>
    <s v="SBG - Desktop"/>
    <x v="2"/>
    <s v="New Feature"/>
    <s v="DESK-2128"/>
    <s v="us_soquero feed re-coding"/>
    <s v="New Feature"/>
    <x v="0"/>
    <d v="2015-06-25T15:10:00"/>
    <x v="6"/>
    <x v="0"/>
    <x v="16"/>
    <n v="8"/>
    <m/>
    <n v="141.1"/>
    <n v="24.900000000000002"/>
  </r>
  <r>
    <s v="SBG - Desktop"/>
    <x v="2"/>
    <s v="New Feature"/>
    <s v="DESK-2128"/>
    <s v="us_soquero feed re-coding"/>
    <s v="New Feature"/>
    <x v="0"/>
    <d v="2015-06-26T15:10:00"/>
    <x v="6"/>
    <x v="0"/>
    <x v="16"/>
    <n v="8"/>
    <m/>
    <n v="141.1"/>
    <n v="24.900000000000002"/>
  </r>
  <r>
    <s v="SBG - Desktop"/>
    <x v="2"/>
    <s v="New Feature"/>
    <s v="DESK-2128"/>
    <s v="us_soquero feed re-coding"/>
    <s v="New Feature"/>
    <x v="0"/>
    <d v="2015-06-29T15:11:00"/>
    <x v="6"/>
    <x v="0"/>
    <x v="16"/>
    <n v="8"/>
    <m/>
    <n v="141.1"/>
    <n v="24.900000000000002"/>
  </r>
  <r>
    <s v="SBG - Desktop"/>
    <x v="2"/>
    <s v="New Feature"/>
    <s v="DESK-2128"/>
    <s v="us_soquero feed re-coding"/>
    <s v="New Feature"/>
    <x v="0"/>
    <d v="2015-06-30T15:11:00"/>
    <x v="6"/>
    <x v="0"/>
    <x v="16"/>
    <n v="8"/>
    <m/>
    <n v="141.1"/>
    <n v="24.900000000000002"/>
  </r>
  <r>
    <s v="SBG - Desktop"/>
    <x v="2"/>
    <s v="New Feature"/>
    <s v="DESK-2128"/>
    <s v="us_soquero feed re-coding"/>
    <s v="New Feature"/>
    <x v="0"/>
    <d v="2015-07-01T15:11:00"/>
    <x v="2"/>
    <x v="0"/>
    <x v="16"/>
    <n v="8"/>
    <m/>
    <n v="147.9"/>
    <n v="26.100000000000005"/>
  </r>
  <r>
    <s v="SBG - Desktop"/>
    <x v="2"/>
    <s v="New Feature"/>
    <s v="DESK-2128"/>
    <s v="us_soquero feed re-coding"/>
    <s v="New Feature"/>
    <x v="0"/>
    <d v="2015-07-02T15:11:00"/>
    <x v="2"/>
    <x v="0"/>
    <x v="16"/>
    <n v="8"/>
    <m/>
    <n v="147.9"/>
    <n v="26.100000000000005"/>
  </r>
  <r>
    <s v="SBG - Desktop"/>
    <x v="2"/>
    <s v="New Feature"/>
    <s v="DESK-2128"/>
    <s v="us_soquero feed re-coding"/>
    <s v="New Feature"/>
    <x v="0"/>
    <d v="2015-07-03T15:11:00"/>
    <x v="2"/>
    <x v="0"/>
    <x v="16"/>
    <n v="8"/>
    <m/>
    <n v="147.9"/>
    <n v="26.100000000000005"/>
  </r>
  <r>
    <s v="SBG - Desktop"/>
    <x v="2"/>
    <s v="New Feature"/>
    <s v="DESK-2128"/>
    <s v="us_soquero feed re-coding"/>
    <s v="New Feature"/>
    <x v="0"/>
    <d v="2015-07-06T18:09:00"/>
    <x v="2"/>
    <x v="0"/>
    <x v="16"/>
    <n v="8"/>
    <m/>
    <n v="147.9"/>
    <n v="26.100000000000005"/>
  </r>
  <r>
    <s v="SBG - Desktop"/>
    <x v="2"/>
    <s v="New Feature"/>
    <s v="DESK-2128"/>
    <s v="us_soquero feed re-coding"/>
    <s v="New Feature"/>
    <x v="0"/>
    <d v="2015-07-07T18:10:00"/>
    <x v="2"/>
    <x v="0"/>
    <x v="16"/>
    <n v="8"/>
    <m/>
    <n v="147.9"/>
    <n v="26.100000000000005"/>
  </r>
  <r>
    <s v="SBG - Desktop"/>
    <x v="2"/>
    <s v="New Feature"/>
    <s v="DESK-2128"/>
    <s v="us_soquero feed re-coding"/>
    <s v="New Feature"/>
    <x v="0"/>
    <d v="2015-07-08T18:10:00"/>
    <x v="2"/>
    <x v="0"/>
    <x v="16"/>
    <n v="8"/>
    <m/>
    <n v="147.9"/>
    <n v="26.100000000000005"/>
  </r>
  <r>
    <s v="SBG - Desktop"/>
    <x v="2"/>
    <s v="New Feature"/>
    <s v="DESK-2128"/>
    <s v="us_soquero feed re-coding"/>
    <s v="New Feature"/>
    <x v="0"/>
    <d v="2015-07-09T18:10:00"/>
    <x v="2"/>
    <x v="0"/>
    <x v="16"/>
    <n v="8"/>
    <m/>
    <n v="147.9"/>
    <n v="26.100000000000005"/>
  </r>
  <r>
    <s v="SBG - Desktop"/>
    <x v="2"/>
    <s v="New Feature"/>
    <s v="DESK-2128"/>
    <s v="us_soquero feed re-coding"/>
    <s v="New Feature"/>
    <x v="0"/>
    <d v="2015-07-10T18:10:00"/>
    <x v="2"/>
    <x v="0"/>
    <x v="16"/>
    <n v="8"/>
    <m/>
    <n v="147.9"/>
    <n v="26.100000000000005"/>
  </r>
  <r>
    <s v="SBG - Desktop"/>
    <x v="2"/>
    <s v="New Feature"/>
    <s v="DESK-2129"/>
    <s v="Change Etnia Barcelona dispatch time"/>
    <s v="New Feature"/>
    <x v="0"/>
    <d v="2015-06-11T14:43:00"/>
    <x v="6"/>
    <x v="0"/>
    <x v="2"/>
    <n v="3"/>
    <m/>
    <n v="141.1"/>
    <n v="24.900000000000002"/>
  </r>
  <r>
    <s v="SBG - Desktop"/>
    <x v="1"/>
    <s v="New Feature"/>
    <s v="DESK-2129"/>
    <s v="Change Etnia Barcelona dispatch time"/>
    <s v="New Feature"/>
    <x v="0"/>
    <d v="2015-06-11T16:45:00"/>
    <x v="6"/>
    <x v="0"/>
    <x v="5"/>
    <n v="2"/>
    <m/>
    <n v="141.1"/>
    <n v="24.900000000000002"/>
  </r>
  <r>
    <s v="SBG - Desktop"/>
    <x v="1"/>
    <s v="New Feature"/>
    <s v="DESK-2129"/>
    <s v="Change Etnia Barcelona dispatch time"/>
    <s v="New Feature"/>
    <x v="0"/>
    <d v="2015-06-11T17:55:00"/>
    <x v="6"/>
    <x v="0"/>
    <x v="5"/>
    <n v="2"/>
    <m/>
    <n v="141.1"/>
    <n v="24.900000000000002"/>
  </r>
  <r>
    <s v="SBG - Desktop"/>
    <x v="1"/>
    <s v="New Feature"/>
    <s v="DESK-2130"/>
    <s v="Grid Page Schema Markup - SiteNavigationElement"/>
    <s v="New Feature"/>
    <x v="0"/>
    <d v="2015-06-01T17:17:00"/>
    <x v="6"/>
    <x v="0"/>
    <x v="1"/>
    <n v="1"/>
    <m/>
    <n v="141.1"/>
    <n v="24.900000000000002"/>
  </r>
  <r>
    <s v="SBG - Desktop"/>
    <x v="2"/>
    <s v="New Feature"/>
    <s v="DESK-2130"/>
    <s v="Grid Page Schema Markup - SiteNavigationElement"/>
    <s v="New Feature"/>
    <x v="0"/>
    <d v="2015-06-02T11:21:00"/>
    <x v="6"/>
    <x v="0"/>
    <x v="2"/>
    <n v="4"/>
    <m/>
    <n v="141.1"/>
    <n v="24.900000000000002"/>
  </r>
  <r>
    <s v="SBG - Desktop"/>
    <x v="1"/>
    <s v="New Feature"/>
    <s v="DESK-2130"/>
    <s v="Grid Page Schema Markup - SiteNavigationElement"/>
    <s v="New Feature"/>
    <x v="0"/>
    <d v="2015-06-03T11:45:00"/>
    <x v="6"/>
    <x v="0"/>
    <x v="1"/>
    <n v="2"/>
    <m/>
    <n v="141.1"/>
    <n v="24.900000000000002"/>
  </r>
  <r>
    <s v="SBG - Desktop"/>
    <x v="1"/>
    <s v="New Feature"/>
    <s v="DESK-2130"/>
    <s v="Grid Page Schema Markup - SiteNavigationElement"/>
    <s v="New Feature"/>
    <x v="0"/>
    <d v="2015-06-04T11:46:00"/>
    <x v="6"/>
    <x v="0"/>
    <x v="1"/>
    <n v="2"/>
    <m/>
    <n v="141.1"/>
    <n v="24.900000000000002"/>
  </r>
  <r>
    <s v="SBG - Desktop"/>
    <x v="2"/>
    <s v="New Feature"/>
    <s v="DESK-2130"/>
    <s v="Grid Page Schema Markup - SiteNavigationElement"/>
    <s v="New Feature"/>
    <x v="0"/>
    <d v="2015-06-04T16:52:00"/>
    <x v="6"/>
    <x v="0"/>
    <x v="2"/>
    <n v="3"/>
    <m/>
    <n v="141.1"/>
    <n v="24.900000000000002"/>
  </r>
  <r>
    <s v="SBG - Desktop"/>
    <x v="1"/>
    <s v="New Feature"/>
    <s v="DESK-2130"/>
    <s v="Grid Page Schema Markup - SiteNavigationElement"/>
    <s v="New Feature"/>
    <x v="0"/>
    <d v="2015-06-04T17:46:00"/>
    <x v="6"/>
    <x v="0"/>
    <x v="1"/>
    <n v="2"/>
    <m/>
    <n v="141.1"/>
    <n v="24.900000000000002"/>
  </r>
  <r>
    <s v="SBG - Desktop"/>
    <x v="2"/>
    <s v="New Feature"/>
    <s v="DESK-2130"/>
    <s v="Grid Page Schema Markup - SiteNavigationElement"/>
    <s v="New Feature"/>
    <x v="0"/>
    <d v="2015-06-12T11:23:00"/>
    <x v="6"/>
    <x v="0"/>
    <x v="2"/>
    <n v="2"/>
    <m/>
    <n v="141.1"/>
    <n v="24.900000000000002"/>
  </r>
  <r>
    <s v="SBG - Desktop"/>
    <x v="2"/>
    <s v="New Feature"/>
    <s v="DESK-2130"/>
    <s v="Grid Page Schema Markup - SiteNavigationElement"/>
    <s v="New Feature"/>
    <x v="0"/>
    <d v="2015-06-22T11:25:00"/>
    <x v="6"/>
    <x v="0"/>
    <x v="2"/>
    <n v="3"/>
    <m/>
    <n v="141.1"/>
    <n v="24.900000000000002"/>
  </r>
  <r>
    <s v="SBG - Desktop"/>
    <x v="1"/>
    <s v="New Feature"/>
    <s v="DESK-2131"/>
    <s v="Alternate and Canonical Tags for CL Grid and Product Pages"/>
    <s v="New Feature"/>
    <x v="0"/>
    <d v="2015-06-01T12:37:00"/>
    <x v="6"/>
    <x v="0"/>
    <x v="1"/>
    <n v="2"/>
    <m/>
    <n v="141.1"/>
    <n v="24.900000000000002"/>
  </r>
  <r>
    <s v="SBG - Desktop"/>
    <x v="1"/>
    <s v="New Feature"/>
    <s v="DESK-2131"/>
    <s v="Alternate and Canonical Tags for CL Grid and Product Pages"/>
    <s v="New Feature"/>
    <x v="0"/>
    <d v="2015-06-03T17:05:00"/>
    <x v="6"/>
    <x v="0"/>
    <x v="1"/>
    <n v="1"/>
    <m/>
    <n v="141.1"/>
    <n v="24.900000000000002"/>
  </r>
  <r>
    <s v="SBG - Desktop"/>
    <x v="1"/>
    <s v="New Feature"/>
    <s v="DESK-2131"/>
    <s v="Alternate and Canonical Tags for CL Grid and Product Pages"/>
    <s v="New Feature"/>
    <x v="0"/>
    <d v="2015-06-04T11:40:00"/>
    <x v="6"/>
    <x v="0"/>
    <x v="1"/>
    <n v="1"/>
    <m/>
    <n v="141.1"/>
    <n v="24.900000000000002"/>
  </r>
  <r>
    <s v="SBG - Desktop"/>
    <x v="2"/>
    <s v="New Feature"/>
    <s v="DESK-2132"/>
    <s v="Ignite Vision (ChineseAN) Tracking Pixels"/>
    <s v="New Feature"/>
    <x v="0"/>
    <d v="2015-07-09T09:45:00"/>
    <x v="2"/>
    <x v="0"/>
    <x v="18"/>
    <n v="1"/>
    <m/>
    <n v="147.9"/>
    <n v="26.100000000000005"/>
  </r>
  <r>
    <s v="SBG - Desktop"/>
    <x v="3"/>
    <s v="New Feature"/>
    <s v="DESK-2132"/>
    <s v="Ignite Vision (ChineseAN) Tracking Pixels"/>
    <s v="New Feature"/>
    <x v="0"/>
    <d v="2015-07-24T10:57:00"/>
    <x v="2"/>
    <x v="0"/>
    <x v="3"/>
    <n v="1"/>
    <m/>
    <n v="87"/>
    <n v="87"/>
  </r>
  <r>
    <m/>
    <x v="3"/>
    <m/>
    <m/>
    <m/>
    <m/>
    <x v="1"/>
    <m/>
    <x v="6"/>
    <x v="0"/>
    <x v="3"/>
    <n v="0"/>
    <m/>
    <n v="83"/>
    <n v="83"/>
  </r>
  <r>
    <m/>
    <x v="3"/>
    <m/>
    <m/>
    <m/>
    <m/>
    <x v="0"/>
    <m/>
    <x v="6"/>
    <x v="0"/>
    <x v="3"/>
    <n v="0"/>
    <m/>
    <n v="83"/>
    <n v="83"/>
  </r>
  <r>
    <s v="SBG - Desktop"/>
    <x v="1"/>
    <s v="New Feature"/>
    <s v="DESK-2134"/>
    <s v="RocketFuel Tracking Pixel"/>
    <s v="New Feature"/>
    <x v="0"/>
    <d v="2015-07-27T18:37:00"/>
    <x v="2"/>
    <x v="0"/>
    <x v="1"/>
    <n v="1"/>
    <m/>
    <n v="147.9"/>
    <n v="26.100000000000005"/>
  </r>
  <r>
    <s v="SBG - Desktop"/>
    <x v="1"/>
    <s v="New Feature"/>
    <s v="DESK-2134"/>
    <s v="RocketFuel Tracking Pixel"/>
    <s v="New Feature"/>
    <x v="0"/>
    <d v="2015-07-28T18:42:00"/>
    <x v="2"/>
    <x v="0"/>
    <x v="1"/>
    <n v="3"/>
    <m/>
    <n v="147.9"/>
    <n v="26.100000000000005"/>
  </r>
  <r>
    <s v="SBG - Desktop"/>
    <x v="1"/>
    <s v="New Feature"/>
    <s v="DESK-2134"/>
    <s v="RocketFuel Tracking Pixel"/>
    <s v="New Feature"/>
    <x v="0"/>
    <d v="2015-07-29T18:33:00"/>
    <x v="2"/>
    <x v="0"/>
    <x v="1"/>
    <n v="2"/>
    <m/>
    <n v="147.9"/>
    <n v="26.100000000000005"/>
  </r>
  <r>
    <s v="SBG - Desktop"/>
    <x v="1"/>
    <s v="New Feature"/>
    <s v="DESK-2134"/>
    <s v="RocketFuel Tracking Pixel"/>
    <s v="New Feature"/>
    <x v="0"/>
    <d v="2015-07-30T12:45:00"/>
    <x v="2"/>
    <x v="0"/>
    <x v="1"/>
    <n v="7"/>
    <m/>
    <n v="147.9"/>
    <n v="26.100000000000005"/>
  </r>
  <r>
    <s v="SBG - Desktop"/>
    <x v="1"/>
    <s v="New Feature"/>
    <s v="DESK-2134"/>
    <s v="RocketFuel Tracking Pixel"/>
    <s v="New Feature"/>
    <x v="0"/>
    <d v="2015-07-31T17:04:00"/>
    <x v="2"/>
    <x v="0"/>
    <x v="1"/>
    <n v="8"/>
    <m/>
    <n v="147.9"/>
    <n v="26.100000000000005"/>
  </r>
  <r>
    <s v="SBG - Desktop"/>
    <x v="2"/>
    <s v="Sub-task"/>
    <s v="DESK-2138"/>
    <s v="DESK-2136&gt; The TR domain still use cdn4.smartbuyglasses.com.tr to get pictures."/>
    <s v="Sub-task"/>
    <x v="0"/>
    <d v="2015-07-27T14:20:00"/>
    <x v="2"/>
    <x v="0"/>
    <x v="11"/>
    <n v="2"/>
    <m/>
    <n v="147.9"/>
    <n v="26.100000000000005"/>
  </r>
  <r>
    <s v="SBG - Desktop"/>
    <x v="0"/>
    <s v="Sub-task"/>
    <s v="DESK-2138"/>
    <s v="DESK-2136&gt; The TR domain still use cdn4.smartbuyglasses.com.tr to get pictures."/>
    <s v="Sub-task"/>
    <x v="0"/>
    <d v="2015-07-27T18:17:00"/>
    <x v="2"/>
    <x v="0"/>
    <x v="7"/>
    <n v="2"/>
    <m/>
    <n v="87"/>
    <n v="87"/>
  </r>
  <r>
    <s v="SBG - Desktop"/>
    <x v="2"/>
    <s v="Sub-task"/>
    <s v="DESK-2138"/>
    <s v="DESK-2136&gt; The TR domain still use cdn4.smartbuyglasses.com.tr to get pictures."/>
    <s v="Sub-task"/>
    <x v="0"/>
    <d v="2015-07-27T18:35:00"/>
    <x v="2"/>
    <x v="0"/>
    <x v="11"/>
    <n v="3"/>
    <m/>
    <n v="147.9"/>
    <n v="26.100000000000005"/>
  </r>
  <r>
    <s v="SBG - Desktop"/>
    <x v="0"/>
    <s v="Sub-task"/>
    <s v="DESK-2214"/>
    <s v="DESK-2244&gt; Prescription picture review dialog overlap text"/>
    <s v="Sub-task"/>
    <x v="0"/>
    <d v="2015-07-31T17:48:00"/>
    <x v="2"/>
    <x v="0"/>
    <x v="19"/>
    <n v="0.5"/>
    <m/>
    <n v="87"/>
    <n v="87"/>
  </r>
  <r>
    <s v="SBG - Desktop"/>
    <x v="0"/>
    <s v="Sub-task"/>
    <s v="DESK-2226"/>
    <s v="DESK-2244&gt; RX CHECK-OUT -- ENTER YOUR PRESCRIPTION NOT CLICKABLE"/>
    <s v="Sub-task"/>
    <x v="0"/>
    <d v="2015-07-31T17:49:00"/>
    <x v="2"/>
    <x v="0"/>
    <x v="19"/>
    <n v="0.5"/>
    <m/>
    <n v="87"/>
    <n v="87"/>
  </r>
  <r>
    <s v="SBG - Desktop"/>
    <x v="2"/>
    <s v="Sub-task"/>
    <s v="DESK-2228"/>
    <s v="DESK-2244&gt; RX PHASE 2 - Log order changes on SBG upload page"/>
    <s v="Sub-task"/>
    <x v="0"/>
    <d v="2015-07-24T16:59:00"/>
    <x v="2"/>
    <x v="0"/>
    <x v="20"/>
    <n v="8"/>
    <m/>
    <n v="147.9"/>
    <n v="26.100000000000005"/>
  </r>
  <r>
    <s v="SBG - Desktop"/>
    <x v="2"/>
    <s v="Sub-task"/>
    <s v="DESK-2228"/>
    <s v="DESK-2244&gt; RX PHASE 2 - Log order changes on SBG upload page"/>
    <s v="Sub-task"/>
    <x v="0"/>
    <d v="2015-07-27T16:59:00"/>
    <x v="2"/>
    <x v="0"/>
    <x v="20"/>
    <n v="8"/>
    <m/>
    <n v="147.9"/>
    <n v="26.100000000000005"/>
  </r>
  <r>
    <s v="SBG - Desktop"/>
    <x v="2"/>
    <s v="Sub-task"/>
    <s v="DESK-2228"/>
    <s v="DESK-2244&gt; RX PHASE 2 - Log order changes on SBG upload page"/>
    <s v="Sub-task"/>
    <x v="0"/>
    <d v="2015-07-30T17:00:00"/>
    <x v="2"/>
    <x v="0"/>
    <x v="20"/>
    <n v="8"/>
    <m/>
    <n v="147.9"/>
    <n v="26.100000000000005"/>
  </r>
  <r>
    <s v="SBG - Desktop"/>
    <x v="0"/>
    <s v="Task"/>
    <s v="DESK-2231"/>
    <s v="Clearance Page Promotion"/>
    <s v="Task"/>
    <x v="0"/>
    <d v="2015-06-02T18:28:00"/>
    <x v="6"/>
    <x v="0"/>
    <x v="7"/>
    <n v="2"/>
    <m/>
    <n v="83"/>
    <n v="83"/>
  </r>
  <r>
    <s v="SBG - Desktop"/>
    <x v="2"/>
    <s v="Task"/>
    <s v="DESK-2231"/>
    <s v="Clearance Page Promotion"/>
    <s v="Task"/>
    <x v="0"/>
    <d v="2015-06-03T17:41:00"/>
    <x v="6"/>
    <x v="0"/>
    <x v="10"/>
    <n v="6"/>
    <m/>
    <n v="141.1"/>
    <n v="24.900000000000002"/>
  </r>
  <r>
    <s v="SBG - Desktop"/>
    <x v="2"/>
    <s v="Task"/>
    <s v="DESK-2231"/>
    <s v="Clearance Page Promotion"/>
    <s v="Task"/>
    <x v="0"/>
    <d v="2015-06-03T18:13:00"/>
    <x v="6"/>
    <x v="0"/>
    <x v="10"/>
    <n v="0.25"/>
    <m/>
    <n v="141.1"/>
    <n v="24.900000000000002"/>
  </r>
  <r>
    <s v="SBG - Desktop"/>
    <x v="1"/>
    <s v="Task"/>
    <s v="DESK-2231"/>
    <s v="Clearance Page Promotion"/>
    <s v="Task"/>
    <x v="0"/>
    <d v="2015-06-04T09:33:00"/>
    <x v="6"/>
    <x v="0"/>
    <x v="5"/>
    <n v="4"/>
    <m/>
    <n v="141.1"/>
    <n v="24.900000000000002"/>
  </r>
  <r>
    <s v="SBG - Desktop"/>
    <x v="0"/>
    <s v="Task"/>
    <s v="DESK-2231"/>
    <s v="Clearance Page Promotion"/>
    <s v="Task"/>
    <x v="0"/>
    <d v="2015-06-04T18:21:00"/>
    <x v="6"/>
    <x v="0"/>
    <x v="7"/>
    <n v="3"/>
    <m/>
    <n v="83"/>
    <n v="83"/>
  </r>
  <r>
    <s v="SBG - Desktop"/>
    <x v="1"/>
    <s v="New Feature"/>
    <s v="DESK-2235"/>
    <s v="Sitemaps update - HREF lang for all pages"/>
    <s v="New Feature"/>
    <x v="0"/>
    <d v="2015-06-02T11:48:00"/>
    <x v="6"/>
    <x v="0"/>
    <x v="1"/>
    <n v="4"/>
    <m/>
    <n v="141.1"/>
    <n v="24.900000000000002"/>
  </r>
  <r>
    <s v="SBG - Desktop"/>
    <x v="1"/>
    <s v="New Feature"/>
    <s v="DESK-2235"/>
    <s v="Sitemaps update - HREF lang for all pages"/>
    <s v="New Feature"/>
    <x v="0"/>
    <d v="2015-06-03T11:52:00"/>
    <x v="6"/>
    <x v="0"/>
    <x v="1"/>
    <n v="2"/>
    <m/>
    <n v="141.1"/>
    <n v="24.900000000000002"/>
  </r>
  <r>
    <s v="SBG - Desktop"/>
    <x v="1"/>
    <s v="New Feature"/>
    <s v="DESK-2235"/>
    <s v="Sitemaps update - HREF lang for all pages"/>
    <s v="New Feature"/>
    <x v="0"/>
    <d v="2015-06-04T17:47:00"/>
    <x v="6"/>
    <x v="0"/>
    <x v="1"/>
    <n v="2"/>
    <m/>
    <n v="141.1"/>
    <n v="24.900000000000002"/>
  </r>
  <r>
    <s v="SBG - Desktop"/>
    <x v="1"/>
    <s v="New Feature"/>
    <s v="DESK-2235"/>
    <s v="Sitemaps update - HREF lang for all pages"/>
    <s v="New Feature"/>
    <x v="0"/>
    <d v="2015-06-05T16:56:00"/>
    <x v="6"/>
    <x v="0"/>
    <x v="1"/>
    <n v="3"/>
    <m/>
    <n v="141.1"/>
    <n v="24.900000000000002"/>
  </r>
  <r>
    <s v="SBG - Desktop"/>
    <x v="1"/>
    <s v="New Feature"/>
    <s v="DESK-2235"/>
    <s v="Sitemaps update - HREF lang for all pages"/>
    <s v="New Feature"/>
    <x v="0"/>
    <d v="2015-06-09T18:31:00"/>
    <x v="6"/>
    <x v="0"/>
    <x v="1"/>
    <n v="1"/>
    <m/>
    <n v="141.1"/>
    <n v="24.900000000000002"/>
  </r>
  <r>
    <s v="SBG - Desktop"/>
    <x v="2"/>
    <s v="Bug"/>
    <s v="DESK-2240"/>
    <s v="Reactivate Prada"/>
    <s v="Bug"/>
    <x v="1"/>
    <d v="2015-06-25T15:09:00"/>
    <x v="6"/>
    <x v="0"/>
    <x v="6"/>
    <n v="1"/>
    <m/>
    <n v="141.1"/>
    <n v="24.900000000000002"/>
  </r>
  <r>
    <s v="SBG - Desktop"/>
    <x v="2"/>
    <s v="Bug"/>
    <s v="DESK-2240"/>
    <s v="Reactivate Prada"/>
    <s v="Bug"/>
    <x v="1"/>
    <d v="2015-06-27T11:37:00"/>
    <x v="6"/>
    <x v="0"/>
    <x v="6"/>
    <n v="2.5"/>
    <m/>
    <n v="141.1"/>
    <n v="24.900000000000002"/>
  </r>
  <r>
    <s v="SBG - Desktop"/>
    <x v="2"/>
    <s v="Sub-task"/>
    <s v="DESK-2249"/>
    <s v="DESK-2136&gt; product picture in checkout page cannot be displayed"/>
    <s v="Sub-task"/>
    <x v="0"/>
    <d v="2015-07-28T15:05:00"/>
    <x v="2"/>
    <x v="0"/>
    <x v="11"/>
    <n v="3"/>
    <m/>
    <n v="147.9"/>
    <n v="26.100000000000005"/>
  </r>
  <r>
    <s v="SBG - Desktop"/>
    <x v="1"/>
    <s v="Sub-task"/>
    <s v="DESK-2252"/>
    <s v="DESK-2136&gt; On https page, many pictures in header cannot be displayed correctly."/>
    <s v="Sub-task"/>
    <x v="0"/>
    <d v="2015-06-15T08:16:00"/>
    <x v="6"/>
    <x v="0"/>
    <x v="21"/>
    <n v="8"/>
    <m/>
    <n v="141.1"/>
    <n v="24.900000000000002"/>
  </r>
  <r>
    <s v="SBG - Desktop"/>
    <x v="1"/>
    <s v="Sub-task"/>
    <s v="DESK-2252"/>
    <s v="DESK-2136&gt; On https page, many pictures in header cannot be displayed correctly."/>
    <s v="Sub-task"/>
    <x v="0"/>
    <d v="2015-06-17T08:16:00"/>
    <x v="6"/>
    <x v="0"/>
    <x v="21"/>
    <n v="8"/>
    <m/>
    <n v="141.1"/>
    <n v="24.900000000000002"/>
  </r>
  <r>
    <s v="SBG - Desktop"/>
    <x v="1"/>
    <s v="Sub-task"/>
    <s v="DESK-2252"/>
    <s v="DESK-2136&gt; On https page, many pictures in header cannot be displayed correctly."/>
    <s v="Sub-task"/>
    <x v="0"/>
    <d v="2015-06-19T08:16:00"/>
    <x v="6"/>
    <x v="0"/>
    <x v="21"/>
    <n v="8"/>
    <m/>
    <n v="141.1"/>
    <n v="24.900000000000002"/>
  </r>
  <r>
    <s v="SBG - Desktop"/>
    <x v="1"/>
    <s v="Sub-task"/>
    <s v="DESK-2252"/>
    <s v="DESK-2136&gt; On https page, many pictures in header cannot be displayed correctly."/>
    <s v="Sub-task"/>
    <x v="0"/>
    <d v="2015-06-22T08:16:00"/>
    <x v="6"/>
    <x v="0"/>
    <x v="21"/>
    <n v="8"/>
    <m/>
    <n v="141.1"/>
    <n v="24.900000000000002"/>
  </r>
  <r>
    <s v="SBG - Desktop"/>
    <x v="1"/>
    <s v="Sub-task"/>
    <s v="DESK-2252"/>
    <s v="DESK-2136&gt; On https page, many pictures in header cannot be displayed correctly."/>
    <s v="Sub-task"/>
    <x v="0"/>
    <d v="2015-06-24T08:16:00"/>
    <x v="6"/>
    <x v="0"/>
    <x v="21"/>
    <n v="8"/>
    <m/>
    <n v="141.1"/>
    <n v="24.900000000000002"/>
  </r>
  <r>
    <s v="SBG - Desktop"/>
    <x v="1"/>
    <s v="Sub-task"/>
    <s v="DESK-2252"/>
    <s v="DESK-2136&gt; On https page, many pictures in header cannot be displayed correctly."/>
    <s v="Sub-task"/>
    <x v="0"/>
    <d v="2015-06-26T08:16:00"/>
    <x v="6"/>
    <x v="0"/>
    <x v="21"/>
    <n v="8"/>
    <m/>
    <n v="141.1"/>
    <n v="24.900000000000002"/>
  </r>
  <r>
    <s v="SBG - Desktop"/>
    <x v="1"/>
    <s v="Sub-task"/>
    <s v="DESK-2252"/>
    <s v="DESK-2136&gt; On https page, many pictures in header cannot be displayed correctly."/>
    <s v="Sub-task"/>
    <x v="0"/>
    <d v="2015-06-29T08:16:00"/>
    <x v="6"/>
    <x v="0"/>
    <x v="21"/>
    <n v="8"/>
    <m/>
    <n v="141.1"/>
    <n v="24.900000000000002"/>
  </r>
  <r>
    <s v="SBG - Desktop"/>
    <x v="1"/>
    <s v="Sub-task"/>
    <s v="DESK-2252"/>
    <s v="DESK-2136&gt; On https page, many pictures in header cannot be displayed correctly."/>
    <s v="Sub-task"/>
    <x v="0"/>
    <d v="2015-07-01T08:16:00"/>
    <x v="2"/>
    <x v="0"/>
    <x v="21"/>
    <n v="8"/>
    <m/>
    <n v="147.9"/>
    <n v="26.100000000000005"/>
  </r>
  <r>
    <s v="SBG - Desktop"/>
    <x v="1"/>
    <s v="Sub-task"/>
    <s v="DESK-2252"/>
    <s v="DESK-2136&gt; On https page, many pictures in header cannot be displayed correctly."/>
    <s v="Sub-task"/>
    <x v="0"/>
    <d v="2015-07-03T08:15:00"/>
    <x v="2"/>
    <x v="0"/>
    <x v="21"/>
    <n v="8"/>
    <m/>
    <n v="147.9"/>
    <n v="26.100000000000005"/>
  </r>
  <r>
    <s v="SBG - Desktop"/>
    <x v="1"/>
    <s v="Sub-task"/>
    <s v="DESK-2252"/>
    <s v="DESK-2136&gt; On https page, many pictures in header cannot be displayed correctly."/>
    <s v="Sub-task"/>
    <x v="0"/>
    <d v="2015-07-06T08:15:00"/>
    <x v="2"/>
    <x v="0"/>
    <x v="21"/>
    <n v="8"/>
    <m/>
    <n v="147.9"/>
    <n v="26.100000000000005"/>
  </r>
  <r>
    <s v="SBG - Desktop"/>
    <x v="1"/>
    <s v="Sub-task"/>
    <s v="DESK-2252"/>
    <s v="DESK-2136&gt; On https page, many pictures in header cannot be displayed correctly."/>
    <s v="Sub-task"/>
    <x v="0"/>
    <d v="2015-07-08T08:15:00"/>
    <x v="2"/>
    <x v="0"/>
    <x v="21"/>
    <n v="8"/>
    <m/>
    <n v="147.9"/>
    <n v="26.100000000000005"/>
  </r>
  <r>
    <s v="SBG - Desktop"/>
    <x v="1"/>
    <s v="Sub-task"/>
    <s v="DESK-2252"/>
    <s v="DESK-2136&gt; On https page, many pictures in header cannot be displayed correctly."/>
    <s v="Sub-task"/>
    <x v="0"/>
    <d v="2015-07-10T08:15:00"/>
    <x v="2"/>
    <x v="0"/>
    <x v="21"/>
    <n v="8"/>
    <m/>
    <n v="147.9"/>
    <n v="26.100000000000005"/>
  </r>
  <r>
    <s v="SBG - Desktop"/>
    <x v="1"/>
    <s v="Sub-task"/>
    <s v="DESK-2252"/>
    <s v="DESK-2136&gt; On https page, many pictures in header cannot be displayed correctly."/>
    <s v="Sub-task"/>
    <x v="0"/>
    <d v="2015-07-13T08:15:00"/>
    <x v="2"/>
    <x v="0"/>
    <x v="21"/>
    <n v="8"/>
    <m/>
    <n v="147.9"/>
    <n v="26.100000000000005"/>
  </r>
  <r>
    <s v="SBG - Desktop"/>
    <x v="1"/>
    <s v="Sub-task"/>
    <s v="DESK-2252"/>
    <s v="DESK-2136&gt; On https page, many pictures in header cannot be displayed correctly."/>
    <s v="Sub-task"/>
    <x v="0"/>
    <d v="2015-07-15T08:15:00"/>
    <x v="2"/>
    <x v="0"/>
    <x v="21"/>
    <n v="8"/>
    <m/>
    <n v="147.9"/>
    <n v="26.100000000000005"/>
  </r>
  <r>
    <s v="SBG - Desktop"/>
    <x v="1"/>
    <s v="Sub-task"/>
    <s v="DESK-2252"/>
    <s v="DESK-2136&gt; On https page, many pictures in header cannot be displayed correctly."/>
    <s v="Sub-task"/>
    <x v="0"/>
    <d v="2015-07-17T08:15:00"/>
    <x v="2"/>
    <x v="0"/>
    <x v="21"/>
    <n v="8"/>
    <m/>
    <n v="147.9"/>
    <n v="26.100000000000005"/>
  </r>
  <r>
    <s v="SBG - Desktop"/>
    <x v="1"/>
    <s v="Sub-task"/>
    <s v="DESK-2252"/>
    <s v="DESK-2136&gt; On https page, many pictures in header cannot be displayed correctly."/>
    <s v="Sub-task"/>
    <x v="0"/>
    <d v="2015-07-20T08:15:00"/>
    <x v="2"/>
    <x v="0"/>
    <x v="21"/>
    <n v="8"/>
    <m/>
    <n v="147.9"/>
    <n v="26.100000000000005"/>
  </r>
  <r>
    <s v="SBG - Desktop"/>
    <x v="1"/>
    <s v="Sub-task"/>
    <s v="DESK-2252"/>
    <s v="DESK-2136&gt; On https page, many pictures in header cannot be displayed correctly."/>
    <s v="Sub-task"/>
    <x v="0"/>
    <d v="2015-07-22T08:15:00"/>
    <x v="2"/>
    <x v="0"/>
    <x v="21"/>
    <n v="8"/>
    <m/>
    <n v="147.9"/>
    <n v="26.100000000000005"/>
  </r>
  <r>
    <s v="SBG - Desktop"/>
    <x v="2"/>
    <s v="Sub-task"/>
    <s v="DESK-2252"/>
    <s v="DESK-2136&gt; On https page, many pictures in header cannot be displayed correctly."/>
    <s v="Sub-task"/>
    <x v="0"/>
    <d v="2015-07-29T09:36:00"/>
    <x v="2"/>
    <x v="0"/>
    <x v="11"/>
    <n v="6"/>
    <m/>
    <n v="147.9"/>
    <n v="26.100000000000005"/>
  </r>
  <r>
    <s v="SBG - Desktop"/>
    <x v="1"/>
    <s v="Sub-task"/>
    <s v="DESK-2252"/>
    <s v="DESK-2136&gt; On https page, many pictures in header cannot be displayed correctly."/>
    <s v="Sub-task"/>
    <x v="0"/>
    <d v="2015-07-30T08:15:00"/>
    <x v="2"/>
    <x v="0"/>
    <x v="21"/>
    <n v="8"/>
    <m/>
    <n v="147.9"/>
    <n v="26.100000000000005"/>
  </r>
  <r>
    <s v="SBG - Desktop"/>
    <x v="1"/>
    <s v="Sub-task"/>
    <s v="DESK-2252"/>
    <s v="DESK-2136&gt; On https page, many pictures in header cannot be displayed correctly."/>
    <s v="Sub-task"/>
    <x v="0"/>
    <d v="2015-07-31T08:15:00"/>
    <x v="2"/>
    <x v="0"/>
    <x v="21"/>
    <n v="8"/>
    <m/>
    <n v="147.9"/>
    <n v="26.100000000000005"/>
  </r>
  <r>
    <s v="SBG - Desktop"/>
    <x v="2"/>
    <s v="Sub-task"/>
    <s v="DESK-2256"/>
    <s v="DESK-2136&gt; Contact lences &quot;ADD to CART&quot; button do not work."/>
    <s v="Sub-task"/>
    <x v="0"/>
    <d v="2015-07-24T14:17:00"/>
    <x v="2"/>
    <x v="0"/>
    <x v="11"/>
    <n v="1.7000000000000001E-2"/>
    <s v="was 1 day"/>
    <n v="147.9"/>
    <n v="26.100000000000005"/>
  </r>
  <r>
    <s v="SBG - Desktop"/>
    <x v="2"/>
    <s v="Sub-task"/>
    <s v="DESK-2260"/>
    <s v="DESK-2231&gt; Small banner do not show on top. CSS issue."/>
    <s v="Sub-task"/>
    <x v="0"/>
    <d v="2015-06-04T10:37:00"/>
    <x v="6"/>
    <x v="0"/>
    <x v="10"/>
    <n v="3.25"/>
    <m/>
    <n v="141.1"/>
    <n v="24.900000000000002"/>
  </r>
  <r>
    <s v="SBG - Desktop"/>
    <x v="2"/>
    <s v="Sub-task"/>
    <s v="DESK-2260"/>
    <s v="DESK-2231&gt; Small banner do not show on top. CSS issue."/>
    <s v="Sub-task"/>
    <x v="0"/>
    <d v="2015-06-04T14:28:00"/>
    <x v="6"/>
    <x v="0"/>
    <x v="10"/>
    <n v="0.75"/>
    <m/>
    <n v="141.1"/>
    <n v="24.900000000000002"/>
  </r>
  <r>
    <s v="SBG - Desktop"/>
    <x v="0"/>
    <s v="Sub-task"/>
    <s v="DESK-2266"/>
    <s v="DESK-2263&gt; Buttons -- fade not selected ones"/>
    <s v="Sub-task"/>
    <x v="0"/>
    <d v="2015-07-29T15:42:00"/>
    <x v="2"/>
    <x v="0"/>
    <x v="19"/>
    <n v="0.5"/>
    <m/>
    <n v="87"/>
    <n v="87"/>
  </r>
  <r>
    <s v="SBG - Desktop"/>
    <x v="1"/>
    <s v="Bug"/>
    <s v="DESK-2486"/>
    <s v="DISCONTINUED PRODUCTS &gt; Send to Algolia a Delete request for this record"/>
    <s v="Bug"/>
    <x v="1"/>
    <d v="2015-06-18T17:09:00"/>
    <x v="6"/>
    <x v="0"/>
    <x v="1"/>
    <n v="2"/>
    <m/>
    <n v="141.1"/>
    <n v="24.900000000000002"/>
  </r>
  <r>
    <s v="SBG - Desktop"/>
    <x v="1"/>
    <s v="Bug"/>
    <s v="DESK-2486"/>
    <s v="DISCONTINUED PRODUCTS &gt; Send to Algolia a Delete request for this record"/>
    <s v="Bug"/>
    <x v="1"/>
    <d v="2015-06-26T18:14:00"/>
    <x v="6"/>
    <x v="0"/>
    <x v="1"/>
    <n v="2"/>
    <m/>
    <n v="141.1"/>
    <n v="24.900000000000002"/>
  </r>
  <r>
    <s v="SBG - Desktop"/>
    <x v="1"/>
    <s v="Bug"/>
    <s v="DESK-2486"/>
    <s v="DISCONTINUED PRODUCTS &gt; Send to Algolia a Delete request for this record"/>
    <s v="Bug"/>
    <x v="1"/>
    <d v="2015-06-29T18:50:00"/>
    <x v="6"/>
    <x v="0"/>
    <x v="1"/>
    <n v="1"/>
    <m/>
    <n v="141.1"/>
    <n v="24.900000000000002"/>
  </r>
  <r>
    <s v="SBG - Desktop"/>
    <x v="1"/>
    <s v="Bug"/>
    <s v="DESK-2486"/>
    <s v="DISCONTINUED PRODUCTS &gt; Send to Algolia a Delete request for this record"/>
    <s v="Bug"/>
    <x v="1"/>
    <d v="2015-06-30T18:11:00"/>
    <x v="6"/>
    <x v="0"/>
    <x v="1"/>
    <n v="2"/>
    <m/>
    <n v="141.1"/>
    <n v="24.900000000000002"/>
  </r>
  <r>
    <s v="SBG - Desktop"/>
    <x v="0"/>
    <s v="Sub-task"/>
    <s v="DESK-2500"/>
    <s v="DESK-2496&gt; Insert MEDIBANK logo on VD health fund page"/>
    <s v="Sub-task"/>
    <x v="0"/>
    <d v="2015-06-01T18:33:00"/>
    <x v="6"/>
    <x v="0"/>
    <x v="7"/>
    <n v="1"/>
    <m/>
    <n v="83"/>
    <n v="83"/>
  </r>
  <r>
    <s v="SBG - Desktop"/>
    <x v="2"/>
    <s v="Sub-task"/>
    <s v="DESK-2508"/>
    <s v="DESK-2496&gt; VD - Link Medibank logo to page"/>
    <s v="Sub-task"/>
    <x v="0"/>
    <d v="2015-06-01T17:03:00"/>
    <x v="6"/>
    <x v="0"/>
    <x v="2"/>
    <n v="1"/>
    <m/>
    <n v="141.1"/>
    <n v="24.900000000000002"/>
  </r>
  <r>
    <s v="SBG - Desktop"/>
    <x v="1"/>
    <s v="Sub-task"/>
    <s v="DESK-2508"/>
    <s v="DESK-2496&gt; VD - Link Medibank logo to page"/>
    <s v="Sub-task"/>
    <x v="0"/>
    <d v="2015-06-01T17:11:00"/>
    <x v="6"/>
    <x v="0"/>
    <x v="1"/>
    <n v="1"/>
    <m/>
    <n v="141.1"/>
    <n v="24.900000000000002"/>
  </r>
  <r>
    <s v="SBG - Desktop"/>
    <x v="2"/>
    <s v="Sub-task"/>
    <s v="DESK-2508"/>
    <s v="DESK-2496&gt; VD - Link Medibank logo to page"/>
    <s v="Sub-task"/>
    <x v="0"/>
    <d v="2015-06-01T18:38:00"/>
    <x v="6"/>
    <x v="0"/>
    <x v="4"/>
    <n v="3"/>
    <m/>
    <n v="83"/>
    <n v="83"/>
  </r>
  <r>
    <s v="SBG - Desktop"/>
    <x v="1"/>
    <s v="Sub-task"/>
    <s v="DESK-2508"/>
    <s v="DESK-2496&gt; VD - Link Medibank logo to page"/>
    <s v="Sub-task"/>
    <x v="0"/>
    <d v="2015-06-04T11:36:00"/>
    <x v="6"/>
    <x v="0"/>
    <x v="1"/>
    <n v="0.5"/>
    <m/>
    <n v="141.1"/>
    <n v="24.900000000000002"/>
  </r>
  <r>
    <s v="SBG - Desktop"/>
    <x v="2"/>
    <s v="Sub-task"/>
    <s v="DESK-2509"/>
    <s v="DESK-2496&gt; Data sync issue"/>
    <s v="Sub-task"/>
    <x v="0"/>
    <d v="2015-06-03T18:35:00"/>
    <x v="6"/>
    <x v="0"/>
    <x v="2"/>
    <n v="8"/>
    <m/>
    <n v="141.1"/>
    <n v="24.900000000000002"/>
  </r>
  <r>
    <s v="SBG - Desktop"/>
    <x v="2"/>
    <s v="Task"/>
    <s v="DESK-2542"/>
    <s v="VD Optical Partner -- remove 2 shops"/>
    <s v="Task"/>
    <x v="0"/>
    <d v="2015-06-04T13:13:00"/>
    <x v="6"/>
    <x v="0"/>
    <x v="10"/>
    <n v="4"/>
    <m/>
    <n v="141.1"/>
    <n v="24.900000000000002"/>
  </r>
  <r>
    <s v="SBG - Desktop"/>
    <x v="2"/>
    <s v="Task"/>
    <s v="DESK-2542"/>
    <s v="VD Optical Partner -- remove 2 shops"/>
    <s v="Task"/>
    <x v="0"/>
    <d v="2015-06-17T12:45:00"/>
    <x v="6"/>
    <x v="0"/>
    <x v="10"/>
    <n v="0.66700000000000004"/>
    <m/>
    <n v="141.1"/>
    <n v="24.900000000000002"/>
  </r>
  <r>
    <s v="SBG - Desktop"/>
    <x v="1"/>
    <s v="Task"/>
    <s v="DESK-2542"/>
    <s v="VD Optical Partner -- remove 2 shops"/>
    <s v="Task"/>
    <x v="0"/>
    <d v="2015-06-23T19:04:00"/>
    <x v="6"/>
    <x v="0"/>
    <x v="5"/>
    <n v="2"/>
    <m/>
    <n v="141.1"/>
    <n v="24.900000000000002"/>
  </r>
  <r>
    <s v="SBG - Desktop"/>
    <x v="1"/>
    <s v="Task"/>
    <s v="DESK-2544"/>
    <s v="Google Webmaster Tools Site Verification (Desktop &amp; Mobile)"/>
    <s v="Task"/>
    <x v="0"/>
    <d v="2015-06-01T17:16:00"/>
    <x v="6"/>
    <x v="0"/>
    <x v="1"/>
    <n v="1"/>
    <m/>
    <n v="141.1"/>
    <n v="24.900000000000002"/>
  </r>
  <r>
    <s v="SBG - Desktop"/>
    <x v="1"/>
    <s v="Task"/>
    <s v="DESK-2544"/>
    <s v="Google Webmaster Tools Site Verification (Desktop &amp; Mobile)"/>
    <s v="Task"/>
    <x v="0"/>
    <d v="2015-06-03T12:46:00"/>
    <x v="6"/>
    <x v="0"/>
    <x v="1"/>
    <n v="2"/>
    <m/>
    <n v="141.1"/>
    <n v="24.900000000000002"/>
  </r>
  <r>
    <s v="SBG - Desktop"/>
    <x v="1"/>
    <s v="Task"/>
    <s v="DESK-2544"/>
    <s v="Google Webmaster Tools Site Verification (Desktop &amp; Mobile)"/>
    <s v="Task"/>
    <x v="0"/>
    <d v="2015-06-04T11:44:00"/>
    <x v="6"/>
    <x v="0"/>
    <x v="1"/>
    <n v="1"/>
    <m/>
    <n v="141.1"/>
    <n v="24.900000000000002"/>
  </r>
  <r>
    <s v="SBG - Desktop"/>
    <x v="1"/>
    <s v="Task"/>
    <s v="DESK-2544"/>
    <s v="Google Webmaster Tools Site Verification (Desktop &amp; Mobile)"/>
    <s v="Task"/>
    <x v="0"/>
    <d v="2015-06-05T18:35:00"/>
    <x v="6"/>
    <x v="0"/>
    <x v="1"/>
    <n v="2.5"/>
    <m/>
    <n v="141.1"/>
    <n v="24.900000000000002"/>
  </r>
  <r>
    <s v="SBG - Desktop"/>
    <x v="2"/>
    <s v="Improvement"/>
    <s v="DESK-2545"/>
    <s v="Activate QV without AB test on ALL DOMAINS"/>
    <s v="Improvement"/>
    <x v="0"/>
    <d v="2015-06-01T17:43:00"/>
    <x v="6"/>
    <x v="0"/>
    <x v="10"/>
    <n v="1.5"/>
    <m/>
    <n v="141.1"/>
    <n v="24.900000000000002"/>
  </r>
  <r>
    <s v="SBG - Desktop"/>
    <x v="2"/>
    <s v="Task"/>
    <s v="DESK-2546"/>
    <s v="Remove Logo"/>
    <s v="Task"/>
    <x v="0"/>
    <d v="2015-06-05T16:26:00"/>
    <x v="6"/>
    <x v="0"/>
    <x v="6"/>
    <n v="0.5"/>
    <m/>
    <n v="141.1"/>
    <n v="24.900000000000002"/>
  </r>
  <r>
    <s v="SBG - Desktop"/>
    <x v="2"/>
    <s v="Sub-task"/>
    <s v="DESK-2548"/>
    <s v="DESK-2561&gt; [Referral] Add a GA campaign tracking code to a referal link"/>
    <s v="Sub-task"/>
    <x v="0"/>
    <d v="2015-06-05T11:29:00"/>
    <x v="6"/>
    <x v="0"/>
    <x v="2"/>
    <n v="4"/>
    <m/>
    <n v="141.1"/>
    <n v="24.900000000000002"/>
  </r>
  <r>
    <s v="SBG - Desktop"/>
    <x v="4"/>
    <s v="Sub-task"/>
    <s v="DESK-2548"/>
    <s v="DESK-2561&gt; [Referral] Add a GA campaign tracking code to a referal link"/>
    <s v="Sub-task"/>
    <x v="0"/>
    <d v="2015-06-15T14:30:00"/>
    <x v="6"/>
    <x v="0"/>
    <x v="13"/>
    <n v="2"/>
    <m/>
    <n v="141.1"/>
    <n v="24.900000000000002"/>
  </r>
  <r>
    <s v="SBG - Desktop"/>
    <x v="2"/>
    <s v="Sub-task"/>
    <s v="DESK-2548"/>
    <s v="DESK-2561&gt; [Referral] Add a GA campaign tracking code to a referal link"/>
    <s v="Sub-task"/>
    <x v="0"/>
    <d v="2015-06-15T18:30:00"/>
    <x v="6"/>
    <x v="0"/>
    <x v="2"/>
    <n v="4"/>
    <m/>
    <n v="141.1"/>
    <n v="24.900000000000002"/>
  </r>
  <r>
    <s v="SBG - Desktop"/>
    <x v="4"/>
    <s v="Sub-task"/>
    <s v="DESK-2550"/>
    <s v="DESK-2561&gt; [Referral] Setup a first time purchase validation logic for referred email field"/>
    <s v="Sub-task"/>
    <x v="0"/>
    <d v="2015-06-17T10:35:00"/>
    <x v="6"/>
    <x v="0"/>
    <x v="13"/>
    <n v="4"/>
    <m/>
    <n v="141.1"/>
    <n v="24.900000000000002"/>
  </r>
  <r>
    <s v="SBG - Desktop"/>
    <x v="2"/>
    <s v="Sub-task"/>
    <s v="DESK-2550"/>
    <s v="DESK-2561&gt; [Referral] Setup a first time purchase validation logic for referred email field"/>
    <s v="Sub-task"/>
    <x v="0"/>
    <d v="2015-07-14T10:09:00"/>
    <x v="2"/>
    <x v="0"/>
    <x v="10"/>
    <n v="8"/>
    <m/>
    <n v="147.9"/>
    <n v="26.100000000000005"/>
  </r>
  <r>
    <s v="SBG - Desktop"/>
    <x v="2"/>
    <s v="Sub-task"/>
    <s v="DESK-2550"/>
    <s v="DESK-2561&gt; [Referral] Setup a first time purchase validation logic for referred email field"/>
    <s v="Sub-task"/>
    <x v="0"/>
    <d v="2015-07-16T17:28:00"/>
    <x v="2"/>
    <x v="0"/>
    <x v="10"/>
    <n v="16"/>
    <m/>
    <n v="147.9"/>
    <n v="26.100000000000005"/>
  </r>
  <r>
    <s v="SBG - Desktop"/>
    <x v="1"/>
    <s v="Sub-task"/>
    <s v="DESK-2550"/>
    <s v="DESK-2561&gt; [Referral] Setup a first time purchase validation logic for referred email field"/>
    <s v="Sub-task"/>
    <x v="0"/>
    <d v="2015-07-20T18:38:00"/>
    <x v="2"/>
    <x v="0"/>
    <x v="1"/>
    <n v="2"/>
    <m/>
    <n v="147.9"/>
    <n v="26.100000000000005"/>
  </r>
  <r>
    <s v="SBG - Desktop"/>
    <x v="2"/>
    <s v="Sub-task"/>
    <s v="DESK-2550"/>
    <s v="DESK-2561&gt; [Referral] Setup a first time purchase validation logic for referred email field"/>
    <s v="Sub-task"/>
    <x v="0"/>
    <d v="2015-07-21T12:58:00"/>
    <x v="2"/>
    <x v="0"/>
    <x v="10"/>
    <n v="4"/>
    <m/>
    <n v="147.9"/>
    <n v="26.100000000000005"/>
  </r>
  <r>
    <s v="SBG - Desktop"/>
    <x v="1"/>
    <s v="Sub-task"/>
    <s v="DESK-2550"/>
    <s v="DESK-2561&gt; [Referral] Setup a first time purchase validation logic for referred email field"/>
    <s v="Sub-task"/>
    <x v="0"/>
    <d v="2015-07-21T17:40:00"/>
    <x v="2"/>
    <x v="0"/>
    <x v="8"/>
    <n v="2"/>
    <m/>
    <n v="147.9"/>
    <n v="26.100000000000005"/>
  </r>
  <r>
    <s v="SBG - Desktop"/>
    <x v="1"/>
    <s v="Sub-task"/>
    <s v="DESK-2550"/>
    <s v="DESK-2561&gt; [Referral] Setup a first time purchase validation logic for referred email field"/>
    <s v="Sub-task"/>
    <x v="0"/>
    <d v="2015-07-21T18:05:00"/>
    <x v="2"/>
    <x v="0"/>
    <x v="1"/>
    <n v="4"/>
    <m/>
    <n v="147.9"/>
    <n v="26.100000000000005"/>
  </r>
  <r>
    <s v="SBG - Desktop"/>
    <x v="0"/>
    <s v="Sub-task"/>
    <s v="DESK-2550"/>
    <s v="DESK-2561&gt; [Referral] Setup a first time purchase validation logic for referred email field"/>
    <s v="Sub-task"/>
    <x v="0"/>
    <d v="2015-07-22T12:37:00"/>
    <x v="2"/>
    <x v="0"/>
    <x v="7"/>
    <n v="4"/>
    <m/>
    <n v="87"/>
    <n v="87"/>
  </r>
  <r>
    <s v="SBG - Desktop"/>
    <x v="1"/>
    <s v="Sub-task"/>
    <s v="DESK-2550"/>
    <s v="DESK-2561&gt; [Referral] Setup a first time purchase validation logic for referred email field"/>
    <s v="Sub-task"/>
    <x v="0"/>
    <d v="2015-07-22T17:42:00"/>
    <x v="2"/>
    <x v="0"/>
    <x v="1"/>
    <n v="3"/>
    <m/>
    <n v="147.9"/>
    <n v="26.100000000000005"/>
  </r>
  <r>
    <s v="SBG - Desktop"/>
    <x v="1"/>
    <s v="Sub-task"/>
    <s v="DESK-2550"/>
    <s v="DESK-2561&gt; [Referral] Setup a first time purchase validation logic for referred email field"/>
    <s v="Sub-task"/>
    <x v="0"/>
    <d v="2015-07-23T16:52:00"/>
    <x v="2"/>
    <x v="0"/>
    <x v="8"/>
    <n v="2"/>
    <m/>
    <n v="147.9"/>
    <n v="26.100000000000005"/>
  </r>
  <r>
    <s v="SBG - Desktop"/>
    <x v="0"/>
    <s v="Sub-task"/>
    <s v="DESK-2550"/>
    <s v="DESK-2561&gt; [Referral] Setup a first time purchase validation logic for referred email field"/>
    <s v="Sub-task"/>
    <x v="0"/>
    <d v="2015-07-23T18:30:00"/>
    <x v="2"/>
    <x v="0"/>
    <x v="7"/>
    <n v="2"/>
    <m/>
    <n v="87"/>
    <n v="87"/>
  </r>
  <r>
    <s v="SBG - Desktop"/>
    <x v="3"/>
    <s v="Sub-task"/>
    <s v="DESK-2550"/>
    <s v="DESK-2561&gt; [Referral] Setup a first time purchase validation logic for referred email field"/>
    <s v="Sub-task"/>
    <x v="0"/>
    <d v="2015-07-24T11:10:00"/>
    <x v="2"/>
    <x v="0"/>
    <x v="3"/>
    <n v="1"/>
    <m/>
    <n v="87"/>
    <n v="87"/>
  </r>
  <r>
    <s v="SBG - Desktop"/>
    <x v="3"/>
    <s v="Sub-task"/>
    <s v="DESK-2550"/>
    <s v="DESK-2561&gt; [Referral] Setup a first time purchase validation logic for referred email field"/>
    <s v="Sub-task"/>
    <x v="0"/>
    <d v="2015-07-24T11:10:00"/>
    <x v="2"/>
    <x v="0"/>
    <x v="3"/>
    <n v="1"/>
    <m/>
    <n v="87"/>
    <n v="87"/>
  </r>
  <r>
    <s v="SBG - Desktop"/>
    <x v="1"/>
    <s v="Sub-task"/>
    <s v="DESK-2550"/>
    <s v="DESK-2561&gt; [Referral] Setup a first time purchase validation logic for referred email field"/>
    <s v="Sub-task"/>
    <x v="0"/>
    <d v="2015-07-27T18:37:00"/>
    <x v="2"/>
    <x v="0"/>
    <x v="1"/>
    <n v="2"/>
    <m/>
    <n v="147.9"/>
    <n v="26.100000000000005"/>
  </r>
  <r>
    <s v="SBG - Desktop"/>
    <x v="4"/>
    <s v="Improvement"/>
    <s v="DESK-2551"/>
    <s v="Add new data fields to Referral and Rewards report"/>
    <s v="Improvement"/>
    <x v="0"/>
    <d v="2015-06-12T10:36:00"/>
    <x v="6"/>
    <x v="0"/>
    <x v="13"/>
    <n v="4"/>
    <m/>
    <n v="141.1"/>
    <n v="24.900000000000002"/>
  </r>
  <r>
    <s v="SBG - Desktop"/>
    <x v="4"/>
    <s v="Bug"/>
    <s v="DESK-2554"/>
    <s v="H1 Tags improvements"/>
    <s v="Bug"/>
    <x v="1"/>
    <d v="2015-07-27T11:14:00"/>
    <x v="2"/>
    <x v="0"/>
    <x v="13"/>
    <n v="5"/>
    <m/>
    <n v="147.9"/>
    <n v="26.100000000000005"/>
  </r>
  <r>
    <s v="SBG - Desktop"/>
    <x v="4"/>
    <s v="Improvement"/>
    <s v="DESK-2558"/>
    <s v="Transform Widget of Trustpilot to DB-based static HTML"/>
    <s v="Improvement"/>
    <x v="0"/>
    <d v="2015-06-19T11:07:00"/>
    <x v="6"/>
    <x v="0"/>
    <x v="13"/>
    <n v="4"/>
    <m/>
    <n v="141.1"/>
    <n v="24.900000000000002"/>
  </r>
  <r>
    <s v="SBG - Desktop"/>
    <x v="4"/>
    <s v="Improvement"/>
    <s v="DESK-2558"/>
    <s v="Transform Widget of Trustpilot to DB-based static HTML"/>
    <s v="Improvement"/>
    <x v="0"/>
    <d v="2015-06-23T15:43:00"/>
    <x v="6"/>
    <x v="0"/>
    <x v="13"/>
    <n v="3"/>
    <m/>
    <n v="141.1"/>
    <n v="24.900000000000002"/>
  </r>
  <r>
    <s v="SBG - Desktop"/>
    <x v="4"/>
    <s v="Improvement"/>
    <s v="DESK-2558"/>
    <s v="Transform Widget of Trustpilot to DB-based static HTML"/>
    <s v="Improvement"/>
    <x v="0"/>
    <d v="2015-06-26T11:07:00"/>
    <x v="6"/>
    <x v="0"/>
    <x v="13"/>
    <n v="3"/>
    <m/>
    <n v="141.1"/>
    <n v="24.900000000000002"/>
  </r>
  <r>
    <s v="SBG - Desktop"/>
    <x v="2"/>
    <s v="Task"/>
    <s v="DESK-2562"/>
    <s v="Contact Lenses - Call a Doctor function"/>
    <s v="Task"/>
    <x v="0"/>
    <d v="2015-07-29T18:47:00"/>
    <x v="2"/>
    <x v="0"/>
    <x v="10"/>
    <n v="16"/>
    <m/>
    <n v="147.9"/>
    <n v="26.100000000000005"/>
  </r>
  <r>
    <s v="SBG - Desktop"/>
    <x v="0"/>
    <s v="Task"/>
    <s v="DESK-2603"/>
    <s v="Packaging Photos- Please add back sentence stating actual package may differ"/>
    <s v="Task"/>
    <x v="0"/>
    <d v="2015-07-29T17:57:00"/>
    <x v="2"/>
    <x v="0"/>
    <x v="19"/>
    <n v="1.5"/>
    <m/>
    <n v="87"/>
    <n v="87"/>
  </r>
  <r>
    <s v="SBG - Desktop"/>
    <x v="4"/>
    <s v="New Feature"/>
    <s v="DESK-2605"/>
    <s v="Marketing CMS Solution Pimcore"/>
    <s v="New Feature"/>
    <x v="0"/>
    <d v="2015-06-10T11:52:00"/>
    <x v="6"/>
    <x v="0"/>
    <x v="13"/>
    <n v="3"/>
    <m/>
    <n v="141.1"/>
    <n v="24.900000000000002"/>
  </r>
  <r>
    <s v="SBG - Desktop"/>
    <x v="4"/>
    <s v="New Feature"/>
    <s v="DESK-2605"/>
    <s v="Marketing CMS Solution Pimcore"/>
    <s v="New Feature"/>
    <x v="0"/>
    <d v="2015-07-01T10:33:00"/>
    <x v="2"/>
    <x v="0"/>
    <x v="13"/>
    <n v="5"/>
    <m/>
    <n v="147.9"/>
    <n v="26.100000000000005"/>
  </r>
  <r>
    <s v="SBG - Desktop"/>
    <x v="4"/>
    <s v="New Feature"/>
    <s v="DESK-2605"/>
    <s v="Marketing CMS Solution Pimcore"/>
    <s v="New Feature"/>
    <x v="0"/>
    <d v="2015-07-06T14:58:00"/>
    <x v="2"/>
    <x v="0"/>
    <x v="13"/>
    <n v="6"/>
    <s v="Mobile implementation"/>
    <n v="147.9"/>
    <n v="26.100000000000005"/>
  </r>
  <r>
    <s v="SBG - Desktop"/>
    <x v="4"/>
    <s v="New Feature"/>
    <s v="DESK-2605"/>
    <s v="Marketing CMS Solution Pimcore"/>
    <s v="New Feature"/>
    <x v="0"/>
    <d v="2015-07-07T10:59:00"/>
    <x v="2"/>
    <x v="0"/>
    <x v="13"/>
    <n v="6"/>
    <m/>
    <n v="147.9"/>
    <n v="26.100000000000005"/>
  </r>
  <r>
    <s v="SBG - Desktop"/>
    <x v="4"/>
    <s v="New Feature"/>
    <s v="DESK-2605"/>
    <s v="Marketing CMS Solution Pimcore"/>
    <s v="New Feature"/>
    <x v="0"/>
    <d v="2015-07-09T11:00:00"/>
    <x v="2"/>
    <x v="0"/>
    <x v="13"/>
    <n v="5"/>
    <m/>
    <n v="147.9"/>
    <n v="26.100000000000005"/>
  </r>
  <r>
    <s v="SBG - Desktop"/>
    <x v="4"/>
    <s v="New Feature"/>
    <s v="DESK-2605"/>
    <s v="Marketing CMS Solution Pimcore"/>
    <s v="New Feature"/>
    <x v="0"/>
    <d v="2015-07-10T11:01:00"/>
    <x v="2"/>
    <x v="0"/>
    <x v="13"/>
    <n v="6"/>
    <m/>
    <n v="147.9"/>
    <n v="26.100000000000005"/>
  </r>
  <r>
    <s v="SBG - Desktop"/>
    <x v="4"/>
    <s v="New Feature"/>
    <s v="DESK-2605"/>
    <s v="Marketing CMS Solution Pimcore"/>
    <s v="New Feature"/>
    <x v="0"/>
    <d v="2015-07-13T14:59:00"/>
    <x v="2"/>
    <x v="0"/>
    <x v="13"/>
    <n v="4"/>
    <m/>
    <n v="147.9"/>
    <n v="26.100000000000005"/>
  </r>
  <r>
    <s v="SBG - Desktop"/>
    <x v="4"/>
    <s v="New Feature"/>
    <s v="DESK-2605"/>
    <s v="Marketing CMS Solution Pimcore"/>
    <s v="New Feature"/>
    <x v="0"/>
    <d v="2015-07-14T14:59:00"/>
    <x v="2"/>
    <x v="0"/>
    <x v="13"/>
    <n v="4"/>
    <m/>
    <n v="147.9"/>
    <n v="26.100000000000005"/>
  </r>
  <r>
    <s v="SBG - Desktop"/>
    <x v="4"/>
    <s v="New Feature"/>
    <s v="DESK-2605"/>
    <s v="Marketing CMS Solution Pimcore"/>
    <s v="New Feature"/>
    <x v="0"/>
    <d v="2015-07-15T14:59:00"/>
    <x v="2"/>
    <x v="0"/>
    <x v="13"/>
    <n v="4"/>
    <m/>
    <n v="147.9"/>
    <n v="26.100000000000005"/>
  </r>
  <r>
    <s v="SBG - Desktop"/>
    <x v="4"/>
    <s v="New Feature"/>
    <s v="DESK-2605"/>
    <s v="Marketing CMS Solution Pimcore"/>
    <s v="New Feature"/>
    <x v="0"/>
    <d v="2015-07-16T14:59:00"/>
    <x v="2"/>
    <x v="0"/>
    <x v="13"/>
    <n v="4"/>
    <m/>
    <n v="147.9"/>
    <n v="26.100000000000005"/>
  </r>
  <r>
    <s v="SBG - Desktop"/>
    <x v="4"/>
    <s v="New Feature"/>
    <s v="DESK-2605"/>
    <s v="Marketing CMS Solution Pimcore"/>
    <s v="New Feature"/>
    <x v="0"/>
    <d v="2015-07-22T14:59:00"/>
    <x v="2"/>
    <x v="0"/>
    <x v="13"/>
    <n v="6"/>
    <m/>
    <n v="147.9"/>
    <n v="26.100000000000005"/>
  </r>
  <r>
    <s v="SBG - Desktop"/>
    <x v="4"/>
    <s v="New Feature"/>
    <s v="DESK-2605"/>
    <s v="Marketing CMS Solution Pimcore"/>
    <s v="New Feature"/>
    <x v="0"/>
    <d v="2015-07-23T14:59:00"/>
    <x v="2"/>
    <x v="0"/>
    <x v="13"/>
    <n v="5"/>
    <m/>
    <n v="147.9"/>
    <n v="26.100000000000005"/>
  </r>
  <r>
    <s v="SBG - Desktop"/>
    <x v="4"/>
    <s v="New Feature"/>
    <s v="DESK-2605"/>
    <s v="Marketing CMS Solution Pimcore"/>
    <s v="New Feature"/>
    <x v="0"/>
    <d v="2015-07-27T10:33:00"/>
    <x v="2"/>
    <x v="0"/>
    <x v="13"/>
    <n v="2"/>
    <m/>
    <n v="147.9"/>
    <n v="26.100000000000005"/>
  </r>
  <r>
    <s v="SBG - Desktop"/>
    <x v="4"/>
    <s v="New Feature"/>
    <s v="DESK-2605"/>
    <s v="Marketing CMS Solution Pimcore"/>
    <s v="New Feature"/>
    <x v="0"/>
    <d v="2015-07-28T14:59:00"/>
    <x v="2"/>
    <x v="0"/>
    <x v="13"/>
    <n v="5"/>
    <m/>
    <n v="147.9"/>
    <n v="26.100000000000005"/>
  </r>
  <r>
    <s v="SBG - Desktop"/>
    <x v="4"/>
    <s v="New Feature"/>
    <s v="DESK-2605"/>
    <s v="Marketing CMS Solution Pimcore"/>
    <s v="New Feature"/>
    <x v="0"/>
    <d v="2015-07-29T14:59:00"/>
    <x v="2"/>
    <x v="0"/>
    <x v="13"/>
    <n v="5"/>
    <m/>
    <n v="147.9"/>
    <n v="26.100000000000005"/>
  </r>
  <r>
    <s v="SBG - Desktop"/>
    <x v="4"/>
    <s v="New Feature"/>
    <s v="DESK-2605"/>
    <s v="Marketing CMS Solution Pimcore"/>
    <s v="New Feature"/>
    <x v="0"/>
    <d v="2015-07-30T14:59:00"/>
    <x v="2"/>
    <x v="0"/>
    <x v="13"/>
    <n v="5"/>
    <m/>
    <n v="147.9"/>
    <n v="26.100000000000005"/>
  </r>
  <r>
    <s v="SBG - Desktop"/>
    <x v="4"/>
    <s v="New Feature"/>
    <s v="DESK-2605"/>
    <s v="Marketing CMS Solution Pimcore"/>
    <s v="New Feature"/>
    <x v="0"/>
    <d v="2015-07-31T14:59:00"/>
    <x v="2"/>
    <x v="0"/>
    <x v="13"/>
    <n v="5"/>
    <m/>
    <n v="147.9"/>
    <n v="26.100000000000005"/>
  </r>
  <r>
    <s v="SBG - Desktop"/>
    <x v="2"/>
    <s v="Sub-task"/>
    <s v="DESK-2613"/>
    <s v="DESK-2610&gt; Frame size 62mm or higher --&gt; not Rx-able "/>
    <s v="Sub-task"/>
    <x v="0"/>
    <d v="2015-07-28T17:00:00"/>
    <x v="2"/>
    <x v="0"/>
    <x v="20"/>
    <n v="8"/>
    <m/>
    <n v="147.9"/>
    <n v="26.100000000000005"/>
  </r>
  <r>
    <s v="SBG - Desktop"/>
    <x v="2"/>
    <s v="Sub-task"/>
    <s v="DESK-2613"/>
    <s v="DESK-2610&gt; Frame size 62mm or higher --&gt; not Rx-able "/>
    <s v="Sub-task"/>
    <x v="0"/>
    <d v="2015-07-29T17:00:00"/>
    <x v="2"/>
    <x v="0"/>
    <x v="20"/>
    <n v="8"/>
    <m/>
    <n v="147.9"/>
    <n v="26.100000000000005"/>
  </r>
  <r>
    <s v="SBG - Desktop"/>
    <x v="1"/>
    <s v="Sub-task"/>
    <s v="DESK-2621"/>
    <s v="DESK-2240&gt; Reactivate Prada on Mobile"/>
    <s v="Sub-task"/>
    <x v="0"/>
    <d v="2015-06-22T18:55:00"/>
    <x v="6"/>
    <x v="0"/>
    <x v="1"/>
    <n v="6"/>
    <m/>
    <n v="141.1"/>
    <n v="24.900000000000002"/>
  </r>
  <r>
    <s v="SBG - Desktop"/>
    <x v="1"/>
    <s v="Sub-task"/>
    <s v="DESK-2621"/>
    <s v="DESK-2240&gt; Reactivate Prada on Mobile"/>
    <s v="Sub-task"/>
    <x v="0"/>
    <d v="2015-06-24T18:51:00"/>
    <x v="6"/>
    <x v="0"/>
    <x v="1"/>
    <n v="6"/>
    <m/>
    <n v="141.1"/>
    <n v="24.900000000000002"/>
  </r>
  <r>
    <s v="SBG - Desktop"/>
    <x v="1"/>
    <s v="Sub-task"/>
    <s v="DESK-2621"/>
    <s v="DESK-2240&gt; Reactivate Prada on Mobile"/>
    <s v="Sub-task"/>
    <x v="0"/>
    <d v="2015-06-25T18:51:00"/>
    <x v="6"/>
    <x v="0"/>
    <x v="1"/>
    <n v="3"/>
    <m/>
    <n v="141.1"/>
    <n v="24.900000000000002"/>
  </r>
  <r>
    <s v="SBG - Desktop"/>
    <x v="2"/>
    <s v="Sub-task"/>
    <s v="DESK-2621"/>
    <s v="DESK-2240&gt; Reactivate Prada on Mobile"/>
    <s v="Sub-task"/>
    <x v="0"/>
    <d v="2015-06-29T11:31:00"/>
    <x v="6"/>
    <x v="0"/>
    <x v="6"/>
    <n v="1"/>
    <m/>
    <n v="141.1"/>
    <n v="24.900000000000002"/>
  </r>
  <r>
    <s v="SBG - Desktop"/>
    <x v="1"/>
    <s v="Sub-task"/>
    <s v="DESK-2621"/>
    <s v="DESK-2240&gt; Reactivate Prada on Mobile"/>
    <s v="Sub-task"/>
    <x v="0"/>
    <d v="2015-06-29T18:50:00"/>
    <x v="6"/>
    <x v="0"/>
    <x v="1"/>
    <n v="1"/>
    <m/>
    <n v="141.1"/>
    <n v="24.900000000000002"/>
  </r>
  <r>
    <s v="SBG - Desktop"/>
    <x v="1"/>
    <s v="Sub-task"/>
    <s v="DESK-2621"/>
    <s v="DESK-2240&gt; Reactivate Prada on Mobile"/>
    <s v="Sub-task"/>
    <x v="0"/>
    <d v="2015-06-30T15:14:00"/>
    <x v="6"/>
    <x v="0"/>
    <x v="1"/>
    <n v="2"/>
    <m/>
    <n v="141.1"/>
    <n v="24.900000000000002"/>
  </r>
  <r>
    <s v="SBG - Desktop"/>
    <x v="1"/>
    <s v="Sub-task"/>
    <s v="DESK-2621"/>
    <s v="DESK-2240&gt; Reactivate Prada on Mobile"/>
    <s v="Sub-task"/>
    <x v="0"/>
    <d v="2015-07-06T18:56:00"/>
    <x v="2"/>
    <x v="0"/>
    <x v="1"/>
    <n v="4"/>
    <m/>
    <n v="147.9"/>
    <n v="26.100000000000005"/>
  </r>
  <r>
    <s v="SBG - Desktop"/>
    <x v="1"/>
    <s v="Sub-task"/>
    <s v="DESK-2621"/>
    <s v="DESK-2240&gt; Reactivate Prada on Mobile"/>
    <s v="Sub-task"/>
    <x v="0"/>
    <d v="2015-07-10T18:58:00"/>
    <x v="2"/>
    <x v="0"/>
    <x v="1"/>
    <n v="8"/>
    <m/>
    <n v="147.9"/>
    <n v="26.100000000000005"/>
  </r>
  <r>
    <s v="SBG - Desktop"/>
    <x v="1"/>
    <s v="New Feature"/>
    <s v="DESK-2623"/>
    <s v="Disable right click for all images on product page"/>
    <s v="New Feature"/>
    <x v="0"/>
    <d v="2015-07-13T18:59:00"/>
    <x v="2"/>
    <x v="0"/>
    <x v="1"/>
    <n v="6"/>
    <m/>
    <n v="147.9"/>
    <n v="26.100000000000005"/>
  </r>
  <r>
    <s v="SBG - Desktop"/>
    <x v="1"/>
    <s v="New Feature"/>
    <s v="DESK-2623"/>
    <s v="Disable right click for all images on product page"/>
    <s v="New Feature"/>
    <x v="0"/>
    <d v="2015-07-17T18:27:00"/>
    <x v="2"/>
    <x v="0"/>
    <x v="1"/>
    <n v="1"/>
    <m/>
    <n v="147.9"/>
    <n v="26.100000000000005"/>
  </r>
  <r>
    <s v="SBG - Desktop"/>
    <x v="0"/>
    <s v="New Feature"/>
    <s v="DESK-2623"/>
    <s v="Disable right click for all images on product page"/>
    <s v="New Feature"/>
    <x v="0"/>
    <d v="2015-07-22T11:29:00"/>
    <x v="2"/>
    <x v="0"/>
    <x v="19"/>
    <n v="0.33300000000000002"/>
    <m/>
    <n v="87"/>
    <n v="87"/>
  </r>
  <r>
    <s v="SBG - Desktop"/>
    <x v="0"/>
    <s v="New Feature"/>
    <s v="DESK-2623"/>
    <s v="Disable right click for all images on product page"/>
    <s v="New Feature"/>
    <x v="0"/>
    <d v="2015-07-23T09:00:00"/>
    <x v="2"/>
    <x v="0"/>
    <x v="19"/>
    <n v="8"/>
    <m/>
    <n v="87"/>
    <n v="87"/>
  </r>
  <r>
    <s v="SBG - Desktop"/>
    <x v="1"/>
    <s v="New Feature"/>
    <s v="DESK-2623"/>
    <s v="Disable right click for all images on product page"/>
    <s v="New Feature"/>
    <x v="0"/>
    <d v="2015-07-28T18:23:00"/>
    <x v="2"/>
    <x v="0"/>
    <x v="1"/>
    <n v="1"/>
    <m/>
    <n v="147.9"/>
    <n v="26.100000000000005"/>
  </r>
  <r>
    <s v="SBG - Desktop"/>
    <x v="1"/>
    <s v="New Feature"/>
    <s v="DESK-2623"/>
    <s v="Disable right click for all images on product page"/>
    <s v="New Feature"/>
    <x v="0"/>
    <d v="2015-07-29T18:32:00"/>
    <x v="2"/>
    <x v="0"/>
    <x v="1"/>
    <n v="1"/>
    <m/>
    <n v="147.9"/>
    <n v="26.100000000000005"/>
  </r>
  <r>
    <s v="SBG - Desktop"/>
    <x v="1"/>
    <s v="New Feature"/>
    <s v="DESK-2623"/>
    <s v="Disable right click for all images on product page"/>
    <s v="New Feature"/>
    <x v="0"/>
    <d v="2015-07-30T12:25:00"/>
    <x v="2"/>
    <x v="0"/>
    <x v="1"/>
    <n v="1.5"/>
    <m/>
    <n v="147.9"/>
    <n v="26.100000000000005"/>
  </r>
  <r>
    <s v="SBG - Desktop"/>
    <x v="2"/>
    <s v="New Feature"/>
    <s v="DESK-2625"/>
    <s v="Shipping time for LAFONT"/>
    <s v="New Feature"/>
    <x v="0"/>
    <d v="2015-07-08T10:57:00"/>
    <x v="2"/>
    <x v="0"/>
    <x v="2"/>
    <n v="3"/>
    <m/>
    <n v="147.9"/>
    <n v="26.100000000000005"/>
  </r>
  <r>
    <s v="SBG - Desktop"/>
    <x v="3"/>
    <s v="New Feature"/>
    <s v="DESK-2625"/>
    <s v="Shipping time for LAFONT"/>
    <s v="New Feature"/>
    <x v="0"/>
    <d v="2015-07-24T10:58:00"/>
    <x v="2"/>
    <x v="0"/>
    <x v="3"/>
    <n v="1"/>
    <m/>
    <n v="87"/>
    <n v="87"/>
  </r>
  <r>
    <s v="SBG - Desktop"/>
    <x v="3"/>
    <s v="New Feature"/>
    <s v="DESK-2625"/>
    <s v="Shipping time for LAFONT"/>
    <s v="New Feature"/>
    <x v="0"/>
    <d v="2015-07-24T10:58:00"/>
    <x v="2"/>
    <x v="0"/>
    <x v="3"/>
    <n v="1"/>
    <m/>
    <n v="87"/>
    <n v="87"/>
  </r>
  <r>
    <s v="SBG - Desktop"/>
    <x v="2"/>
    <s v="Improvement"/>
    <s v="DESK-2628"/>
    <s v="RX Lens Recommendation Update"/>
    <s v="Improvement"/>
    <x v="0"/>
    <d v="2015-07-17T11:06:00"/>
    <x v="2"/>
    <x v="0"/>
    <x v="18"/>
    <n v="24"/>
    <m/>
    <n v="147.9"/>
    <n v="26.100000000000005"/>
  </r>
  <r>
    <s v="SBG - Desktop"/>
    <x v="1"/>
    <s v="Improvement"/>
    <s v="DESK-2628"/>
    <s v="RX Lens Recommendation Update"/>
    <s v="Improvement"/>
    <x v="0"/>
    <d v="2015-07-21T16:35:00"/>
    <x v="2"/>
    <x v="0"/>
    <x v="5"/>
    <n v="4"/>
    <m/>
    <n v="147.9"/>
    <n v="26.100000000000005"/>
  </r>
  <r>
    <s v="SBG - Desktop"/>
    <x v="3"/>
    <s v="Improvement"/>
    <s v="DESK-2628"/>
    <s v="RX Lens Recommendation Update"/>
    <s v="Improvement"/>
    <x v="0"/>
    <d v="2015-07-24T11:10:00"/>
    <x v="2"/>
    <x v="0"/>
    <x v="3"/>
    <n v="1"/>
    <m/>
    <n v="87"/>
    <n v="87"/>
  </r>
  <r>
    <s v="SBG - Desktop"/>
    <x v="2"/>
    <s v="Improvement"/>
    <s v="DESK-2628"/>
    <s v="RX Lens Recommendation Update"/>
    <s v="Improvement"/>
    <x v="0"/>
    <d v="2015-07-30T15:18:00"/>
    <x v="2"/>
    <x v="0"/>
    <x v="18"/>
    <n v="4"/>
    <m/>
    <n v="147.9"/>
    <n v="26.100000000000005"/>
  </r>
  <r>
    <s v="SBG - Desktop"/>
    <x v="3"/>
    <s v="Improvement"/>
    <s v="DESK-2628"/>
    <s v="RX Lens Recommendation Update"/>
    <s v="Improvement"/>
    <x v="0"/>
    <d v="2015-07-30T16:10:00"/>
    <x v="2"/>
    <x v="0"/>
    <x v="3"/>
    <n v="3"/>
    <m/>
    <n v="87"/>
    <n v="87"/>
  </r>
  <r>
    <s v="SBG - Desktop"/>
    <x v="1"/>
    <s v="Improvement"/>
    <s v="DESK-2631"/>
    <s v="ENABLE quick search for all websites, except on SEARCH RESULTS Page"/>
    <s v="Improvement"/>
    <x v="0"/>
    <d v="2015-07-16T12:12:00"/>
    <x v="2"/>
    <x v="0"/>
    <x v="1"/>
    <n v="2"/>
    <m/>
    <n v="147.9"/>
    <n v="26.100000000000005"/>
  </r>
  <r>
    <s v="SBG - Desktop"/>
    <x v="3"/>
    <s v="Improvement"/>
    <s v="DESK-2631"/>
    <s v="ENABLE quick search for all websites, except on SEARCH RESULTS Page"/>
    <s v="Improvement"/>
    <x v="0"/>
    <d v="2015-07-24T11:06:00"/>
    <x v="2"/>
    <x v="0"/>
    <x v="3"/>
    <n v="1"/>
    <m/>
    <n v="87"/>
    <n v="87"/>
  </r>
  <r>
    <s v="SBG - Desktop"/>
    <x v="0"/>
    <s v="Task"/>
    <s v="DESK-2632"/>
    <s v="Create the moving elements on the celebrities home page"/>
    <s v="Task"/>
    <x v="0"/>
    <d v="2015-07-17T14:40:00"/>
    <x v="2"/>
    <x v="0"/>
    <x v="19"/>
    <n v="4"/>
    <m/>
    <n v="87"/>
    <n v="87"/>
  </r>
  <r>
    <s v="SBG - Desktop"/>
    <x v="4"/>
    <s v="Task"/>
    <s v="DESK-2705"/>
    <s v="Please change GET 5% REWARDS on 13 domains to STUDENT DISCOUNT"/>
    <s v="Task"/>
    <x v="0"/>
    <d v="2015-07-10T10:24:00"/>
    <x v="2"/>
    <x v="0"/>
    <x v="13"/>
    <n v="2"/>
    <m/>
    <n v="147.9"/>
    <n v="26.100000000000005"/>
  </r>
  <r>
    <s v="SBG - Desktop"/>
    <x v="4"/>
    <s v="New Feature"/>
    <s v="DESK-2707"/>
    <s v="Prada - Featured brands launch - Home page"/>
    <s v="New Feature"/>
    <x v="0"/>
    <d v="2015-07-30T10:17:00"/>
    <x v="2"/>
    <x v="0"/>
    <x v="13"/>
    <n v="3"/>
    <m/>
    <n v="147.9"/>
    <n v="26.100000000000005"/>
  </r>
  <r>
    <s v="SBG - Desktop"/>
    <x v="2"/>
    <s v="Task"/>
    <s v="DESK-2725"/>
    <s v="RX CHECK-OUT STEP 4 -- EYEGLASSES 1.61 is NOT aspheric"/>
    <s v="Task"/>
    <x v="0"/>
    <d v="2015-07-31T11:12:00"/>
    <x v="2"/>
    <x v="0"/>
    <x v="18"/>
    <n v="4"/>
    <m/>
    <n v="147.9"/>
    <n v="26.100000000000005"/>
  </r>
  <r>
    <s v="SBG - Desktop"/>
    <x v="4"/>
    <s v="Task"/>
    <s v="DESK-2726"/>
    <s v="update VisionDirect.com.au invoice (non-AU HEALTH)"/>
    <s v="Task"/>
    <x v="0"/>
    <d v="2015-07-23T10:18:00"/>
    <x v="2"/>
    <x v="0"/>
    <x v="13"/>
    <n v="2"/>
    <m/>
    <n v="147.9"/>
    <n v="26.100000000000005"/>
  </r>
  <r>
    <s v="SBG - Desktop"/>
    <x v="2"/>
    <s v="New Feature"/>
    <s v="DESK-2729"/>
    <s v="Remove third party JS etools.js for all domains"/>
    <s v="New Feature"/>
    <x v="0"/>
    <d v="2015-07-31T20:16:00"/>
    <x v="2"/>
    <x v="0"/>
    <x v="2"/>
    <n v="3"/>
    <m/>
    <n v="147.9"/>
    <n v="26.100000000000005"/>
  </r>
  <r>
    <s v="SBG - Desktop"/>
    <x v="1"/>
    <s v="New Feature"/>
    <s v="DESK-2737"/>
    <s v="make home page / index.html work"/>
    <s v="New Feature"/>
    <x v="0"/>
    <d v="2015-06-16T08:16:00"/>
    <x v="6"/>
    <x v="0"/>
    <x v="21"/>
    <n v="8"/>
    <m/>
    <n v="141.1"/>
    <n v="24.900000000000002"/>
  </r>
  <r>
    <s v="SBG - Desktop"/>
    <x v="1"/>
    <s v="New Feature"/>
    <s v="DESK-2737"/>
    <s v="make home page / index.html work"/>
    <s v="New Feature"/>
    <x v="0"/>
    <d v="2015-06-18T08:16:00"/>
    <x v="6"/>
    <x v="0"/>
    <x v="21"/>
    <n v="8"/>
    <m/>
    <n v="141.1"/>
    <n v="24.900000000000002"/>
  </r>
  <r>
    <s v="SBG - Desktop"/>
    <x v="1"/>
    <s v="New Feature"/>
    <s v="DESK-2737"/>
    <s v="make home page / index.html work"/>
    <s v="New Feature"/>
    <x v="0"/>
    <d v="2015-06-23T08:16:00"/>
    <x v="6"/>
    <x v="0"/>
    <x v="21"/>
    <n v="8"/>
    <m/>
    <n v="141.1"/>
    <n v="24.900000000000002"/>
  </r>
  <r>
    <s v="SBG - Desktop"/>
    <x v="1"/>
    <s v="New Feature"/>
    <s v="DESK-2737"/>
    <s v="make home page / index.html work"/>
    <s v="New Feature"/>
    <x v="0"/>
    <d v="2015-06-25T08:16:00"/>
    <x v="6"/>
    <x v="0"/>
    <x v="21"/>
    <n v="8"/>
    <m/>
    <n v="141.1"/>
    <n v="24.900000000000002"/>
  </r>
  <r>
    <s v="SBG - Desktop"/>
    <x v="1"/>
    <s v="New Feature"/>
    <s v="DESK-2737"/>
    <s v="make home page / index.html work"/>
    <s v="New Feature"/>
    <x v="0"/>
    <d v="2015-06-30T08:16:00"/>
    <x v="6"/>
    <x v="0"/>
    <x v="21"/>
    <n v="8"/>
    <m/>
    <n v="141.1"/>
    <n v="24.900000000000002"/>
  </r>
  <r>
    <s v="SBG - Desktop"/>
    <x v="1"/>
    <s v="New Feature"/>
    <s v="DESK-2737"/>
    <s v="make home page / index.html work"/>
    <s v="New Feature"/>
    <x v="0"/>
    <d v="2015-07-02T08:16:00"/>
    <x v="2"/>
    <x v="0"/>
    <x v="21"/>
    <n v="8"/>
    <m/>
    <n v="147.9"/>
    <n v="26.100000000000005"/>
  </r>
  <r>
    <s v="SBG - Desktop"/>
    <x v="1"/>
    <s v="New Feature"/>
    <s v="DESK-2737"/>
    <s v="make home page / index.html work"/>
    <s v="New Feature"/>
    <x v="0"/>
    <d v="2015-07-07T08:15:00"/>
    <x v="2"/>
    <x v="0"/>
    <x v="21"/>
    <n v="8"/>
    <m/>
    <n v="147.9"/>
    <n v="26.100000000000005"/>
  </r>
  <r>
    <s v="SBG - Desktop"/>
    <x v="1"/>
    <s v="New Feature"/>
    <s v="DESK-2737"/>
    <s v="make home page / index.html work"/>
    <s v="New Feature"/>
    <x v="0"/>
    <d v="2015-07-09T08:15:00"/>
    <x v="2"/>
    <x v="0"/>
    <x v="21"/>
    <n v="8"/>
    <m/>
    <n v="147.9"/>
    <n v="26.100000000000005"/>
  </r>
  <r>
    <s v="SBG - Desktop"/>
    <x v="1"/>
    <s v="New Feature"/>
    <s v="DESK-2737"/>
    <s v="make home page / index.html work"/>
    <s v="New Feature"/>
    <x v="0"/>
    <d v="2015-07-14T08:15:00"/>
    <x v="2"/>
    <x v="0"/>
    <x v="21"/>
    <n v="8"/>
    <m/>
    <n v="147.9"/>
    <n v="26.100000000000005"/>
  </r>
  <r>
    <s v="SBG - Desktop"/>
    <x v="1"/>
    <s v="New Feature"/>
    <s v="DESK-2737"/>
    <s v="make home page / index.html work"/>
    <s v="New Feature"/>
    <x v="0"/>
    <d v="2015-07-16T08:15:00"/>
    <x v="2"/>
    <x v="0"/>
    <x v="21"/>
    <n v="8"/>
    <m/>
    <n v="147.9"/>
    <n v="26.100000000000005"/>
  </r>
  <r>
    <s v="SBG - Desktop"/>
    <x v="1"/>
    <s v="New Feature"/>
    <s v="DESK-2737"/>
    <s v="make home page / index.html work"/>
    <s v="New Feature"/>
    <x v="0"/>
    <d v="2015-07-21T08:15:00"/>
    <x v="2"/>
    <x v="0"/>
    <x v="21"/>
    <n v="8"/>
    <m/>
    <n v="147.9"/>
    <n v="26.100000000000005"/>
  </r>
  <r>
    <s v="SBG - Desktop"/>
    <x v="1"/>
    <s v="New Feature"/>
    <s v="DESK-2737"/>
    <s v="make home page / index.html work"/>
    <s v="New Feature"/>
    <x v="0"/>
    <d v="2015-07-24T08:15:00"/>
    <x v="2"/>
    <x v="0"/>
    <x v="21"/>
    <n v="8"/>
    <m/>
    <n v="147.9"/>
    <n v="26.100000000000005"/>
  </r>
  <r>
    <s v="SBG - Desktop"/>
    <x v="1"/>
    <s v="New Feature"/>
    <s v="DESK-2737"/>
    <s v="make home page / index.html work"/>
    <s v="New Feature"/>
    <x v="0"/>
    <d v="2015-07-27T08:15:00"/>
    <x v="2"/>
    <x v="0"/>
    <x v="21"/>
    <n v="8"/>
    <m/>
    <n v="147.9"/>
    <n v="26.100000000000005"/>
  </r>
  <r>
    <s v="SBG - Desktop"/>
    <x v="1"/>
    <s v="New Feature"/>
    <s v="DESK-2737"/>
    <s v="make home page / index.html work"/>
    <s v="New Feature"/>
    <x v="0"/>
    <d v="2015-07-28T08:15:00"/>
    <x v="2"/>
    <x v="0"/>
    <x v="21"/>
    <n v="8"/>
    <m/>
    <n v="147.9"/>
    <n v="26.100000000000005"/>
  </r>
  <r>
    <s v="SBG - Desktop"/>
    <x v="1"/>
    <s v="New Feature"/>
    <s v="DESK-2737"/>
    <s v="make home page / index.html work"/>
    <s v="New Feature"/>
    <x v="0"/>
    <d v="2015-07-29T08:15:00"/>
    <x v="2"/>
    <x v="0"/>
    <x v="21"/>
    <n v="8"/>
    <m/>
    <n v="147.9"/>
    <n v="26.100000000000005"/>
  </r>
  <r>
    <s v="SBG - Desktop"/>
    <x v="4"/>
    <s v="Task"/>
    <s v="DESK-2738"/>
    <s v="SUMMER SALE PROMOTION LAUNCH"/>
    <s v="Task"/>
    <x v="0"/>
    <d v="2015-07-24T10:16:00"/>
    <x v="2"/>
    <x v="0"/>
    <x v="13"/>
    <n v="3"/>
    <m/>
    <n v="147.9"/>
    <n v="26.100000000000005"/>
  </r>
  <r>
    <s v="SBG - Desktop"/>
    <x v="0"/>
    <s v="Task"/>
    <s v="DESK-2738"/>
    <s v="SUMMER SALE PROMOTION LAUNCH"/>
    <s v="Task"/>
    <x v="0"/>
    <d v="2015-07-24T18:34:00"/>
    <x v="2"/>
    <x v="0"/>
    <x v="7"/>
    <n v="6"/>
    <m/>
    <n v="87"/>
    <n v="87"/>
  </r>
  <r>
    <s v="SBG - Desktop"/>
    <x v="0"/>
    <s v="Task"/>
    <s v="DESK-2738"/>
    <s v="SUMMER SALE PROMOTION LAUNCH"/>
    <s v="Task"/>
    <x v="0"/>
    <d v="2015-07-27T18:33:00"/>
    <x v="2"/>
    <x v="0"/>
    <x v="7"/>
    <n v="6"/>
    <m/>
    <n v="87"/>
    <n v="87"/>
  </r>
  <r>
    <s v="SBG - Desktop"/>
    <x v="0"/>
    <s v="Task"/>
    <s v="DESK-2738"/>
    <s v="SUMMER SALE PROMOTION LAUNCH"/>
    <s v="Task"/>
    <x v="0"/>
    <d v="2015-07-28T15:22:00"/>
    <x v="2"/>
    <x v="0"/>
    <x v="7"/>
    <n v="2"/>
    <m/>
    <n v="87"/>
    <n v="87"/>
  </r>
  <r>
    <s v="SBG - Desktop"/>
    <x v="0"/>
    <s v="Task"/>
    <s v="DESK-2738"/>
    <s v="SUMMER SALE PROMOTION LAUNCH"/>
    <s v="Task"/>
    <x v="0"/>
    <d v="2015-07-29T11:35:00"/>
    <x v="2"/>
    <x v="0"/>
    <x v="7"/>
    <n v="4"/>
    <m/>
    <n v="87"/>
    <n v="87"/>
  </r>
  <r>
    <s v="SBG - Desktop"/>
    <x v="2"/>
    <s v="Task"/>
    <s v="DESK-2738"/>
    <s v="SUMMER SALE PROMOTION LAUNCH"/>
    <s v="Task"/>
    <x v="0"/>
    <d v="2015-07-29T16:45:00"/>
    <x v="2"/>
    <x v="0"/>
    <x v="10"/>
    <n v="8"/>
    <m/>
    <n v="147.9"/>
    <n v="26.100000000000005"/>
  </r>
  <r>
    <s v="SBG - Desktop"/>
    <x v="0"/>
    <s v="Task"/>
    <s v="DESK-2738"/>
    <s v="SUMMER SALE PROMOTION LAUNCH"/>
    <s v="Task"/>
    <x v="0"/>
    <d v="2015-07-30T18:30:00"/>
    <x v="2"/>
    <x v="0"/>
    <x v="7"/>
    <n v="2"/>
    <m/>
    <n v="87"/>
    <n v="87"/>
  </r>
  <r>
    <s v="SBG - Desktop"/>
    <x v="4"/>
    <s v="New Feature"/>
    <s v="DESK-3155"/>
    <s v="EDM Automation tool"/>
    <s v="New Feature"/>
    <x v="0"/>
    <d v="2015-06-08T11:40:00"/>
    <x v="6"/>
    <x v="0"/>
    <x v="13"/>
    <n v="6"/>
    <m/>
    <n v="141.1"/>
    <n v="24.900000000000002"/>
  </r>
  <r>
    <s v="SBG - Desktop"/>
    <x v="4"/>
    <s v="New Feature"/>
    <s v="DESK-3155"/>
    <s v="EDM Automation tool"/>
    <s v="New Feature"/>
    <x v="0"/>
    <d v="2015-06-09T11:41:00"/>
    <x v="6"/>
    <x v="0"/>
    <x v="13"/>
    <n v="7"/>
    <m/>
    <n v="141.1"/>
    <n v="24.900000000000002"/>
  </r>
  <r>
    <s v="SBG - Desktop"/>
    <x v="4"/>
    <s v="New Feature"/>
    <s v="DESK-3155"/>
    <s v="EDM Automation tool"/>
    <s v="New Feature"/>
    <x v="0"/>
    <d v="2015-06-10T11:41:00"/>
    <x v="6"/>
    <x v="0"/>
    <x v="13"/>
    <n v="5"/>
    <m/>
    <n v="141.1"/>
    <n v="24.900000000000002"/>
  </r>
  <r>
    <s v="SBG - Desktop"/>
    <x v="4"/>
    <s v="New Feature"/>
    <s v="DESK-3155"/>
    <s v="EDM Automation tool"/>
    <s v="New Feature"/>
    <x v="0"/>
    <d v="2015-06-11T11:42:00"/>
    <x v="6"/>
    <x v="0"/>
    <x v="13"/>
    <n v="7"/>
    <m/>
    <n v="141.1"/>
    <n v="24.900000000000002"/>
  </r>
  <r>
    <s v="SBG - Desktop"/>
    <x v="4"/>
    <s v="New Feature"/>
    <s v="DESK-3155"/>
    <s v="EDM Automation tool"/>
    <s v="New Feature"/>
    <x v="0"/>
    <d v="2015-06-12T12:04:00"/>
    <x v="6"/>
    <x v="0"/>
    <x v="13"/>
    <n v="4"/>
    <m/>
    <n v="141.1"/>
    <n v="24.900000000000002"/>
  </r>
  <r>
    <s v="SBG - Desktop"/>
    <x v="4"/>
    <s v="New Feature"/>
    <s v="DESK-3155"/>
    <s v="EDM Automation tool"/>
    <s v="New Feature"/>
    <x v="0"/>
    <d v="2015-06-17T12:03:00"/>
    <x v="6"/>
    <x v="0"/>
    <x v="13"/>
    <n v="4"/>
    <m/>
    <n v="141.1"/>
    <n v="24.900000000000002"/>
  </r>
  <r>
    <s v="SBG - Desktop"/>
    <x v="4"/>
    <s v="New Feature"/>
    <s v="DESK-3155"/>
    <s v="EDM Automation tool"/>
    <s v="New Feature"/>
    <x v="0"/>
    <d v="2015-06-18T12:01:00"/>
    <x v="6"/>
    <x v="0"/>
    <x v="13"/>
    <n v="4"/>
    <m/>
    <n v="141.1"/>
    <n v="24.900000000000002"/>
  </r>
  <r>
    <s v="SBG - Desktop"/>
    <x v="1"/>
    <s v="Bug"/>
    <s v="DESK-3319"/>
    <s v="Change banner path"/>
    <s v="Bug"/>
    <x v="1"/>
    <d v="2015-07-02T11:06:00"/>
    <x v="2"/>
    <x v="0"/>
    <x v="1"/>
    <n v="1"/>
    <m/>
    <n v="147.9"/>
    <n v="26.100000000000005"/>
  </r>
  <r>
    <s v="SBG - Desktop"/>
    <x v="2"/>
    <s v="Bug"/>
    <s v="DESK-3345"/>
    <s v="Interpay bugs: STATE and CPF"/>
    <s v="Bug"/>
    <x v="1"/>
    <d v="2015-06-04T18:34:00"/>
    <x v="6"/>
    <x v="0"/>
    <x v="2"/>
    <n v="4"/>
    <m/>
    <n v="141.1"/>
    <n v="24.900000000000002"/>
  </r>
  <r>
    <s v="SBG - Desktop"/>
    <x v="2"/>
    <s v="Bug"/>
    <s v="DESK-3345"/>
    <s v="Interpay bugs: STATE and CPF"/>
    <s v="Bug"/>
    <x v="1"/>
    <d v="2015-06-05T18:34:00"/>
    <x v="6"/>
    <x v="0"/>
    <x v="2"/>
    <n v="4"/>
    <m/>
    <n v="141.1"/>
    <n v="24.900000000000002"/>
  </r>
  <r>
    <s v="SBG - Desktop"/>
    <x v="2"/>
    <s v="Bug"/>
    <s v="DESK-3345"/>
    <s v="Interpay bugs: STATE and CPF"/>
    <s v="Bug"/>
    <x v="1"/>
    <d v="2015-06-08T18:33:00"/>
    <x v="6"/>
    <x v="0"/>
    <x v="2"/>
    <n v="4"/>
    <m/>
    <n v="141.1"/>
    <n v="24.900000000000002"/>
  </r>
  <r>
    <s v="SBG - Desktop"/>
    <x v="2"/>
    <s v="Bug"/>
    <s v="DESK-3470"/>
    <s v="English URL dont work in CO and AR domains"/>
    <s v="Bug"/>
    <x v="1"/>
    <d v="2015-07-22T15:09:00"/>
    <x v="2"/>
    <x v="0"/>
    <x v="18"/>
    <n v="4"/>
    <m/>
    <n v="147.9"/>
    <n v="26.100000000000005"/>
  </r>
  <r>
    <s v="SBG - Desktop"/>
    <x v="0"/>
    <s v="Bug"/>
    <s v="DESK-3502"/>
    <s v="Desktop_homepage_Optimize"/>
    <s v="Bug"/>
    <x v="1"/>
    <d v="2015-07-21T18:32:00"/>
    <x v="2"/>
    <x v="0"/>
    <x v="7"/>
    <n v="6"/>
    <m/>
    <n v="87"/>
    <n v="87"/>
  </r>
  <r>
    <s v="SBG - Desktop"/>
    <x v="0"/>
    <s v="Bug"/>
    <s v="DESK-3502"/>
    <s v="Desktop_homepage_Optimize"/>
    <s v="Bug"/>
    <x v="1"/>
    <d v="2015-07-22T18:22:00"/>
    <x v="2"/>
    <x v="0"/>
    <x v="7"/>
    <n v="4"/>
    <m/>
    <n v="87"/>
    <n v="87"/>
  </r>
  <r>
    <s v="SBG - Desktop"/>
    <x v="0"/>
    <s v="Bug"/>
    <s v="DESK-3502"/>
    <s v="Desktop_homepage_Optimize"/>
    <s v="Bug"/>
    <x v="1"/>
    <d v="2015-07-23T18:29:00"/>
    <x v="2"/>
    <x v="0"/>
    <x v="7"/>
    <n v="5"/>
    <m/>
    <n v="87"/>
    <n v="87"/>
  </r>
  <r>
    <s v="SBG - Desktop"/>
    <x v="3"/>
    <s v="Bug"/>
    <s v="DESK-3502"/>
    <s v="Desktop_homepage_Optimize"/>
    <s v="Bug"/>
    <x v="1"/>
    <d v="2015-07-24T11:07:00"/>
    <x v="2"/>
    <x v="0"/>
    <x v="3"/>
    <n v="1"/>
    <m/>
    <n v="87"/>
    <n v="87"/>
  </r>
  <r>
    <s v="SBG - Desktop"/>
    <x v="1"/>
    <s v="Bug"/>
    <s v="DESK-3578"/>
    <s v="Shipping address input box needs limitation on the number of characters user inputs"/>
    <s v="Bug"/>
    <x v="1"/>
    <d v="2015-07-16T12:11:00"/>
    <x v="2"/>
    <x v="0"/>
    <x v="1"/>
    <n v="2"/>
    <m/>
    <n v="147.9"/>
    <n v="26.100000000000005"/>
  </r>
  <r>
    <s v="SBG - Desktop"/>
    <x v="2"/>
    <s v="Bug"/>
    <s v="DESK-3578"/>
    <s v="Shipping address input box needs limitation on the number of characters user inputs"/>
    <s v="Bug"/>
    <x v="1"/>
    <d v="2015-07-16T18:21:00"/>
    <x v="2"/>
    <x v="0"/>
    <x v="2"/>
    <n v="3"/>
    <m/>
    <n v="147.9"/>
    <n v="26.100000000000005"/>
  </r>
  <r>
    <s v="SBG - Desktop"/>
    <x v="3"/>
    <s v="Bug"/>
    <s v="DESK-3578"/>
    <s v="Shipping address input box needs limitation on the number of characters user inputs"/>
    <s v="Bug"/>
    <x v="1"/>
    <d v="2015-07-24T11:06:00"/>
    <x v="2"/>
    <x v="0"/>
    <x v="3"/>
    <n v="1"/>
    <m/>
    <n v="87"/>
    <n v="87"/>
  </r>
  <r>
    <s v="SBG - Desktop"/>
    <x v="2"/>
    <s v="Bug"/>
    <s v="DESK-3595"/>
    <s v="Please remove Lenskit from the Cart Page on SBG-USA"/>
    <s v="Bug"/>
    <x v="1"/>
    <d v="2015-06-01T09:13:00"/>
    <x v="6"/>
    <x v="0"/>
    <x v="22"/>
    <n v="8"/>
    <m/>
    <n v="141.1"/>
    <n v="24.900000000000002"/>
  </r>
  <r>
    <s v="SBG - Desktop"/>
    <x v="2"/>
    <s v="Bug"/>
    <s v="DESK-3595"/>
    <s v="Please remove Lenskit from the Cart Page on SBG-USA"/>
    <s v="Bug"/>
    <x v="1"/>
    <d v="2015-06-02T09:13:00"/>
    <x v="6"/>
    <x v="0"/>
    <x v="22"/>
    <n v="8"/>
    <m/>
    <n v="141.1"/>
    <n v="24.900000000000002"/>
  </r>
  <r>
    <s v="SBG - Desktop"/>
    <x v="2"/>
    <s v="Bug"/>
    <s v="DESK-3595"/>
    <s v="Please remove Lenskit from the Cart Page on SBG-USA"/>
    <s v="Bug"/>
    <x v="1"/>
    <d v="2015-06-03T09:13:00"/>
    <x v="6"/>
    <x v="0"/>
    <x v="22"/>
    <n v="8"/>
    <m/>
    <n v="141.1"/>
    <n v="24.900000000000002"/>
  </r>
  <r>
    <s v="SBG - Desktop"/>
    <x v="2"/>
    <s v="Bug"/>
    <s v="DESK-3595"/>
    <s v="Please remove Lenskit from the Cart Page on SBG-USA"/>
    <s v="Bug"/>
    <x v="1"/>
    <d v="2015-06-04T09:13:00"/>
    <x v="6"/>
    <x v="0"/>
    <x v="22"/>
    <n v="8"/>
    <m/>
    <n v="141.1"/>
    <n v="24.900000000000002"/>
  </r>
  <r>
    <s v="SBG - Desktop"/>
    <x v="2"/>
    <s v="Bug"/>
    <s v="DESK-3595"/>
    <s v="Please remove Lenskit from the Cart Page on SBG-USA"/>
    <s v="Bug"/>
    <x v="1"/>
    <d v="2015-06-05T09:13:00"/>
    <x v="6"/>
    <x v="0"/>
    <x v="22"/>
    <n v="8"/>
    <m/>
    <n v="141.1"/>
    <n v="24.900000000000002"/>
  </r>
  <r>
    <s v="SBG - Desktop"/>
    <x v="2"/>
    <s v="Bug"/>
    <s v="DESK-3595"/>
    <s v="Please remove Lenskit from the Cart Page on SBG-USA"/>
    <s v="Bug"/>
    <x v="1"/>
    <d v="2015-06-08T09:13:00"/>
    <x v="6"/>
    <x v="0"/>
    <x v="22"/>
    <n v="8"/>
    <m/>
    <n v="141.1"/>
    <n v="24.900000000000002"/>
  </r>
  <r>
    <s v="SBG - Desktop"/>
    <x v="2"/>
    <s v="Bug"/>
    <s v="DESK-3595"/>
    <s v="Please remove Lenskit from the Cart Page on SBG-USA"/>
    <s v="Bug"/>
    <x v="1"/>
    <d v="2015-06-09T09:13:00"/>
    <x v="6"/>
    <x v="0"/>
    <x v="22"/>
    <n v="8"/>
    <m/>
    <n v="141.1"/>
    <n v="24.900000000000002"/>
  </r>
  <r>
    <s v="SBG - Desktop"/>
    <x v="2"/>
    <s v="Bug"/>
    <s v="DESK-3595"/>
    <s v="Please remove Lenskit from the Cart Page on SBG-USA"/>
    <s v="Bug"/>
    <x v="1"/>
    <d v="2015-06-10T09:14:00"/>
    <x v="6"/>
    <x v="0"/>
    <x v="22"/>
    <n v="8"/>
    <m/>
    <n v="141.1"/>
    <n v="24.900000000000002"/>
  </r>
  <r>
    <s v="SBG - Desktop"/>
    <x v="2"/>
    <s v="Bug"/>
    <s v="DESK-3595"/>
    <s v="Please remove Lenskit from the Cart Page on SBG-USA"/>
    <s v="Bug"/>
    <x v="1"/>
    <d v="2015-06-11T09:14:00"/>
    <x v="6"/>
    <x v="0"/>
    <x v="22"/>
    <n v="8"/>
    <m/>
    <n v="141.1"/>
    <n v="24.900000000000002"/>
  </r>
  <r>
    <s v="SBG - Desktop"/>
    <x v="2"/>
    <s v="Bug"/>
    <s v="DESK-3595"/>
    <s v="Please remove Lenskit from the Cart Page on SBG-USA"/>
    <s v="Bug"/>
    <x v="1"/>
    <d v="2015-06-12T09:14:00"/>
    <x v="6"/>
    <x v="0"/>
    <x v="22"/>
    <n v="8"/>
    <m/>
    <n v="141.1"/>
    <n v="24.900000000000002"/>
  </r>
  <r>
    <s v="SBG - Desktop"/>
    <x v="2"/>
    <s v="Bug"/>
    <s v="DESK-3595"/>
    <s v="Please remove Lenskit from the Cart Page on SBG-USA"/>
    <s v="Bug"/>
    <x v="1"/>
    <d v="2015-06-15T09:14:00"/>
    <x v="6"/>
    <x v="0"/>
    <x v="22"/>
    <n v="8"/>
    <m/>
    <n v="141.1"/>
    <n v="24.900000000000002"/>
  </r>
  <r>
    <s v="SBG - Desktop"/>
    <x v="2"/>
    <s v="Bug"/>
    <s v="DESK-3595"/>
    <s v="Please remove Lenskit from the Cart Page on SBG-USA"/>
    <s v="Bug"/>
    <x v="1"/>
    <d v="2015-06-16T09:14:00"/>
    <x v="6"/>
    <x v="0"/>
    <x v="22"/>
    <n v="8"/>
    <m/>
    <n v="141.1"/>
    <n v="24.900000000000002"/>
  </r>
  <r>
    <s v="SBG - Desktop"/>
    <x v="2"/>
    <s v="Bug"/>
    <s v="DESK-3595"/>
    <s v="Please remove Lenskit from the Cart Page on SBG-USA"/>
    <s v="Bug"/>
    <x v="1"/>
    <d v="2015-06-17T09:14:00"/>
    <x v="6"/>
    <x v="0"/>
    <x v="22"/>
    <n v="8"/>
    <m/>
    <n v="141.1"/>
    <n v="24.900000000000002"/>
  </r>
  <r>
    <s v="SBG - Desktop"/>
    <x v="2"/>
    <s v="Bug"/>
    <s v="DESK-3595"/>
    <s v="Please remove Lenskit from the Cart Page on SBG-USA"/>
    <s v="Bug"/>
    <x v="1"/>
    <d v="2015-06-18T09:14:00"/>
    <x v="6"/>
    <x v="0"/>
    <x v="22"/>
    <n v="8"/>
    <m/>
    <n v="141.1"/>
    <n v="24.900000000000002"/>
  </r>
  <r>
    <s v="SBG - Desktop"/>
    <x v="2"/>
    <s v="Bug"/>
    <s v="DESK-3595"/>
    <s v="Please remove Lenskit from the Cart Page on SBG-USA"/>
    <s v="Bug"/>
    <x v="1"/>
    <d v="2015-06-19T09:14:00"/>
    <x v="6"/>
    <x v="0"/>
    <x v="22"/>
    <n v="8"/>
    <m/>
    <n v="141.1"/>
    <n v="24.900000000000002"/>
  </r>
  <r>
    <s v="SBG - Desktop"/>
    <x v="2"/>
    <s v="Bug"/>
    <s v="DESK-3595"/>
    <s v="Please remove Lenskit from the Cart Page on SBG-USA"/>
    <s v="Bug"/>
    <x v="1"/>
    <d v="2015-06-22T09:14:00"/>
    <x v="6"/>
    <x v="0"/>
    <x v="22"/>
    <n v="8"/>
    <m/>
    <n v="141.1"/>
    <n v="24.900000000000002"/>
  </r>
  <r>
    <s v="SBG - Desktop"/>
    <x v="2"/>
    <s v="Bug"/>
    <s v="DESK-3595"/>
    <s v="Please remove Lenskit from the Cart Page on SBG-USA"/>
    <s v="Bug"/>
    <x v="1"/>
    <d v="2015-06-23T09:14:00"/>
    <x v="6"/>
    <x v="0"/>
    <x v="22"/>
    <n v="8"/>
    <m/>
    <n v="141.1"/>
    <n v="24.900000000000002"/>
  </r>
  <r>
    <s v="SBG - Desktop"/>
    <x v="2"/>
    <s v="Bug"/>
    <s v="DESK-3595"/>
    <s v="Please remove Lenskit from the Cart Page on SBG-USA"/>
    <s v="Bug"/>
    <x v="1"/>
    <d v="2015-06-24T09:14:00"/>
    <x v="6"/>
    <x v="0"/>
    <x v="22"/>
    <n v="8"/>
    <m/>
    <n v="141.1"/>
    <n v="24.900000000000002"/>
  </r>
  <r>
    <s v="SBG - Desktop"/>
    <x v="2"/>
    <s v="Bug"/>
    <s v="DESK-3595"/>
    <s v="Please remove Lenskit from the Cart Page on SBG-USA"/>
    <s v="Bug"/>
    <x v="1"/>
    <d v="2015-06-25T09:14:00"/>
    <x v="6"/>
    <x v="0"/>
    <x v="22"/>
    <n v="8"/>
    <m/>
    <n v="141.1"/>
    <n v="24.900000000000002"/>
  </r>
  <r>
    <s v="SBG - Desktop"/>
    <x v="2"/>
    <s v="Bug"/>
    <s v="DESK-3595"/>
    <s v="Please remove Lenskit from the Cart Page on SBG-USA"/>
    <s v="Bug"/>
    <x v="1"/>
    <d v="2015-06-26T09:14:00"/>
    <x v="6"/>
    <x v="0"/>
    <x v="22"/>
    <n v="8"/>
    <m/>
    <n v="141.1"/>
    <n v="24.900000000000002"/>
  </r>
  <r>
    <s v="SBG - Desktop"/>
    <x v="2"/>
    <s v="Bug"/>
    <s v="DESK-3595"/>
    <s v="Please remove Lenskit from the Cart Page on SBG-USA"/>
    <s v="Bug"/>
    <x v="1"/>
    <d v="2015-06-29T09:14:00"/>
    <x v="6"/>
    <x v="0"/>
    <x v="22"/>
    <n v="8"/>
    <m/>
    <n v="141.1"/>
    <n v="24.900000000000002"/>
  </r>
  <r>
    <s v="SBG - Desktop"/>
    <x v="2"/>
    <s v="Bug"/>
    <s v="DESK-3595"/>
    <s v="Please remove Lenskit from the Cart Page on SBG-USA"/>
    <s v="Bug"/>
    <x v="1"/>
    <d v="2015-06-30T09:14:00"/>
    <x v="6"/>
    <x v="0"/>
    <x v="22"/>
    <n v="8"/>
    <m/>
    <n v="141.1"/>
    <n v="24.900000000000002"/>
  </r>
  <r>
    <s v="SBG - Desktop"/>
    <x v="2"/>
    <s v="Bug"/>
    <s v="DESK-3595"/>
    <s v="Please remove Lenskit from the Cart Page on SBG-USA"/>
    <s v="Bug"/>
    <x v="1"/>
    <d v="2015-07-01T09:14:00"/>
    <x v="2"/>
    <x v="0"/>
    <x v="22"/>
    <n v="8"/>
    <m/>
    <n v="147.9"/>
    <n v="26.100000000000005"/>
  </r>
  <r>
    <s v="SBG - Desktop"/>
    <x v="2"/>
    <s v="Bug"/>
    <s v="DESK-3595"/>
    <s v="Please remove Lenskit from the Cart Page on SBG-USA"/>
    <s v="Bug"/>
    <x v="1"/>
    <d v="2015-07-02T09:14:00"/>
    <x v="2"/>
    <x v="0"/>
    <x v="22"/>
    <n v="8"/>
    <m/>
    <n v="147.9"/>
    <n v="26.100000000000005"/>
  </r>
  <r>
    <s v="SBG - Desktop"/>
    <x v="2"/>
    <s v="Bug"/>
    <s v="DESK-3595"/>
    <s v="Please remove Lenskit from the Cart Page on SBG-USA"/>
    <s v="Bug"/>
    <x v="1"/>
    <d v="2015-07-03T09:14:00"/>
    <x v="2"/>
    <x v="0"/>
    <x v="22"/>
    <n v="8"/>
    <m/>
    <n v="147.9"/>
    <n v="26.100000000000005"/>
  </r>
  <r>
    <s v="SBG - Desktop"/>
    <x v="2"/>
    <s v="Bug"/>
    <s v="DESK-3595"/>
    <s v="Please remove Lenskit from the Cart Page on SBG-USA"/>
    <s v="Bug"/>
    <x v="1"/>
    <d v="2015-07-06T09:15:00"/>
    <x v="2"/>
    <x v="0"/>
    <x v="22"/>
    <n v="8"/>
    <m/>
    <n v="147.9"/>
    <n v="26.100000000000005"/>
  </r>
  <r>
    <s v="SBG - Desktop"/>
    <x v="2"/>
    <s v="Bug"/>
    <s v="DESK-3595"/>
    <s v="Please remove Lenskit from the Cart Page on SBG-USA"/>
    <s v="Bug"/>
    <x v="1"/>
    <d v="2015-07-07T09:15:00"/>
    <x v="2"/>
    <x v="0"/>
    <x v="22"/>
    <n v="8"/>
    <m/>
    <n v="147.9"/>
    <n v="26.100000000000005"/>
  </r>
  <r>
    <s v="SBG - Desktop"/>
    <x v="2"/>
    <s v="Bug"/>
    <s v="DESK-3595"/>
    <s v="Please remove Lenskit from the Cart Page on SBG-USA"/>
    <s v="Bug"/>
    <x v="1"/>
    <d v="2015-07-08T09:15:00"/>
    <x v="2"/>
    <x v="0"/>
    <x v="22"/>
    <n v="8"/>
    <m/>
    <n v="147.9"/>
    <n v="26.100000000000005"/>
  </r>
  <r>
    <s v="SBG - Desktop"/>
    <x v="2"/>
    <s v="Bug"/>
    <s v="DESK-3595"/>
    <s v="Please remove Lenskit from the Cart Page on SBG-USA"/>
    <s v="Bug"/>
    <x v="1"/>
    <d v="2015-07-09T09:15:00"/>
    <x v="2"/>
    <x v="0"/>
    <x v="22"/>
    <n v="8"/>
    <m/>
    <n v="147.9"/>
    <n v="26.100000000000005"/>
  </r>
  <r>
    <s v="SBG - Desktop"/>
    <x v="2"/>
    <s v="Bug"/>
    <s v="DESK-3595"/>
    <s v="Please remove Lenskit from the Cart Page on SBG-USA"/>
    <s v="Bug"/>
    <x v="1"/>
    <d v="2015-07-10T09:15:00"/>
    <x v="2"/>
    <x v="0"/>
    <x v="22"/>
    <n v="8"/>
    <m/>
    <n v="147.9"/>
    <n v="26.100000000000005"/>
  </r>
  <r>
    <s v="SBG - Desktop"/>
    <x v="2"/>
    <s v="Bug"/>
    <s v="DESK-3595"/>
    <s v="Please remove Lenskit from the Cart Page on SBG-USA"/>
    <s v="Bug"/>
    <x v="1"/>
    <d v="2015-07-13T09:15:00"/>
    <x v="2"/>
    <x v="0"/>
    <x v="22"/>
    <n v="8"/>
    <m/>
    <n v="147.9"/>
    <n v="26.100000000000005"/>
  </r>
  <r>
    <s v="SBG - Desktop"/>
    <x v="2"/>
    <s v="Bug"/>
    <s v="DESK-3595"/>
    <s v="Please remove Lenskit from the Cart Page on SBG-USA"/>
    <s v="Bug"/>
    <x v="1"/>
    <d v="2015-07-14T09:15:00"/>
    <x v="2"/>
    <x v="0"/>
    <x v="22"/>
    <n v="8"/>
    <m/>
    <n v="147.9"/>
    <n v="26.100000000000005"/>
  </r>
  <r>
    <s v="SBG - Desktop"/>
    <x v="2"/>
    <s v="Bug"/>
    <s v="DESK-3595"/>
    <s v="Please remove Lenskit from the Cart Page on SBG-USA"/>
    <s v="Bug"/>
    <x v="1"/>
    <d v="2015-07-15T09:15:00"/>
    <x v="2"/>
    <x v="0"/>
    <x v="22"/>
    <n v="8"/>
    <m/>
    <n v="147.9"/>
    <n v="26.100000000000005"/>
  </r>
  <r>
    <s v="SBG - Desktop"/>
    <x v="2"/>
    <s v="Bug"/>
    <s v="DESK-3595"/>
    <s v="Please remove Lenskit from the Cart Page on SBG-USA"/>
    <s v="Bug"/>
    <x v="1"/>
    <d v="2015-07-16T09:15:00"/>
    <x v="2"/>
    <x v="0"/>
    <x v="22"/>
    <n v="8"/>
    <m/>
    <n v="147.9"/>
    <n v="26.100000000000005"/>
  </r>
  <r>
    <s v="SBG - Desktop"/>
    <x v="2"/>
    <s v="Bug"/>
    <s v="DESK-3595"/>
    <s v="Please remove Lenskit from the Cart Page on SBG-USA"/>
    <s v="Bug"/>
    <x v="1"/>
    <d v="2015-07-17T09:15:00"/>
    <x v="2"/>
    <x v="0"/>
    <x v="22"/>
    <n v="8"/>
    <m/>
    <n v="147.9"/>
    <n v="26.100000000000005"/>
  </r>
  <r>
    <s v="SBG - Desktop"/>
    <x v="4"/>
    <s v="Bug"/>
    <s v="DESK-3595"/>
    <s v="Please remove Lenskit from the Cart Page on SBG-USA"/>
    <s v="Bug"/>
    <x v="1"/>
    <d v="2015-07-17T10:25:00"/>
    <x v="2"/>
    <x v="0"/>
    <x v="13"/>
    <n v="3"/>
    <m/>
    <n v="147.9"/>
    <n v="26.100000000000005"/>
  </r>
  <r>
    <s v="SBG - Desktop"/>
    <x v="2"/>
    <s v="Bug"/>
    <s v="DESK-3595"/>
    <s v="Please remove Lenskit from the Cart Page on SBG-USA"/>
    <s v="Bug"/>
    <x v="1"/>
    <d v="2015-07-20T09:15:00"/>
    <x v="2"/>
    <x v="0"/>
    <x v="22"/>
    <n v="8"/>
    <m/>
    <n v="147.9"/>
    <n v="26.100000000000005"/>
  </r>
  <r>
    <s v="SBG - Desktop"/>
    <x v="2"/>
    <s v="Bug"/>
    <s v="DESK-3595"/>
    <s v="Please remove Lenskit from the Cart Page on SBG-USA"/>
    <s v="Bug"/>
    <x v="1"/>
    <d v="2015-07-21T09:02:00"/>
    <x v="2"/>
    <x v="0"/>
    <x v="22"/>
    <n v="8"/>
    <m/>
    <n v="147.9"/>
    <n v="26.100000000000005"/>
  </r>
  <r>
    <s v="SBG - Desktop"/>
    <x v="2"/>
    <s v="Bug"/>
    <s v="DESK-3595"/>
    <s v="Please remove Lenskit from the Cart Page on SBG-USA"/>
    <s v="Bug"/>
    <x v="1"/>
    <d v="2015-07-22T09:02:00"/>
    <x v="2"/>
    <x v="0"/>
    <x v="22"/>
    <n v="8"/>
    <m/>
    <n v="147.9"/>
    <n v="26.100000000000005"/>
  </r>
  <r>
    <s v="SBG - Desktop"/>
    <x v="2"/>
    <s v="Bug"/>
    <s v="DESK-3595"/>
    <s v="Please remove Lenskit from the Cart Page on SBG-USA"/>
    <s v="Bug"/>
    <x v="1"/>
    <d v="2015-07-23T09:02:00"/>
    <x v="2"/>
    <x v="0"/>
    <x v="22"/>
    <n v="8"/>
    <m/>
    <n v="147.9"/>
    <n v="26.100000000000005"/>
  </r>
  <r>
    <s v="SBG - Desktop"/>
    <x v="2"/>
    <s v="Bug"/>
    <s v="DESK-3595"/>
    <s v="Please remove Lenskit from the Cart Page on SBG-USA"/>
    <s v="Bug"/>
    <x v="1"/>
    <d v="2015-07-24T14:45:00"/>
    <x v="2"/>
    <x v="0"/>
    <x v="22"/>
    <n v="3"/>
    <m/>
    <n v="147.9"/>
    <n v="26.100000000000005"/>
  </r>
  <r>
    <s v="SBG - Desktop"/>
    <x v="2"/>
    <s v="Bug"/>
    <s v="DESK-3595"/>
    <s v="Please remove Lenskit from the Cart Page on SBG-USA"/>
    <s v="Bug"/>
    <x v="1"/>
    <d v="2015-07-27T08:54:00"/>
    <x v="2"/>
    <x v="0"/>
    <x v="22"/>
    <n v="8"/>
    <m/>
    <n v="147.9"/>
    <n v="26.100000000000005"/>
  </r>
  <r>
    <s v="SBG - Desktop"/>
    <x v="2"/>
    <s v="Bug"/>
    <s v="DESK-3595"/>
    <s v="Please remove Lenskit from the Cart Page on SBG-USA"/>
    <s v="Bug"/>
    <x v="1"/>
    <d v="2015-07-28T08:54:00"/>
    <x v="2"/>
    <x v="0"/>
    <x v="22"/>
    <n v="8"/>
    <m/>
    <n v="147.9"/>
    <n v="26.100000000000005"/>
  </r>
  <r>
    <s v="SBG - Desktop"/>
    <x v="2"/>
    <s v="Bug"/>
    <s v="DESK-3595"/>
    <s v="Please remove Lenskit from the Cart Page on SBG-USA"/>
    <s v="Bug"/>
    <x v="1"/>
    <d v="2015-07-29T08:54:00"/>
    <x v="2"/>
    <x v="0"/>
    <x v="22"/>
    <n v="8"/>
    <m/>
    <n v="147.9"/>
    <n v="26.100000000000005"/>
  </r>
  <r>
    <s v="SBG - Desktop"/>
    <x v="2"/>
    <s v="Bug"/>
    <s v="DESK-3595"/>
    <s v="Please remove Lenskit from the Cart Page on SBG-USA"/>
    <s v="Bug"/>
    <x v="1"/>
    <d v="2015-07-30T08:54:00"/>
    <x v="2"/>
    <x v="0"/>
    <x v="22"/>
    <n v="8"/>
    <m/>
    <n v="147.9"/>
    <n v="26.100000000000005"/>
  </r>
  <r>
    <s v="SBG - Desktop"/>
    <x v="2"/>
    <s v="Bug"/>
    <s v="DESK-3595"/>
    <s v="Please remove Lenskit from the Cart Page on SBG-USA"/>
    <s v="Bug"/>
    <x v="1"/>
    <d v="2015-07-31T08:54:00"/>
    <x v="2"/>
    <x v="0"/>
    <x v="22"/>
    <n v="8"/>
    <m/>
    <n v="147.9"/>
    <n v="26.100000000000005"/>
  </r>
  <r>
    <s v="SBG - Desktop"/>
    <x v="3"/>
    <s v="Bug"/>
    <s v="DESK-3596"/>
    <s v="Upload to Landing Page Generator - Celebrity Section"/>
    <s v="Bug"/>
    <x v="1"/>
    <d v="2015-06-26T17:00:00"/>
    <x v="6"/>
    <x v="0"/>
    <x v="15"/>
    <n v="2"/>
    <m/>
    <n v="83"/>
    <n v="83"/>
  </r>
  <r>
    <s v="SBG - Desktop"/>
    <x v="1"/>
    <s v="Bug"/>
    <s v="DESK-3615"/>
    <s v="No Sale not correctly detected"/>
    <s v="Bug"/>
    <x v="1"/>
    <d v="2015-06-15T18:26:00"/>
    <x v="6"/>
    <x v="0"/>
    <x v="8"/>
    <n v="1.5"/>
    <m/>
    <n v="141.1"/>
    <n v="24.900000000000002"/>
  </r>
  <r>
    <s v="SBG - Desktop"/>
    <x v="1"/>
    <s v="Bug"/>
    <s v="DESK-3638"/>
    <s v="Price is wrong on checkout page"/>
    <s v="Bug"/>
    <x v="1"/>
    <d v="2015-06-03T10:23:00"/>
    <x v="6"/>
    <x v="0"/>
    <x v="5"/>
    <n v="6"/>
    <m/>
    <n v="141.1"/>
    <n v="24.900000000000002"/>
  </r>
  <r>
    <s v="SBG - Desktop"/>
    <x v="1"/>
    <s v="Bug"/>
    <s v="DESK-3638"/>
    <s v="Price is wrong on checkout page"/>
    <s v="Bug"/>
    <x v="1"/>
    <d v="2015-06-05T09:23:00"/>
    <x v="6"/>
    <x v="0"/>
    <x v="5"/>
    <n v="7"/>
    <m/>
    <n v="141.1"/>
    <n v="24.900000000000002"/>
  </r>
  <r>
    <s v="SBG - Desktop"/>
    <x v="1"/>
    <s v="Bug"/>
    <s v="DESK-3638"/>
    <s v="Price is wrong on checkout page"/>
    <s v="Bug"/>
    <x v="1"/>
    <d v="2015-06-09T15:16:00"/>
    <x v="6"/>
    <x v="0"/>
    <x v="5"/>
    <n v="2"/>
    <m/>
    <n v="141.1"/>
    <n v="24.900000000000002"/>
  </r>
  <r>
    <s v="SBG - Desktop"/>
    <x v="3"/>
    <s v="Bug"/>
    <s v="DESK-3691"/>
    <s v="Partial index refresh issue"/>
    <s v="Bug"/>
    <x v="1"/>
    <d v="2015-07-28T15:14:00"/>
    <x v="2"/>
    <x v="0"/>
    <x v="3"/>
    <n v="0.16700000000000001"/>
    <m/>
    <n v="87"/>
    <n v="87"/>
  </r>
  <r>
    <s v="SBG - Desktop"/>
    <x v="2"/>
    <s v="Bug"/>
    <s v="DESK-3740"/>
    <s v="0.01 Payment Due error"/>
    <s v="Bug"/>
    <x v="1"/>
    <d v="2015-06-10T10:49:00"/>
    <x v="6"/>
    <x v="0"/>
    <x v="9"/>
    <n v="1.5"/>
    <m/>
    <n v="141.1"/>
    <n v="24.900000000000002"/>
  </r>
  <r>
    <s v="SBG - Desktop"/>
    <x v="2"/>
    <s v="Bug"/>
    <s v="DESK-3740"/>
    <s v="0.01 Payment Due error"/>
    <s v="Bug"/>
    <x v="1"/>
    <d v="2015-06-11T18:40:00"/>
    <x v="6"/>
    <x v="0"/>
    <x v="9"/>
    <n v="0.5"/>
    <m/>
    <n v="141.1"/>
    <n v="24.900000000000002"/>
  </r>
  <r>
    <s v="SBG - Desktop"/>
    <x v="1"/>
    <s v="Bug"/>
    <s v="DESK-3740"/>
    <s v="0.01 Payment Due error"/>
    <s v="Bug"/>
    <x v="1"/>
    <d v="2015-07-17T18:27:00"/>
    <x v="2"/>
    <x v="0"/>
    <x v="1"/>
    <n v="1"/>
    <m/>
    <n v="147.9"/>
    <n v="26.100000000000005"/>
  </r>
  <r>
    <s v="SBG - Desktop"/>
    <x v="2"/>
    <s v="Bug"/>
    <s v="DESK-3744"/>
    <s v="GC checkout missing CPF!"/>
    <s v="Bug"/>
    <x v="1"/>
    <d v="2015-06-09T18:33:00"/>
    <x v="6"/>
    <x v="0"/>
    <x v="2"/>
    <n v="8"/>
    <m/>
    <n v="141.1"/>
    <n v="24.900000000000002"/>
  </r>
  <r>
    <s v="SBG - Desktop"/>
    <x v="1"/>
    <s v="Bug"/>
    <s v="DESK-3797"/>
    <s v="Search index issues"/>
    <s v="Bug"/>
    <x v="1"/>
    <d v="2015-06-23T18:50:00"/>
    <x v="6"/>
    <x v="0"/>
    <x v="1"/>
    <n v="3"/>
    <m/>
    <n v="141.1"/>
    <n v="24.900000000000002"/>
  </r>
  <r>
    <s v="SBG - Desktop"/>
    <x v="1"/>
    <s v="Bug"/>
    <s v="DESK-3797"/>
    <s v="Search index issues"/>
    <s v="Bug"/>
    <x v="1"/>
    <d v="2015-06-24T18:26:00"/>
    <x v="6"/>
    <x v="0"/>
    <x v="1"/>
    <n v="1"/>
    <m/>
    <n v="141.1"/>
    <n v="24.900000000000002"/>
  </r>
  <r>
    <s v="SBG - Desktop"/>
    <x v="1"/>
    <s v="Bug"/>
    <s v="DESK-3797"/>
    <s v="Search index issues"/>
    <s v="Bug"/>
    <x v="1"/>
    <d v="2015-06-29T10:10:00"/>
    <x v="6"/>
    <x v="0"/>
    <x v="1"/>
    <n v="0.5"/>
    <m/>
    <n v="141.1"/>
    <n v="24.900000000000002"/>
  </r>
  <r>
    <s v="SBG - Desktop"/>
    <x v="1"/>
    <s v="Bug"/>
    <s v="DESK-3797"/>
    <s v="Search index issues"/>
    <s v="Bug"/>
    <x v="1"/>
    <d v="2015-06-29T18:33:00"/>
    <x v="6"/>
    <x v="0"/>
    <x v="1"/>
    <n v="1.5"/>
    <m/>
    <n v="141.1"/>
    <n v="24.900000000000002"/>
  </r>
  <r>
    <s v="SBG - Desktop"/>
    <x v="2"/>
    <s v="Bug"/>
    <s v="DESK-3797"/>
    <s v="Search index issues"/>
    <s v="Bug"/>
    <x v="1"/>
    <d v="2015-07-27T17:57:00"/>
    <x v="2"/>
    <x v="0"/>
    <x v="2"/>
    <n v="6"/>
    <m/>
    <n v="147.9"/>
    <n v="26.100000000000005"/>
  </r>
  <r>
    <s v="SBG - Desktop"/>
    <x v="2"/>
    <s v="Bug"/>
    <s v="DESK-3797"/>
    <s v="Search index issues"/>
    <s v="Bug"/>
    <x v="1"/>
    <d v="2015-07-28T15:40:00"/>
    <x v="2"/>
    <x v="0"/>
    <x v="2"/>
    <n v="8"/>
    <m/>
    <n v="147.9"/>
    <n v="26.100000000000005"/>
  </r>
  <r>
    <s v="SBG - Desktop"/>
    <x v="2"/>
    <s v="Bug"/>
    <s v="DESK-3908"/>
    <s v="Mega Menu Links errors"/>
    <s v="Bug"/>
    <x v="1"/>
    <d v="2015-06-05T15:54:00"/>
    <x v="6"/>
    <x v="0"/>
    <x v="10"/>
    <n v="1.5"/>
    <m/>
    <n v="141.1"/>
    <n v="24.900000000000002"/>
  </r>
  <r>
    <s v="SBG - Desktop"/>
    <x v="1"/>
    <s v="Bug"/>
    <s v="DESK-3909"/>
    <s v="Algolia index issue with no sale"/>
    <s v="Bug"/>
    <x v="1"/>
    <d v="2015-06-17T12:26:00"/>
    <x v="6"/>
    <x v="0"/>
    <x v="1"/>
    <n v="3"/>
    <m/>
    <n v="141.1"/>
    <n v="24.900000000000002"/>
  </r>
  <r>
    <s v="SBG - Desktop"/>
    <x v="2"/>
    <s v="Bug"/>
    <s v="DESK-3909"/>
    <s v="Algolia index issue with no sale"/>
    <s v="Bug"/>
    <x v="1"/>
    <d v="2015-06-17T18:29:00"/>
    <x v="6"/>
    <x v="0"/>
    <x v="2"/>
    <n v="8"/>
    <m/>
    <n v="141.1"/>
    <n v="24.900000000000002"/>
  </r>
  <r>
    <s v="SBG - Desktop"/>
    <x v="1"/>
    <s v="Bug"/>
    <s v="DESK-3909"/>
    <s v="Algolia index issue with no sale"/>
    <s v="Bug"/>
    <x v="1"/>
    <d v="2015-06-18T17:10:00"/>
    <x v="6"/>
    <x v="0"/>
    <x v="1"/>
    <n v="2"/>
    <m/>
    <n v="141.1"/>
    <n v="24.900000000000002"/>
  </r>
  <r>
    <s v="SBG - Desktop"/>
    <x v="2"/>
    <s v="Bug"/>
    <s v="DESK-3909"/>
    <s v="Algolia index issue with no sale"/>
    <s v="Bug"/>
    <x v="1"/>
    <d v="2015-06-18T18:29:00"/>
    <x v="6"/>
    <x v="0"/>
    <x v="2"/>
    <n v="4"/>
    <m/>
    <n v="141.1"/>
    <n v="24.900000000000002"/>
  </r>
  <r>
    <s v="SBG - Desktop"/>
    <x v="1"/>
    <s v="Bug"/>
    <s v="DESK-3909"/>
    <s v="Algolia index issue with no sale"/>
    <s v="Bug"/>
    <x v="1"/>
    <d v="2015-06-19T18:30:00"/>
    <x v="6"/>
    <x v="0"/>
    <x v="1"/>
    <n v="0.5"/>
    <s v="Coummunication 0.5h"/>
    <n v="141.1"/>
    <n v="24.900000000000002"/>
  </r>
  <r>
    <s v="SBG - Desktop"/>
    <x v="2"/>
    <s v="Bug"/>
    <s v="DESK-3937"/>
    <s v="Fast shipping logo issue"/>
    <s v="Bug"/>
    <x v="1"/>
    <d v="2015-06-01T11:06:00"/>
    <x v="6"/>
    <x v="0"/>
    <x v="10"/>
    <n v="5"/>
    <m/>
    <n v="141.1"/>
    <n v="24.900000000000002"/>
  </r>
  <r>
    <s v="SBG - Desktop"/>
    <x v="2"/>
    <s v="Bug"/>
    <s v="DESK-3937"/>
    <s v="Fast shipping logo issue"/>
    <s v="Bug"/>
    <x v="1"/>
    <d v="2015-07-27T15:21:00"/>
    <x v="2"/>
    <x v="0"/>
    <x v="10"/>
    <n v="8"/>
    <m/>
    <n v="147.9"/>
    <n v="26.100000000000005"/>
  </r>
  <r>
    <s v="SBG - Desktop"/>
    <x v="2"/>
    <s v="Bug"/>
    <s v="DESK-3952"/>
    <s v="Shows fast-shipping"/>
    <s v="Bug"/>
    <x v="1"/>
    <d v="2015-07-30T09:36:00"/>
    <x v="2"/>
    <x v="0"/>
    <x v="11"/>
    <n v="6"/>
    <m/>
    <n v="147.9"/>
    <n v="26.100000000000005"/>
  </r>
  <r>
    <s v="SBG - Desktop"/>
    <x v="2"/>
    <s v="Bug"/>
    <s v="DESK-3971"/>
    <s v="CN website membership"/>
    <s v="Bug"/>
    <x v="1"/>
    <d v="2015-06-02T09:06:00"/>
    <x v="6"/>
    <x v="0"/>
    <x v="10"/>
    <n v="8"/>
    <m/>
    <n v="141.1"/>
    <n v="24.900000000000002"/>
  </r>
  <r>
    <s v="SBG - Desktop"/>
    <x v="2"/>
    <s v="Bug"/>
    <s v="DESK-3971"/>
    <s v="CN website membership"/>
    <s v="Bug"/>
    <x v="1"/>
    <d v="2015-06-03T15:14:00"/>
    <x v="6"/>
    <x v="0"/>
    <x v="10"/>
    <n v="2"/>
    <m/>
    <n v="141.1"/>
    <n v="24.900000000000002"/>
  </r>
  <r>
    <s v="SBG - Desktop"/>
    <x v="1"/>
    <s v="Bug"/>
    <s v="DESK-3971"/>
    <s v="CN website membership"/>
    <s v="Bug"/>
    <x v="1"/>
    <d v="2015-07-01T09:18:00"/>
    <x v="2"/>
    <x v="0"/>
    <x v="5"/>
    <n v="8"/>
    <m/>
    <n v="147.9"/>
    <n v="26.100000000000005"/>
  </r>
  <r>
    <s v="SBG - Desktop"/>
    <x v="1"/>
    <s v="Bug"/>
    <s v="DESK-3971"/>
    <s v="CN website membership"/>
    <s v="Bug"/>
    <x v="1"/>
    <d v="2015-07-02T09:18:00"/>
    <x v="2"/>
    <x v="0"/>
    <x v="5"/>
    <n v="8"/>
    <m/>
    <n v="147.9"/>
    <n v="26.100000000000005"/>
  </r>
  <r>
    <s v="SBG - Desktop"/>
    <x v="1"/>
    <s v="Bug"/>
    <s v="DESK-3971"/>
    <s v="CN website membership"/>
    <s v="Bug"/>
    <x v="1"/>
    <d v="2015-07-03T09:18:00"/>
    <x v="2"/>
    <x v="0"/>
    <x v="5"/>
    <n v="8"/>
    <m/>
    <n v="147.9"/>
    <n v="26.100000000000005"/>
  </r>
  <r>
    <s v="SBG - Desktop"/>
    <x v="1"/>
    <s v="Bug"/>
    <s v="DESK-3971"/>
    <s v="CN website membership"/>
    <s v="Bug"/>
    <x v="1"/>
    <d v="2015-07-06T16:18:00"/>
    <x v="2"/>
    <x v="0"/>
    <x v="5"/>
    <n v="1"/>
    <m/>
    <n v="147.9"/>
    <n v="26.100000000000005"/>
  </r>
  <r>
    <s v="SBG - Desktop"/>
    <x v="1"/>
    <s v="Bug"/>
    <s v="DESK-3971"/>
    <s v="CN website membership"/>
    <s v="Bug"/>
    <x v="1"/>
    <d v="2015-07-08T11:00:00"/>
    <x v="2"/>
    <x v="0"/>
    <x v="1"/>
    <n v="1"/>
    <m/>
    <n v="147.9"/>
    <n v="26.100000000000005"/>
  </r>
  <r>
    <s v="SBG - Desktop"/>
    <x v="1"/>
    <s v="Bug"/>
    <s v="DESK-3971"/>
    <s v="CN website membership"/>
    <s v="Bug"/>
    <x v="1"/>
    <d v="2015-07-08T11:25:00"/>
    <x v="2"/>
    <x v="0"/>
    <x v="5"/>
    <n v="1"/>
    <m/>
    <n v="147.9"/>
    <n v="26.100000000000005"/>
  </r>
  <r>
    <s v="SBG - Desktop"/>
    <x v="3"/>
    <s v="Bug"/>
    <s v="DESK-3971"/>
    <s v="CN website membership"/>
    <s v="Bug"/>
    <x v="1"/>
    <d v="2015-07-24T10:57:00"/>
    <x v="2"/>
    <x v="0"/>
    <x v="3"/>
    <n v="1"/>
    <m/>
    <n v="87"/>
    <n v="87"/>
  </r>
  <r>
    <s v="SBG - Desktop"/>
    <x v="0"/>
    <s v="Bug"/>
    <s v="DESK-4207"/>
    <s v="CSS issue on clearance grid page"/>
    <s v="Bug"/>
    <x v="1"/>
    <d v="2015-06-05T11:45:00"/>
    <x v="6"/>
    <x v="0"/>
    <x v="7"/>
    <n v="0.5"/>
    <m/>
    <n v="83"/>
    <n v="83"/>
  </r>
  <r>
    <s v="SBG - Desktop"/>
    <x v="1"/>
    <s v="Bug"/>
    <s v="DESK-4207"/>
    <s v="CSS issue on clearance grid page"/>
    <s v="Bug"/>
    <x v="1"/>
    <d v="2015-06-05T14:08:00"/>
    <x v="6"/>
    <x v="0"/>
    <x v="5"/>
    <n v="1"/>
    <m/>
    <n v="141.1"/>
    <n v="24.900000000000002"/>
  </r>
  <r>
    <s v="SBG - Desktop"/>
    <x v="1"/>
    <s v="Bug"/>
    <s v="DESK-4470"/>
    <s v="NZ Checkout button tries to use GC page"/>
    <s v="Bug"/>
    <x v="1"/>
    <d v="2015-06-02T18:00:00"/>
    <x v="6"/>
    <x v="0"/>
    <x v="5"/>
    <n v="4"/>
    <m/>
    <n v="141.1"/>
    <n v="24.900000000000002"/>
  </r>
  <r>
    <s v="SBG - Desktop"/>
    <x v="1"/>
    <s v="Bug"/>
    <s v="DESK-4478"/>
    <s v="Tracking error since phase 2 launch for sunglasses"/>
    <s v="Bug"/>
    <x v="1"/>
    <d v="2015-06-03T09:39:00"/>
    <x v="6"/>
    <x v="0"/>
    <x v="5"/>
    <n v="2"/>
    <m/>
    <n v="141.1"/>
    <n v="24.900000000000002"/>
  </r>
  <r>
    <s v="SBG - Desktop"/>
    <x v="2"/>
    <s v="Bug"/>
    <s v="DESK-4478"/>
    <s v="Tracking error since phase 2 launch for sunglasses"/>
    <s v="Bug"/>
    <x v="1"/>
    <d v="2015-06-03T17:28:00"/>
    <x v="6"/>
    <x v="0"/>
    <x v="6"/>
    <n v="0.5"/>
    <m/>
    <n v="141.1"/>
    <n v="24.900000000000002"/>
  </r>
  <r>
    <s v="SBG - Desktop"/>
    <x v="2"/>
    <s v="Bug"/>
    <s v="DESK-4958"/>
    <s v="Pampa Network - Error with tracking pixels"/>
    <s v="Bug"/>
    <x v="1"/>
    <d v="2015-06-05T14:03:00"/>
    <x v="6"/>
    <x v="0"/>
    <x v="10"/>
    <n v="8"/>
    <m/>
    <n v="141.1"/>
    <n v="24.900000000000002"/>
  </r>
  <r>
    <s v="SBG - Desktop"/>
    <x v="1"/>
    <s v="Bug"/>
    <s v="DESK-4958"/>
    <s v="Pampa Network - Error with tracking pixels"/>
    <s v="Bug"/>
    <x v="1"/>
    <d v="2015-06-09T12:25:00"/>
    <x v="6"/>
    <x v="0"/>
    <x v="5"/>
    <n v="2"/>
    <m/>
    <n v="141.1"/>
    <n v="24.900000000000002"/>
  </r>
  <r>
    <s v="SBG - Desktop"/>
    <x v="1"/>
    <s v="Bug"/>
    <s v="DESK-4958"/>
    <s v="Pampa Network - Error with tracking pixels"/>
    <s v="Bug"/>
    <x v="1"/>
    <d v="2015-06-11T12:24:00"/>
    <x v="6"/>
    <x v="0"/>
    <x v="5"/>
    <n v="2"/>
    <m/>
    <n v="141.1"/>
    <n v="24.900000000000002"/>
  </r>
  <r>
    <s v="SBG - Desktop"/>
    <x v="1"/>
    <s v="Bug"/>
    <s v="DESK-5230"/>
    <s v="NO INDEX for some pages"/>
    <s v="Bug"/>
    <x v="1"/>
    <d v="2015-06-02T11:12:00"/>
    <x v="6"/>
    <x v="0"/>
    <x v="5"/>
    <n v="2"/>
    <m/>
    <n v="141.1"/>
    <n v="24.900000000000002"/>
  </r>
  <r>
    <s v="SBG - Desktop"/>
    <x v="1"/>
    <s v="Bug"/>
    <s v="DESK-5230"/>
    <s v="NO INDEX for some pages"/>
    <s v="Bug"/>
    <x v="1"/>
    <d v="2015-06-04T11:12:00"/>
    <x v="6"/>
    <x v="0"/>
    <x v="5"/>
    <n v="2"/>
    <m/>
    <n v="141.1"/>
    <n v="24.900000000000002"/>
  </r>
  <r>
    <s v="SBG - Desktop"/>
    <x v="1"/>
    <s v="Sub-task"/>
    <s v="DESK-6850"/>
    <s v="DESK-6706&gt; Referral via FaceBook and via Email function is broken"/>
    <s v="Sub-task"/>
    <x v="0"/>
    <d v="2015-06-11T18:28:00"/>
    <x v="6"/>
    <x v="0"/>
    <x v="1"/>
    <n v="3"/>
    <m/>
    <n v="141.1"/>
    <n v="24.900000000000002"/>
  </r>
  <r>
    <s v="SBG - Desktop"/>
    <x v="4"/>
    <s v="Sub-task"/>
    <s v="DESK-6850"/>
    <s v="DESK-6706&gt; Referral via FaceBook and via Email function is broken"/>
    <s v="Sub-task"/>
    <x v="0"/>
    <d v="2015-06-15T10:00:00"/>
    <x v="6"/>
    <x v="0"/>
    <x v="13"/>
    <n v="2"/>
    <m/>
    <n v="141.1"/>
    <n v="24.900000000000002"/>
  </r>
  <r>
    <s v="SBG - Desktop"/>
    <x v="4"/>
    <s v="Sub-task"/>
    <s v="DESK-6850"/>
    <s v="DESK-6706&gt; Referral via FaceBook and via Email function is broken"/>
    <s v="Sub-task"/>
    <x v="0"/>
    <d v="2015-06-26T15:56:00"/>
    <x v="6"/>
    <x v="0"/>
    <x v="13"/>
    <n v="3"/>
    <m/>
    <n v="141.1"/>
    <n v="24.900000000000002"/>
  </r>
  <r>
    <s v="SBG - Desktop"/>
    <x v="2"/>
    <s v="Sub-task"/>
    <s v="DESK-6850"/>
    <s v="DESK-6706&gt; Referral via FaceBook and via Email function is broken"/>
    <s v="Sub-task"/>
    <x v="0"/>
    <d v="2015-07-02T14:07:00"/>
    <x v="2"/>
    <x v="0"/>
    <x v="10"/>
    <n v="4"/>
    <m/>
    <n v="147.9"/>
    <n v="26.100000000000005"/>
  </r>
  <r>
    <s v="SBG - Desktop"/>
    <x v="2"/>
    <s v="Sub-task"/>
    <s v="DESK-6850"/>
    <s v="DESK-6706&gt; Referral via FaceBook and via Email function is broken"/>
    <s v="Sub-task"/>
    <x v="0"/>
    <d v="2015-07-03T10:07:00"/>
    <x v="2"/>
    <x v="0"/>
    <x v="10"/>
    <n v="8"/>
    <m/>
    <n v="147.9"/>
    <n v="26.100000000000005"/>
  </r>
  <r>
    <s v="SBG - Desktop"/>
    <x v="4"/>
    <s v="Sub-task"/>
    <s v="DESK-6851"/>
    <s v="DESK-6706&gt; [Referral] Resolve block popup issue for FB share"/>
    <s v="Sub-task"/>
    <x v="0"/>
    <d v="2015-06-16T10:00:00"/>
    <x v="6"/>
    <x v="0"/>
    <x v="13"/>
    <n v="4"/>
    <m/>
    <n v="141.1"/>
    <n v="24.900000000000002"/>
  </r>
  <r>
    <s v="SBG - Desktop"/>
    <x v="4"/>
    <s v="Sub-task"/>
    <s v="DESK-6852"/>
    <s v="DESK-6706&gt; [Refferal] Fix tracking link on SBG Home page REFER A FRIEND banner"/>
    <s v="Sub-task"/>
    <x v="0"/>
    <d v="2015-06-16T11:30:00"/>
    <x v="6"/>
    <x v="0"/>
    <x v="13"/>
    <n v="3"/>
    <m/>
    <n v="141.1"/>
    <n v="24.900000000000002"/>
  </r>
  <r>
    <s v="SBG - Desktop"/>
    <x v="0"/>
    <s v="Task"/>
    <s v="DESK-6991"/>
    <s v="Change font on secondary pages of all website"/>
    <s v="Task"/>
    <x v="0"/>
    <d v="2015-06-30T16:04:00"/>
    <x v="6"/>
    <x v="0"/>
    <x v="7"/>
    <n v="36"/>
    <m/>
    <n v="83"/>
    <n v="83"/>
  </r>
  <r>
    <s v="SBG - Desktop"/>
    <x v="0"/>
    <s v="Task"/>
    <s v="DESK-6991"/>
    <s v="Change font on secondary pages of all website"/>
    <s v="Task"/>
    <x v="0"/>
    <d v="2015-07-20T18:33:00"/>
    <x v="2"/>
    <x v="0"/>
    <x v="7"/>
    <n v="8"/>
    <m/>
    <n v="87"/>
    <n v="87"/>
  </r>
  <r>
    <s v="SBG - Desktop"/>
    <x v="0"/>
    <s v="Task"/>
    <s v="DESK-6991"/>
    <s v="Change font on secondary pages of all website"/>
    <s v="Task"/>
    <x v="0"/>
    <d v="2015-07-21T18:14:00"/>
    <x v="2"/>
    <x v="0"/>
    <x v="7"/>
    <n v="2"/>
    <m/>
    <n v="87"/>
    <n v="87"/>
  </r>
  <r>
    <s v="SBG - Desktop"/>
    <x v="2"/>
    <s v="Task"/>
    <s v="DESK-7125"/>
    <s v="remove decimals of price in NO, DK &amp; SE for SUN, EYE &amp; CONTACT categories"/>
    <s v="Task"/>
    <x v="0"/>
    <d v="2015-07-24T14:45:00"/>
    <x v="2"/>
    <x v="0"/>
    <x v="22"/>
    <n v="5"/>
    <m/>
    <n v="147.9"/>
    <n v="26.100000000000005"/>
  </r>
  <r>
    <s v="SBG - Desktop"/>
    <x v="3"/>
    <s v="Task"/>
    <s v="DESK-7127"/>
    <s v="Export celebrities pages to excel file"/>
    <s v="Task"/>
    <x v="0"/>
    <d v="2015-06-26T17:01:00"/>
    <x v="6"/>
    <x v="0"/>
    <x v="15"/>
    <n v="2"/>
    <m/>
    <n v="83"/>
    <n v="83"/>
  </r>
  <r>
    <s v="SBG - Desktop"/>
    <x v="2"/>
    <s v="Task"/>
    <s v="DESK-7141"/>
    <s v="Facebook new pixel implementation"/>
    <s v="Task"/>
    <x v="0"/>
    <d v="2015-06-23T11:44:00"/>
    <x v="6"/>
    <x v="0"/>
    <x v="10"/>
    <n v="6"/>
    <m/>
    <n v="141.1"/>
    <n v="24.900000000000002"/>
  </r>
  <r>
    <s v="SBG - Desktop"/>
    <x v="4"/>
    <s v="Task"/>
    <s v="DESK-7141"/>
    <s v="Facebook new pixel implementation"/>
    <s v="Task"/>
    <x v="0"/>
    <d v="2015-07-16T10:20:00"/>
    <x v="2"/>
    <x v="0"/>
    <x v="13"/>
    <n v="3"/>
    <m/>
    <n v="147.9"/>
    <n v="26.100000000000005"/>
  </r>
  <r>
    <s v="SBG - Desktop"/>
    <x v="1"/>
    <s v="Task"/>
    <s v="DESK-7141"/>
    <s v="Facebook new pixel implementation"/>
    <s v="Task"/>
    <x v="0"/>
    <d v="2015-07-20T17:49:00"/>
    <x v="2"/>
    <x v="0"/>
    <x v="1"/>
    <n v="2"/>
    <m/>
    <n v="147.9"/>
    <n v="26.100000000000005"/>
  </r>
  <r>
    <s v="SBG - Desktop"/>
    <x v="4"/>
    <s v="Task"/>
    <s v="DESK-7141"/>
    <s v="Facebook new pixel implementation"/>
    <s v="Task"/>
    <x v="0"/>
    <d v="2015-07-22T10:21:00"/>
    <x v="2"/>
    <x v="0"/>
    <x v="13"/>
    <n v="3"/>
    <m/>
    <n v="147.9"/>
    <n v="26.100000000000005"/>
  </r>
  <r>
    <s v="SBG - Desktop"/>
    <x v="2"/>
    <s v="Task"/>
    <s v="DESK-7141"/>
    <s v="Facebook new pixel implementation"/>
    <s v="Task"/>
    <x v="0"/>
    <d v="2015-07-22T10:55:00"/>
    <x v="2"/>
    <x v="0"/>
    <x v="10"/>
    <n v="4"/>
    <m/>
    <n v="147.9"/>
    <n v="26.100000000000005"/>
  </r>
  <r>
    <s v="SBG - Desktop"/>
    <x v="2"/>
    <s v="Task"/>
    <s v="DESK-7141"/>
    <s v="Facebook new pixel implementation"/>
    <s v="Task"/>
    <x v="0"/>
    <d v="2015-07-22T16:25:00"/>
    <x v="2"/>
    <x v="0"/>
    <x v="10"/>
    <n v="2.5"/>
    <m/>
    <n v="147.9"/>
    <n v="26.100000000000005"/>
  </r>
  <r>
    <s v="SBG - Desktop"/>
    <x v="1"/>
    <s v="Task"/>
    <s v="DESK-7141"/>
    <s v="Facebook new pixel implementation"/>
    <s v="Task"/>
    <x v="0"/>
    <d v="2015-07-22T17:42:00"/>
    <x v="2"/>
    <x v="0"/>
    <x v="1"/>
    <n v="2"/>
    <m/>
    <n v="147.9"/>
    <n v="26.100000000000005"/>
  </r>
  <r>
    <s v="SBG - Desktop"/>
    <x v="1"/>
    <s v="Task"/>
    <s v="DESK-7141"/>
    <s v="Facebook new pixel implementation"/>
    <s v="Task"/>
    <x v="0"/>
    <d v="2015-07-23T18:40:00"/>
    <x v="2"/>
    <x v="0"/>
    <x v="1"/>
    <n v="1"/>
    <m/>
    <n v="147.9"/>
    <n v="26.100000000000005"/>
  </r>
  <r>
    <s v="SBG - Desktop"/>
    <x v="3"/>
    <s v="Task"/>
    <s v="DESK-7141"/>
    <s v="Facebook new pixel implementation"/>
    <s v="Task"/>
    <x v="0"/>
    <d v="2015-07-24T11:07:00"/>
    <x v="2"/>
    <x v="0"/>
    <x v="3"/>
    <n v="1"/>
    <m/>
    <n v="87"/>
    <n v="87"/>
  </r>
  <r>
    <s v="SBG - Desktop"/>
    <x v="3"/>
    <s v="Task"/>
    <s v="DESK-7141"/>
    <s v="Facebook new pixel implementation"/>
    <s v="Task"/>
    <x v="0"/>
    <d v="2015-07-24T11:08:00"/>
    <x v="2"/>
    <x v="0"/>
    <x v="3"/>
    <n v="1"/>
    <m/>
    <n v="87"/>
    <n v="87"/>
  </r>
  <r>
    <s v="SBG - Desktop"/>
    <x v="1"/>
    <s v="Task"/>
    <s v="DESK-7141"/>
    <s v="Facebook new pixel implementation"/>
    <s v="Task"/>
    <x v="0"/>
    <d v="2015-07-24T18:36:00"/>
    <x v="2"/>
    <x v="0"/>
    <x v="1"/>
    <n v="2"/>
    <m/>
    <n v="147.9"/>
    <n v="26.100000000000005"/>
  </r>
  <r>
    <s v="SBG - Desktop"/>
    <x v="1"/>
    <s v="Task"/>
    <s v="DESK-7161"/>
    <s v="Marketing Top Bar promotion - Polarized Sunglasses push"/>
    <s v="Task"/>
    <x v="0"/>
    <d v="2015-07-14T18:59:00"/>
    <x v="2"/>
    <x v="0"/>
    <x v="1"/>
    <n v="7"/>
    <m/>
    <n v="147.9"/>
    <n v="26.100000000000005"/>
  </r>
  <r>
    <s v="SBG - Desktop"/>
    <x v="2"/>
    <s v="Task"/>
    <s v="DESK-7161"/>
    <s v="Marketing Top Bar promotion - Polarized Sunglasses push"/>
    <s v="Task"/>
    <x v="0"/>
    <d v="2015-07-15T17:03:00"/>
    <x v="2"/>
    <x v="0"/>
    <x v="10"/>
    <n v="3"/>
    <m/>
    <n v="147.9"/>
    <n v="26.100000000000005"/>
  </r>
  <r>
    <s v="SBG - Desktop"/>
    <x v="1"/>
    <s v="Task"/>
    <s v="DESK-7161"/>
    <s v="Marketing Top Bar promotion - Polarized Sunglasses push"/>
    <s v="Task"/>
    <x v="0"/>
    <d v="2015-07-17T16:15:00"/>
    <x v="2"/>
    <x v="0"/>
    <x v="1"/>
    <n v="6"/>
    <m/>
    <n v="147.9"/>
    <n v="26.100000000000005"/>
  </r>
  <r>
    <s v="SBG - Desktop"/>
    <x v="1"/>
    <s v="Task"/>
    <s v="DESK-7161"/>
    <s v="Marketing Top Bar promotion - Polarized Sunglasses push"/>
    <s v="Task"/>
    <x v="0"/>
    <d v="2015-07-20T17:48:00"/>
    <x v="2"/>
    <x v="0"/>
    <x v="1"/>
    <n v="2"/>
    <m/>
    <n v="147.9"/>
    <n v="26.100000000000005"/>
  </r>
  <r>
    <s v="SBG - Desktop"/>
    <x v="1"/>
    <s v="Task"/>
    <s v="DESK-7161"/>
    <s v="Marketing Top Bar promotion - Polarized Sunglasses push"/>
    <s v="Task"/>
    <x v="0"/>
    <d v="2015-07-23T17:50:00"/>
    <x v="2"/>
    <x v="0"/>
    <x v="1"/>
    <n v="5"/>
    <m/>
    <n v="147.9"/>
    <n v="26.100000000000005"/>
  </r>
  <r>
    <s v="SBG - Desktop"/>
    <x v="1"/>
    <s v="Task"/>
    <s v="DESK-7161"/>
    <s v="Marketing Top Bar promotion - Polarized Sunglasses push"/>
    <s v="Task"/>
    <x v="0"/>
    <d v="2015-07-23T18:36:00"/>
    <x v="2"/>
    <x v="0"/>
    <x v="1"/>
    <n v="2"/>
    <m/>
    <n v="147.9"/>
    <n v="26.100000000000005"/>
  </r>
  <r>
    <s v="SBG - Desktop"/>
    <x v="2"/>
    <s v="Task"/>
    <s v="DESK-7161"/>
    <s v="Marketing Top Bar promotion - Polarized Sunglasses push"/>
    <s v="Task"/>
    <x v="0"/>
    <d v="2015-07-24T10:16:00"/>
    <x v="2"/>
    <x v="0"/>
    <x v="10"/>
    <n v="1"/>
    <m/>
    <n v="147.9"/>
    <n v="26.100000000000005"/>
  </r>
  <r>
    <s v="SBG - Desktop"/>
    <x v="3"/>
    <s v="Task"/>
    <s v="DESK-7161"/>
    <s v="Marketing Top Bar promotion - Polarized Sunglasses push"/>
    <s v="Task"/>
    <x v="0"/>
    <d v="2015-07-24T11:07:00"/>
    <x v="2"/>
    <x v="0"/>
    <x v="3"/>
    <n v="1"/>
    <m/>
    <n v="87"/>
    <n v="87"/>
  </r>
  <r>
    <s v="SBG - Desktop"/>
    <x v="3"/>
    <s v="Task"/>
    <s v="DESK-7277"/>
    <s v="Synchronize No Sale Brands for contact lenses"/>
    <s v="Task"/>
    <x v="0"/>
    <d v="2015-06-25T17:30:00"/>
    <x v="6"/>
    <x v="0"/>
    <x v="15"/>
    <n v="1"/>
    <m/>
    <n v="83"/>
    <n v="83"/>
  </r>
  <r>
    <s v="SBG - Desktop"/>
    <x v="2"/>
    <s v="Task"/>
    <s v="DESK-7282"/>
    <s v="insert manual order into GC by calling its API"/>
    <s v="Task"/>
    <x v="0"/>
    <d v="2015-07-23T09:53:00"/>
    <x v="2"/>
    <x v="0"/>
    <x v="18"/>
    <n v="8"/>
    <m/>
    <n v="147.9"/>
    <n v="26.100000000000005"/>
  </r>
  <r>
    <s v="SBG - Desktop"/>
    <x v="0"/>
    <s v="Task"/>
    <s v="DESK-7297"/>
    <s v="New Fendi Logo"/>
    <s v="Task"/>
    <x v="0"/>
    <d v="2015-07-10T10:09:00"/>
    <x v="2"/>
    <x v="0"/>
    <x v="0"/>
    <n v="0.5"/>
    <m/>
    <n v="87"/>
    <n v="87"/>
  </r>
  <r>
    <s v="SBG - Desktop"/>
    <x v="0"/>
    <s v="Task"/>
    <s v="DESK-7305"/>
    <s v="Smith &amp; Oxydo New Logo"/>
    <s v="Task"/>
    <x v="0"/>
    <d v="2015-06-16T12:34:00"/>
    <x v="6"/>
    <x v="0"/>
    <x v="0"/>
    <n v="1.5"/>
    <m/>
    <n v="83"/>
    <n v="83"/>
  </r>
  <r>
    <s v="SBG - Desktop"/>
    <x v="2"/>
    <s v="Improvement"/>
    <s v="DESK-7640"/>
    <s v="Add Baidu analytics for mobile CN"/>
    <s v="Improvement"/>
    <x v="0"/>
    <d v="2015-06-12T09:43:00"/>
    <x v="6"/>
    <x v="0"/>
    <x v="10"/>
    <n v="8"/>
    <m/>
    <n v="141.1"/>
    <n v="24.900000000000002"/>
  </r>
  <r>
    <s v="SBG - Desktop"/>
    <x v="4"/>
    <s v="Improvement"/>
    <s v="DESK-7640"/>
    <s v="Add Baidu analytics for mobile CN"/>
    <s v="Improvement"/>
    <x v="0"/>
    <d v="2015-07-17T10:22:00"/>
    <x v="2"/>
    <x v="0"/>
    <x v="13"/>
    <n v="2"/>
    <m/>
    <n v="147.9"/>
    <n v="26.100000000000005"/>
  </r>
  <r>
    <s v="SBG - Desktop"/>
    <x v="1"/>
    <s v="Improvement"/>
    <s v="DESK-7640"/>
    <s v="Add Baidu analytics for mobile CN"/>
    <s v="Improvement"/>
    <x v="0"/>
    <d v="2015-07-20T17:49:00"/>
    <x v="2"/>
    <x v="0"/>
    <x v="1"/>
    <n v="2"/>
    <m/>
    <n v="147.9"/>
    <n v="26.100000000000005"/>
  </r>
  <r>
    <s v="SBG - Desktop"/>
    <x v="2"/>
    <s v="Improvement"/>
    <s v="DESK-7640"/>
    <s v="Add Baidu analytics for mobile CN"/>
    <s v="Improvement"/>
    <x v="0"/>
    <d v="2015-07-21T14:41:00"/>
    <x v="2"/>
    <x v="0"/>
    <x v="10"/>
    <n v="2"/>
    <m/>
    <n v="147.9"/>
    <n v="26.100000000000005"/>
  </r>
  <r>
    <s v="SBG - Desktop"/>
    <x v="2"/>
    <s v="Improvement"/>
    <s v="DESK-7640"/>
    <s v="Add Baidu analytics for mobile CN"/>
    <s v="Improvement"/>
    <x v="0"/>
    <d v="2015-07-22T14:13:00"/>
    <x v="2"/>
    <x v="0"/>
    <x v="10"/>
    <n v="0.5"/>
    <m/>
    <n v="147.9"/>
    <n v="26.100000000000005"/>
  </r>
  <r>
    <s v="SBG - Desktop"/>
    <x v="1"/>
    <s v="Improvement"/>
    <s v="DESK-7640"/>
    <s v="Add Baidu analytics for mobile CN"/>
    <s v="Improvement"/>
    <x v="0"/>
    <d v="2015-07-22T17:42:00"/>
    <x v="2"/>
    <x v="0"/>
    <x v="1"/>
    <n v="2"/>
    <m/>
    <n v="147.9"/>
    <n v="26.100000000000005"/>
  </r>
  <r>
    <s v="SBG - Desktop"/>
    <x v="2"/>
    <s v="Improvement"/>
    <s v="DESK-7640"/>
    <s v="Add Baidu analytics for mobile CN"/>
    <s v="Improvement"/>
    <x v="0"/>
    <d v="2015-07-23T12:56:00"/>
    <x v="2"/>
    <x v="0"/>
    <x v="10"/>
    <n v="1"/>
    <m/>
    <n v="147.9"/>
    <n v="26.100000000000005"/>
  </r>
  <r>
    <s v="SBG - Desktop"/>
    <x v="2"/>
    <s v="Improvement"/>
    <s v="DESK-7865"/>
    <s v="YJ Management Work log ticket-New Feature"/>
    <s v="Improvement"/>
    <x v="0"/>
    <d v="2015-06-25T17:18:00"/>
    <x v="6"/>
    <x v="0"/>
    <x v="14"/>
    <n v="136"/>
    <m/>
    <n v="141.1"/>
    <n v="24.900000000000002"/>
  </r>
  <r>
    <s v="SBG - Desktop"/>
    <x v="2"/>
    <s v="Improvement"/>
    <s v="DESK-7865"/>
    <s v="YJ Management Work log ticket-New Feature"/>
    <s v="Improvement"/>
    <x v="0"/>
    <d v="2015-07-25T17:18:00"/>
    <x v="2"/>
    <x v="0"/>
    <x v="14"/>
    <n v="136"/>
    <m/>
    <n v="147.9"/>
    <n v="26.100000000000005"/>
  </r>
  <r>
    <s v="SBG - Desktop"/>
    <x v="2"/>
    <s v="Bug"/>
    <s v="DESK-7866"/>
    <s v="YJ Management Work log ticket-maintainance"/>
    <s v="Bug"/>
    <x v="1"/>
    <d v="2015-06-25T17:21:00"/>
    <x v="6"/>
    <x v="0"/>
    <x v="14"/>
    <n v="24"/>
    <m/>
    <n v="141.1"/>
    <n v="24.900000000000002"/>
  </r>
  <r>
    <s v="SBG - Desktop"/>
    <x v="2"/>
    <s v="Bug"/>
    <s v="DESK-7866"/>
    <s v="YJ Management Work log ticket-maintainance"/>
    <s v="Bug"/>
    <x v="1"/>
    <d v="2015-07-25T17:21:00"/>
    <x v="2"/>
    <x v="0"/>
    <x v="14"/>
    <n v="24"/>
    <m/>
    <n v="147.9"/>
    <n v="26.100000000000005"/>
  </r>
  <r>
    <m/>
    <x v="2"/>
    <m/>
    <m/>
    <m/>
    <m/>
    <x v="0"/>
    <m/>
    <x v="7"/>
    <x v="1"/>
    <x v="14"/>
    <n v="0"/>
    <m/>
    <n v="156.4"/>
    <n v="27.600000000000005"/>
  </r>
  <r>
    <m/>
    <x v="2"/>
    <m/>
    <m/>
    <m/>
    <m/>
    <x v="1"/>
    <m/>
    <x v="7"/>
    <x v="1"/>
    <x v="14"/>
    <n v="0"/>
    <m/>
    <n v="156.4"/>
    <n v="27.600000000000005"/>
  </r>
  <r>
    <s v="Database Support"/>
    <x v="3"/>
    <s v="Task"/>
    <s v="DS-2458"/>
    <s v="Acuvue Oasys For Astigmatism New Power"/>
    <s v="Task"/>
    <x v="0"/>
    <d v="2015-06-26T17:00:00"/>
    <x v="6"/>
    <x v="0"/>
    <x v="15"/>
    <n v="1"/>
    <m/>
    <n v="83"/>
    <n v="83"/>
  </r>
  <r>
    <s v="Database Support"/>
    <x v="3"/>
    <s v="Task"/>
    <s v="DS-2458"/>
    <s v="Acuvue Oasys For Astigmatism New Power"/>
    <s v="Task"/>
    <x v="0"/>
    <d v="2015-07-20T14:14:00"/>
    <x v="2"/>
    <x v="0"/>
    <x v="15"/>
    <n v="2"/>
    <m/>
    <n v="87"/>
    <n v="87"/>
  </r>
  <r>
    <s v="Database Support"/>
    <x v="3"/>
    <s v="Task"/>
    <s v="DS-2515"/>
    <s v="New Brand &amp; Product Name"/>
    <s v="Task"/>
    <x v="0"/>
    <d v="2015-06-01T14:46:00"/>
    <x v="6"/>
    <x v="0"/>
    <x v="15"/>
    <n v="3"/>
    <m/>
    <n v="83"/>
    <n v="83"/>
  </r>
  <r>
    <s v="Database Support"/>
    <x v="3"/>
    <s v="Task"/>
    <s v="DS-2515"/>
    <s v="New Brand &amp; Product Name"/>
    <s v="Task"/>
    <x v="0"/>
    <d v="2015-07-20T14:15:00"/>
    <x v="2"/>
    <x v="0"/>
    <x v="15"/>
    <n v="5"/>
    <m/>
    <n v="87"/>
    <n v="87"/>
  </r>
  <r>
    <s v="Database Support"/>
    <x v="1"/>
    <s v="Task"/>
    <s v="DS-2549"/>
    <s v="New shipping time"/>
    <s v="Task"/>
    <x v="0"/>
    <d v="2015-06-08T08:17:00"/>
    <x v="6"/>
    <x v="0"/>
    <x v="5"/>
    <n v="9"/>
    <m/>
    <n v="141.1"/>
    <n v="24.900000000000002"/>
  </r>
  <r>
    <s v="Database Support"/>
    <x v="1"/>
    <s v="Task"/>
    <s v="DS-2549"/>
    <s v="New shipping time"/>
    <s v="Task"/>
    <x v="0"/>
    <d v="2015-06-11T15:45:00"/>
    <x v="6"/>
    <x v="0"/>
    <x v="5"/>
    <n v="2"/>
    <m/>
    <n v="141.1"/>
    <n v="24.900000000000002"/>
  </r>
  <r>
    <s v="Database Support"/>
    <x v="3"/>
    <s v="Task"/>
    <s v="DS-2570"/>
    <s v="Info Update"/>
    <s v="Task"/>
    <x v="0"/>
    <d v="2015-06-01T14:46:00"/>
    <x v="6"/>
    <x v="0"/>
    <x v="15"/>
    <n v="2"/>
    <m/>
    <n v="83"/>
    <n v="83"/>
  </r>
  <r>
    <s v="Database Support"/>
    <x v="3"/>
    <s v="Task"/>
    <s v="DS-2587"/>
    <s v="Dis and Ava"/>
    <s v="Task"/>
    <x v="0"/>
    <d v="2015-06-01T17:58:00"/>
    <x v="6"/>
    <x v="0"/>
    <x v="15"/>
    <n v="3"/>
    <m/>
    <n v="83"/>
    <n v="83"/>
  </r>
  <r>
    <s v="Database Support"/>
    <x v="3"/>
    <s v="Task"/>
    <s v="DS-2590"/>
    <s v="Info Update"/>
    <s v="Task"/>
    <x v="0"/>
    <d v="2015-06-04T17:30:00"/>
    <x v="6"/>
    <x v="0"/>
    <x v="15"/>
    <n v="5"/>
    <m/>
    <n v="83"/>
    <n v="83"/>
  </r>
  <r>
    <s v="Database Support"/>
    <x v="3"/>
    <s v="Task"/>
    <s v="DS-2591"/>
    <s v="Info Update"/>
    <s v="Task"/>
    <x v="0"/>
    <d v="2015-06-05T12:41:00"/>
    <x v="6"/>
    <x v="0"/>
    <x v="15"/>
    <n v="4"/>
    <m/>
    <n v="83"/>
    <n v="83"/>
  </r>
  <r>
    <s v="Database Support"/>
    <x v="3"/>
    <s v="Task"/>
    <s v="DS-2592"/>
    <s v="Size Delete"/>
    <s v="Task"/>
    <x v="0"/>
    <d v="2015-06-05T17:11:00"/>
    <x v="6"/>
    <x v="0"/>
    <x v="15"/>
    <n v="2"/>
    <m/>
    <n v="83"/>
    <n v="83"/>
  </r>
  <r>
    <s v="Database Support"/>
    <x v="3"/>
    <s v="Task"/>
    <s v="DS-2593"/>
    <s v="Phase 183 Test"/>
    <s v="Task"/>
    <x v="0"/>
    <d v="2015-06-26T17:02:00"/>
    <x v="6"/>
    <x v="0"/>
    <x v="15"/>
    <n v="3"/>
    <m/>
    <n v="83"/>
    <n v="83"/>
  </r>
  <r>
    <s v="Database Support"/>
    <x v="3"/>
    <s v="Task"/>
    <s v="DS-2594"/>
    <s v="Info Update"/>
    <s v="Task"/>
    <x v="0"/>
    <d v="2015-06-08T16:58:00"/>
    <x v="6"/>
    <x v="0"/>
    <x v="15"/>
    <n v="3"/>
    <m/>
    <n v="83"/>
    <n v="83"/>
  </r>
  <r>
    <s v="Database Support"/>
    <x v="3"/>
    <s v="Task"/>
    <s v="DS-2595"/>
    <s v="3DSprint 39-46"/>
    <s v="Task"/>
    <x v="0"/>
    <d v="2015-06-11T18:26:00"/>
    <x v="6"/>
    <x v="0"/>
    <x v="15"/>
    <n v="2"/>
    <m/>
    <n v="83"/>
    <n v="83"/>
  </r>
  <r>
    <s v="Database Support"/>
    <x v="3"/>
    <s v="Task"/>
    <s v="DS-2595"/>
    <s v="3DSprint 39-46"/>
    <s v="Task"/>
    <x v="0"/>
    <d v="2015-06-26T17:02:00"/>
    <x v="6"/>
    <x v="0"/>
    <x v="15"/>
    <n v="1"/>
    <m/>
    <n v="83"/>
    <n v="83"/>
  </r>
  <r>
    <s v="Database Support"/>
    <x v="3"/>
    <s v="Task"/>
    <s v="DS-2596"/>
    <s v="New Contact Lens UPC"/>
    <s v="Task"/>
    <x v="0"/>
    <d v="2015-06-26T17:01:00"/>
    <x v="6"/>
    <x v="0"/>
    <x v="15"/>
    <n v="2"/>
    <m/>
    <n v="83"/>
    <n v="83"/>
  </r>
  <r>
    <s v="Database Support"/>
    <x v="3"/>
    <s v="Task"/>
    <s v="DS-2597"/>
    <s v="Polarized Flag"/>
    <s v="Task"/>
    <x v="0"/>
    <d v="2015-06-10T16:59:00"/>
    <x v="6"/>
    <x v="0"/>
    <x v="15"/>
    <n v="1"/>
    <m/>
    <n v="83"/>
    <n v="83"/>
  </r>
  <r>
    <s v="Database Support"/>
    <x v="3"/>
    <s v="Task"/>
    <s v="DS-2598"/>
    <s v="Register new feeds"/>
    <s v="Task"/>
    <x v="0"/>
    <d v="2015-06-15T18:32:00"/>
    <x v="6"/>
    <x v="0"/>
    <x v="15"/>
    <n v="1"/>
    <m/>
    <n v="83"/>
    <n v="83"/>
  </r>
  <r>
    <s v="Database Support"/>
    <x v="3"/>
    <s v="Task"/>
    <s v="DS-2599"/>
    <s v="Phase 183 Live"/>
    <s v="Task"/>
    <x v="0"/>
    <d v="2015-06-10T16:24:00"/>
    <x v="6"/>
    <x v="0"/>
    <x v="15"/>
    <n v="3"/>
    <m/>
    <n v="83"/>
    <n v="83"/>
  </r>
  <r>
    <s v="Database Support"/>
    <x v="3"/>
    <s v="Task"/>
    <s v="DS-2600"/>
    <s v="Phase 183 UPC, Frame, and RX"/>
    <s v="Task"/>
    <x v="0"/>
    <d v="2015-06-10T16:22:00"/>
    <x v="6"/>
    <x v="0"/>
    <x v="15"/>
    <n v="6"/>
    <m/>
    <n v="83"/>
    <n v="83"/>
  </r>
  <r>
    <s v="Database Support"/>
    <x v="3"/>
    <s v="Task"/>
    <s v="DS-2602"/>
    <s v="Info Update"/>
    <s v="Task"/>
    <x v="0"/>
    <d v="2015-06-11T18:46:00"/>
    <x v="6"/>
    <x v="0"/>
    <x v="15"/>
    <n v="1"/>
    <m/>
    <n v="83"/>
    <n v="83"/>
  </r>
  <r>
    <s v="Database Support"/>
    <x v="3"/>
    <s v="Task"/>
    <s v="DS-2603"/>
    <s v="Supplier PO with their status"/>
    <s v="Task"/>
    <x v="0"/>
    <d v="2015-06-15T14:06:00"/>
    <x v="6"/>
    <x v="0"/>
    <x v="15"/>
    <n v="3"/>
    <m/>
    <n v="83"/>
    <n v="83"/>
  </r>
  <r>
    <s v="Database Support"/>
    <x v="3"/>
    <s v="Task"/>
    <s v="DS-2605"/>
    <s v="Info Update"/>
    <s v="Task"/>
    <x v="0"/>
    <d v="2015-06-12T19:06:00"/>
    <x v="6"/>
    <x v="0"/>
    <x v="15"/>
    <n v="2"/>
    <m/>
    <n v="83"/>
    <n v="83"/>
  </r>
  <r>
    <s v="Database Support"/>
    <x v="3"/>
    <s v="Task"/>
    <s v="DS-2606"/>
    <s v="Phase 184"/>
    <s v="Task"/>
    <x v="0"/>
    <d v="2015-06-15T14:05:00"/>
    <x v="6"/>
    <x v="0"/>
    <x v="15"/>
    <n v="4"/>
    <m/>
    <n v="83"/>
    <n v="83"/>
  </r>
  <r>
    <s v="Database Support"/>
    <x v="3"/>
    <s v="Task"/>
    <s v="DS-2607"/>
    <s v="Info Update"/>
    <s v="Task"/>
    <x v="0"/>
    <d v="2015-06-15T16:50:00"/>
    <x v="6"/>
    <x v="0"/>
    <x v="15"/>
    <n v="3"/>
    <m/>
    <n v="83"/>
    <n v="83"/>
  </r>
  <r>
    <s v="Database Support"/>
    <x v="3"/>
    <s v="Task"/>
    <s v="DS-2608"/>
    <s v="Phase 184"/>
    <s v="Task"/>
    <x v="0"/>
    <d v="2015-06-16T17:42:00"/>
    <x v="6"/>
    <x v="0"/>
    <x v="15"/>
    <n v="3"/>
    <m/>
    <n v="83"/>
    <n v="83"/>
  </r>
  <r>
    <s v="Database Support"/>
    <x v="3"/>
    <s v="Task"/>
    <s v="DS-2609"/>
    <s v="Info Update"/>
    <s v="Task"/>
    <x v="0"/>
    <d v="2015-06-16T17:42:00"/>
    <x v="6"/>
    <x v="0"/>
    <x v="15"/>
    <n v="3"/>
    <m/>
    <n v="83"/>
    <n v="83"/>
  </r>
  <r>
    <s v="Database Support"/>
    <x v="3"/>
    <s v="Task"/>
    <s v="DS-2610"/>
    <s v="Phase184 UPC, RX and Frame"/>
    <s v="Task"/>
    <x v="0"/>
    <d v="2015-06-17T09:14:00"/>
    <x v="6"/>
    <x v="0"/>
    <x v="15"/>
    <n v="3"/>
    <m/>
    <n v="83"/>
    <n v="83"/>
  </r>
  <r>
    <s v="Database Support"/>
    <x v="3"/>
    <s v="Task"/>
    <s v="DS-2611"/>
    <s v="Price Update"/>
    <s v="Task"/>
    <x v="0"/>
    <d v="2015-06-17T18:49:00"/>
    <x v="6"/>
    <x v="0"/>
    <x v="15"/>
    <n v="6"/>
    <m/>
    <n v="83"/>
    <n v="83"/>
  </r>
  <r>
    <s v="Database Support"/>
    <x v="3"/>
    <s v="Task"/>
    <s v="DS-2613"/>
    <s v="Contact Lens UPC dowanload"/>
    <s v="Task"/>
    <x v="0"/>
    <d v="2015-06-29T12:16:00"/>
    <x v="6"/>
    <x v="0"/>
    <x v="15"/>
    <n v="2"/>
    <m/>
    <n v="83"/>
    <n v="83"/>
  </r>
  <r>
    <s v="Database Support"/>
    <x v="3"/>
    <s v="Task"/>
    <s v="DS-2613"/>
    <s v="Contact Lens UPC dowanload"/>
    <s v="Task"/>
    <x v="0"/>
    <d v="2015-06-29T12:16:00"/>
    <x v="6"/>
    <x v="0"/>
    <x v="15"/>
    <n v="2"/>
    <m/>
    <n v="83"/>
    <n v="83"/>
  </r>
  <r>
    <s v="Database Support"/>
    <x v="3"/>
    <s v="Task"/>
    <s v="DS-2615"/>
    <s v="Info Update"/>
    <s v="Task"/>
    <x v="0"/>
    <d v="2015-06-26T17:00:00"/>
    <x v="6"/>
    <x v="0"/>
    <x v="15"/>
    <n v="1"/>
    <m/>
    <n v="83"/>
    <n v="83"/>
  </r>
  <r>
    <s v="Database Support"/>
    <x v="3"/>
    <s v="Task"/>
    <s v="DS-2616"/>
    <s v="Info Update"/>
    <s v="Task"/>
    <x v="0"/>
    <d v="2015-06-19T17:19:00"/>
    <x v="6"/>
    <x v="0"/>
    <x v="15"/>
    <n v="1"/>
    <m/>
    <n v="83"/>
    <n v="83"/>
  </r>
  <r>
    <s v="Database Support"/>
    <x v="3"/>
    <s v="Task"/>
    <s v="DS-2617"/>
    <s v="Update 360_video data"/>
    <s v="Task"/>
    <x v="0"/>
    <d v="2015-06-23T14:25:00"/>
    <x v="6"/>
    <x v="0"/>
    <x v="15"/>
    <n v="1"/>
    <m/>
    <n v="83"/>
    <n v="83"/>
  </r>
  <r>
    <s v="Database Support"/>
    <x v="3"/>
    <s v="Task"/>
    <s v="DS-2620"/>
    <s v="Phase 185 Live"/>
    <s v="Task"/>
    <x v="0"/>
    <d v="2015-06-26T16:59:00"/>
    <x v="6"/>
    <x v="0"/>
    <x v="15"/>
    <n v="3"/>
    <m/>
    <n v="83"/>
    <n v="83"/>
  </r>
  <r>
    <s v="Database Support"/>
    <x v="3"/>
    <s v="Task"/>
    <s v="DS-2621"/>
    <s v="Contact lens EU Price Refresh/Product Update"/>
    <s v="Task"/>
    <x v="0"/>
    <d v="2015-06-26T16:59:00"/>
    <x v="6"/>
    <x v="0"/>
    <x v="15"/>
    <n v="2"/>
    <m/>
    <n v="83"/>
    <n v="83"/>
  </r>
  <r>
    <s v="Database Support"/>
    <x v="3"/>
    <s v="Task"/>
    <s v="DS-2625"/>
    <s v="Contact lens price update"/>
    <s v="Task"/>
    <x v="0"/>
    <d v="2015-06-25T17:31:00"/>
    <x v="6"/>
    <x v="0"/>
    <x v="15"/>
    <n v="2"/>
    <m/>
    <n v="83"/>
    <n v="83"/>
  </r>
  <r>
    <s v="Database Support"/>
    <x v="3"/>
    <s v="Task"/>
    <s v="DS-2626"/>
    <s v="URL Link for listed SKUs needed"/>
    <s v="Task"/>
    <x v="0"/>
    <d v="2015-06-26T16:57:00"/>
    <x v="6"/>
    <x v="0"/>
    <x v="15"/>
    <n v="1"/>
    <m/>
    <n v="83"/>
    <n v="83"/>
  </r>
  <r>
    <s v="Database Support"/>
    <x v="3"/>
    <s v="Task"/>
    <s v="DS-2629"/>
    <s v="Info Update"/>
    <s v="Task"/>
    <x v="0"/>
    <d v="2015-06-26T16:58:00"/>
    <x v="6"/>
    <x v="0"/>
    <x v="15"/>
    <n v="1"/>
    <m/>
    <n v="83"/>
    <n v="83"/>
  </r>
  <r>
    <s v="Database Support"/>
    <x v="3"/>
    <s v="Task"/>
    <s v="DS-2630"/>
    <s v="Brand Update"/>
    <s v="Task"/>
    <x v="0"/>
    <d v="2015-06-29T10:49:00"/>
    <x v="6"/>
    <x v="0"/>
    <x v="15"/>
    <n v="1"/>
    <m/>
    <n v="83"/>
    <n v="83"/>
  </r>
  <r>
    <s v="Database Support"/>
    <x v="3"/>
    <s v="Task"/>
    <s v="DS-2631"/>
    <s v="Phase 186 Test"/>
    <s v="Task"/>
    <x v="0"/>
    <d v="2015-06-29T15:23:00"/>
    <x v="6"/>
    <x v="0"/>
    <x v="15"/>
    <n v="3"/>
    <m/>
    <n v="83"/>
    <n v="83"/>
  </r>
  <r>
    <s v="Database Support"/>
    <x v="3"/>
    <s v="Task"/>
    <s v="DS-2632"/>
    <s v="Import content in New meta group English (SG)"/>
    <s v="Task"/>
    <x v="0"/>
    <d v="2015-07-20T14:15:00"/>
    <x v="2"/>
    <x v="0"/>
    <x v="15"/>
    <n v="4"/>
    <m/>
    <n v="87"/>
    <n v="87"/>
  </r>
  <r>
    <s v="Database Support"/>
    <x v="3"/>
    <s v="Task"/>
    <s v="DS-2633"/>
    <s v="Info Update"/>
    <s v="Task"/>
    <x v="0"/>
    <d v="2015-06-29T16:34:00"/>
    <x v="6"/>
    <x v="0"/>
    <x v="15"/>
    <n v="2"/>
    <m/>
    <n v="83"/>
    <n v="83"/>
  </r>
  <r>
    <s v="Database Support"/>
    <x v="3"/>
    <s v="Task"/>
    <s v="DS-2635"/>
    <s v="Phase 186 Live"/>
    <s v="Task"/>
    <x v="0"/>
    <d v="2015-06-30T12:22:00"/>
    <x v="6"/>
    <x v="0"/>
    <x v="15"/>
    <n v="3"/>
    <m/>
    <n v="83"/>
    <n v="83"/>
  </r>
  <r>
    <s v="Database Support"/>
    <x v="3"/>
    <s v="Task"/>
    <s v="DS-2636"/>
    <s v="Image Flag=1"/>
    <s v="Task"/>
    <x v="0"/>
    <d v="2015-06-30T12:22:00"/>
    <x v="6"/>
    <x v="0"/>
    <x v="15"/>
    <n v="2"/>
    <m/>
    <n v="83"/>
    <n v="83"/>
  </r>
  <r>
    <s v="Database Support"/>
    <x v="3"/>
    <s v="Task"/>
    <s v="DS-2638"/>
    <s v="Info Update"/>
    <s v="Task"/>
    <x v="0"/>
    <d v="2015-06-30T16:49:00"/>
    <x v="6"/>
    <x v="0"/>
    <x v="15"/>
    <n v="1"/>
    <m/>
    <n v="83"/>
    <n v="83"/>
  </r>
  <r>
    <s v="Database Support"/>
    <x v="3"/>
    <s v="Task"/>
    <s v="DS-2639"/>
    <s v="Phase 186 Frame shaoe, RX, and UPC"/>
    <s v="Task"/>
    <x v="0"/>
    <d v="2015-06-30T18:34:00"/>
    <x v="6"/>
    <x v="0"/>
    <x v="15"/>
    <n v="3"/>
    <m/>
    <n v="83"/>
    <n v="83"/>
  </r>
  <r>
    <s v="Database Support"/>
    <x v="3"/>
    <s v="Task"/>
    <s v="DS-2642"/>
    <s v="Info Update"/>
    <s v="Task"/>
    <x v="0"/>
    <d v="2015-07-02T11:52:00"/>
    <x v="2"/>
    <x v="0"/>
    <x v="15"/>
    <n v="1"/>
    <m/>
    <n v="87"/>
    <n v="87"/>
  </r>
  <r>
    <s v="Database Support"/>
    <x v="3"/>
    <s v="Task"/>
    <s v="DS-2644"/>
    <s v="Ski Goggles PID"/>
    <s v="Task"/>
    <x v="0"/>
    <d v="2015-07-02T15:44:00"/>
    <x v="2"/>
    <x v="0"/>
    <x v="15"/>
    <n v="1"/>
    <m/>
    <n v="87"/>
    <n v="87"/>
  </r>
  <r>
    <s v="Database Support"/>
    <x v="3"/>
    <s v="Task"/>
    <s v="DS-2648"/>
    <s v="info udpate"/>
    <s v="Task"/>
    <x v="0"/>
    <d v="2015-07-06T14:41:00"/>
    <x v="2"/>
    <x v="0"/>
    <x v="15"/>
    <n v="1"/>
    <m/>
    <n v="87"/>
    <n v="87"/>
  </r>
  <r>
    <s v="Database Support"/>
    <x v="3"/>
    <s v="Task"/>
    <s v="DS-2650"/>
    <s v="Phase 187"/>
    <s v="Task"/>
    <x v="0"/>
    <d v="2015-07-07T11:25:00"/>
    <x v="2"/>
    <x v="0"/>
    <x v="15"/>
    <n v="3"/>
    <m/>
    <n v="87"/>
    <n v="87"/>
  </r>
  <r>
    <s v="Database Support"/>
    <x v="3"/>
    <s v="Task"/>
    <s v="DS-2653"/>
    <s v="Phase 187 UPC, RX and frame shape"/>
    <s v="Task"/>
    <x v="0"/>
    <d v="2015-07-07T16:22:00"/>
    <x v="2"/>
    <x v="0"/>
    <x v="15"/>
    <n v="3"/>
    <m/>
    <n v="87"/>
    <n v="87"/>
  </r>
  <r>
    <s v="Database Support"/>
    <x v="3"/>
    <s v="Bug"/>
    <s v="DS-2654"/>
    <s v="1-Day Acuvue Moist 30 Pack"/>
    <s v="Bug"/>
    <x v="1"/>
    <d v="2015-07-20T14:13:00"/>
    <x v="2"/>
    <x v="0"/>
    <x v="15"/>
    <n v="2"/>
    <m/>
    <n v="87"/>
    <n v="87"/>
  </r>
  <r>
    <s v="Database Support"/>
    <x v="3"/>
    <s v="Task"/>
    <s v="DS-2655"/>
    <s v="Info Update"/>
    <s v="Task"/>
    <x v="0"/>
    <d v="2015-07-09T14:40:00"/>
    <x v="2"/>
    <x v="0"/>
    <x v="15"/>
    <n v="3"/>
    <m/>
    <n v="87"/>
    <n v="87"/>
  </r>
  <r>
    <s v="Database Support"/>
    <x v="3"/>
    <s v="Task"/>
    <s v="DS-2659"/>
    <s v="Phase 188 Test"/>
    <s v="Task"/>
    <x v="0"/>
    <d v="2015-07-13T16:27:00"/>
    <x v="2"/>
    <x v="0"/>
    <x v="15"/>
    <n v="3"/>
    <m/>
    <n v="87"/>
    <n v="87"/>
  </r>
  <r>
    <s v="Database Support"/>
    <x v="3"/>
    <s v="Task"/>
    <s v="DS-2660"/>
    <s v="Info Update"/>
    <s v="Task"/>
    <x v="0"/>
    <d v="2015-07-13T16:27:00"/>
    <x v="2"/>
    <x v="0"/>
    <x v="15"/>
    <n v="2"/>
    <m/>
    <n v="87"/>
    <n v="87"/>
  </r>
  <r>
    <s v="Database Support"/>
    <x v="3"/>
    <s v="Task"/>
    <s v="DS-2661"/>
    <s v="Phase 188"/>
    <s v="Task"/>
    <x v="0"/>
    <d v="2015-07-14T14:27:00"/>
    <x v="2"/>
    <x v="0"/>
    <x v="15"/>
    <n v="4"/>
    <m/>
    <n v="87"/>
    <n v="87"/>
  </r>
  <r>
    <s v="Database Support"/>
    <x v="3"/>
    <s v="Task"/>
    <s v="DS-2662"/>
    <s v="Info Update"/>
    <s v="Task"/>
    <x v="0"/>
    <d v="2015-07-14T14:27:00"/>
    <x v="2"/>
    <x v="0"/>
    <x v="15"/>
    <n v="2"/>
    <m/>
    <n v="87"/>
    <n v="87"/>
  </r>
  <r>
    <s v="Database Support"/>
    <x v="3"/>
    <s v="Task"/>
    <s v="DS-2663"/>
    <s v="Phase 188 UPC RX Frame"/>
    <s v="Task"/>
    <x v="0"/>
    <d v="2015-07-14T17:30:00"/>
    <x v="2"/>
    <x v="0"/>
    <x v="15"/>
    <n v="3"/>
    <m/>
    <n v="87"/>
    <n v="87"/>
  </r>
  <r>
    <s v="Database Support"/>
    <x v="3"/>
    <s v="Task"/>
    <s v="DS-2664"/>
    <s v="Price Update"/>
    <s v="Task"/>
    <x v="0"/>
    <d v="2015-07-16T10:01:00"/>
    <x v="2"/>
    <x v="0"/>
    <x v="15"/>
    <n v="5"/>
    <m/>
    <n v="87"/>
    <n v="87"/>
  </r>
  <r>
    <s v="Database Support"/>
    <x v="3"/>
    <s v="Task"/>
    <s v="DS-2665"/>
    <s v="Contact Lens Update"/>
    <s v="Task"/>
    <x v="0"/>
    <d v="2015-07-15T15:29:00"/>
    <x v="2"/>
    <x v="0"/>
    <x v="15"/>
    <n v="1"/>
    <m/>
    <n v="87"/>
    <n v="87"/>
  </r>
  <r>
    <s v="Database Support"/>
    <x v="3"/>
    <s v="Task"/>
    <s v="DS-2667"/>
    <s v="Info Update"/>
    <s v="Task"/>
    <x v="0"/>
    <d v="2015-07-16T12:49:00"/>
    <x v="2"/>
    <x v="0"/>
    <x v="15"/>
    <n v="1"/>
    <m/>
    <n v="87"/>
    <n v="87"/>
  </r>
  <r>
    <s v="Database Support"/>
    <x v="3"/>
    <s v="Task"/>
    <s v="DS-2668"/>
    <s v="Info Update"/>
    <s v="Task"/>
    <x v="0"/>
    <d v="2015-07-17T17:43:00"/>
    <x v="2"/>
    <x v="0"/>
    <x v="15"/>
    <n v="3"/>
    <m/>
    <n v="87"/>
    <n v="87"/>
  </r>
  <r>
    <s v="Database Support"/>
    <x v="3"/>
    <s v="Task"/>
    <s v="DS-2669"/>
    <s v="Phase 189 Test (Weekly Phase Upload)"/>
    <s v="Task"/>
    <x v="0"/>
    <d v="2015-07-20T14:12:00"/>
    <x v="2"/>
    <x v="0"/>
    <x v="15"/>
    <n v="6"/>
    <m/>
    <n v="87"/>
    <n v="87"/>
  </r>
  <r>
    <s v="IT Misc"/>
    <x v="4"/>
    <s v="Task"/>
    <s v="IM-14"/>
    <s v="SEO Weekly meeting"/>
    <s v="Task"/>
    <x v="0"/>
    <d v="2015-06-08T15:10:00"/>
    <x v="6"/>
    <x v="0"/>
    <x v="13"/>
    <n v="2"/>
    <m/>
    <n v="141.1"/>
    <n v="24.900000000000002"/>
  </r>
  <r>
    <s v="IT Misc"/>
    <x v="4"/>
    <s v="Task"/>
    <s v="IM-14"/>
    <s v="SEO Weekly meeting"/>
    <s v="Task"/>
    <x v="0"/>
    <d v="2015-06-15T15:10:00"/>
    <x v="6"/>
    <x v="0"/>
    <x v="13"/>
    <n v="2"/>
    <m/>
    <n v="141.1"/>
    <n v="24.900000000000002"/>
  </r>
  <r>
    <s v="IT Misc"/>
    <x v="4"/>
    <s v="Task"/>
    <s v="IM-14"/>
    <s v="SEO Weekly meeting"/>
    <s v="Task"/>
    <x v="0"/>
    <d v="2015-06-16T15:12:00"/>
    <x v="6"/>
    <x v="0"/>
    <x v="13"/>
    <n v="1"/>
    <m/>
    <n v="141.1"/>
    <n v="24.900000000000002"/>
  </r>
  <r>
    <s v="IT Misc"/>
    <x v="4"/>
    <s v="Task"/>
    <s v="IM-14"/>
    <s v="SEO Weekly meeting"/>
    <s v="Task"/>
    <x v="0"/>
    <d v="2015-06-22T15:11:00"/>
    <x v="6"/>
    <x v="0"/>
    <x v="13"/>
    <n v="1"/>
    <m/>
    <n v="141.1"/>
    <n v="24.900000000000002"/>
  </r>
  <r>
    <s v="IT Support"/>
    <x v="3"/>
    <s v="Bug"/>
    <s v="IS-5231"/>
    <s v="miki_krznar@hotmail.com"/>
    <s v="Bug"/>
    <x v="1"/>
    <d v="2015-07-20T11:08:00"/>
    <x v="2"/>
    <x v="0"/>
    <x v="15"/>
    <n v="0.5"/>
    <m/>
    <n v="87"/>
    <n v="87"/>
  </r>
  <r>
    <s v="SBG - Mobile"/>
    <x v="1"/>
    <s v="New Feature"/>
    <s v="MOBL-181"/>
    <s v="Mobile 5.0 Layout"/>
    <s v="New Feature"/>
    <x v="0"/>
    <d v="2015-06-01T14:35:00"/>
    <x v="6"/>
    <x v="0"/>
    <x v="5"/>
    <n v="120"/>
    <m/>
    <n v="141.1"/>
    <n v="24.900000000000002"/>
  </r>
  <r>
    <s v="SBG - Mobile"/>
    <x v="2"/>
    <s v="New Feature"/>
    <s v="MOBL-181"/>
    <s v="Mobile 5.0 Layout"/>
    <s v="New Feature"/>
    <x v="0"/>
    <d v="2015-06-01T18:35:00"/>
    <x v="6"/>
    <x v="0"/>
    <x v="6"/>
    <n v="8"/>
    <s v="Home page.Finish: 2/3"/>
    <n v="141.1"/>
    <n v="24.900000000000002"/>
  </r>
  <r>
    <s v="SBG - Mobile"/>
    <x v="2"/>
    <s v="New Feature"/>
    <s v="MOBL-181"/>
    <s v="Mobile 5.0 Layout"/>
    <s v="New Feature"/>
    <x v="0"/>
    <d v="2015-06-04T18:41:00"/>
    <x v="6"/>
    <x v="0"/>
    <x v="6"/>
    <n v="8"/>
    <s v="Finished:70%"/>
    <n v="141.1"/>
    <n v="24.900000000000002"/>
  </r>
  <r>
    <s v="SBG - Mobile"/>
    <x v="2"/>
    <s v="New Feature"/>
    <s v="MOBL-181"/>
    <s v="Mobile 5.0 Layout"/>
    <s v="New Feature"/>
    <x v="0"/>
    <d v="2015-06-05T18:42:00"/>
    <x v="6"/>
    <x v="0"/>
    <x v="6"/>
    <n v="7.5"/>
    <s v="Product detail(Finished:90%)"/>
    <n v="141.1"/>
    <n v="24.900000000000002"/>
  </r>
  <r>
    <s v="SBG - Mobile"/>
    <x v="2"/>
    <s v="New Feature"/>
    <s v="MOBL-181"/>
    <s v="Mobile 5.0 Layout"/>
    <s v="New Feature"/>
    <x v="0"/>
    <d v="2015-06-07T17:29:00"/>
    <x v="6"/>
    <x v="0"/>
    <x v="6"/>
    <n v="7"/>
    <s v="Left menu"/>
    <n v="141.1"/>
    <n v="24.900000000000002"/>
  </r>
  <r>
    <s v="SBG - Mobile"/>
    <x v="2"/>
    <s v="New Feature"/>
    <s v="MOBL-181"/>
    <s v="Mobile 5.0 Layout"/>
    <s v="New Feature"/>
    <x v="0"/>
    <d v="2015-06-08T18:39:00"/>
    <x v="6"/>
    <x v="0"/>
    <x v="6"/>
    <n v="8"/>
    <s v="Head/Footer bugs Fixed."/>
    <n v="141.1"/>
    <n v="24.900000000000002"/>
  </r>
  <r>
    <s v="SBG - Mobile"/>
    <x v="0"/>
    <s v="New Feature"/>
    <s v="MOBL-181"/>
    <s v="Mobile 5.0 Layout"/>
    <s v="New Feature"/>
    <x v="0"/>
    <d v="2015-06-09T18:36:00"/>
    <x v="6"/>
    <x v="0"/>
    <x v="7"/>
    <n v="6"/>
    <m/>
    <n v="83"/>
    <n v="83"/>
  </r>
  <r>
    <s v="SBG - Mobile"/>
    <x v="2"/>
    <s v="Bug"/>
    <s v="MOBL-182"/>
    <s v="Brand/Product no-sale rule does not apply on mobile"/>
    <s v="Bug"/>
    <x v="1"/>
    <d v="2015-07-09T15:59:00"/>
    <x v="2"/>
    <x v="0"/>
    <x v="10"/>
    <n v="4"/>
    <m/>
    <n v="147.9"/>
    <n v="26.100000000000005"/>
  </r>
  <r>
    <s v="SBG - Mobile"/>
    <x v="2"/>
    <s v="Bug"/>
    <s v="MOBL-182"/>
    <s v="Brand/Product no-sale rule does not apply on mobile"/>
    <s v="Bug"/>
    <x v="1"/>
    <d v="2015-07-09T16:15:00"/>
    <x v="2"/>
    <x v="0"/>
    <x v="10"/>
    <n v="0.5"/>
    <m/>
    <n v="147.9"/>
    <n v="26.100000000000005"/>
  </r>
  <r>
    <s v="SBG - Mobile"/>
    <x v="1"/>
    <s v="New Feature"/>
    <s v="MOBL-185"/>
    <s v="Sitemaps update - Mobile implementation"/>
    <s v="New Feature"/>
    <x v="0"/>
    <d v="2015-06-02T11:49:00"/>
    <x v="6"/>
    <x v="0"/>
    <x v="1"/>
    <n v="4"/>
    <m/>
    <n v="141.1"/>
    <n v="24.900000000000002"/>
  </r>
  <r>
    <s v="SBG - Mobile"/>
    <x v="1"/>
    <s v="New Feature"/>
    <s v="MOBL-185"/>
    <s v="Sitemaps update - Mobile implementation"/>
    <s v="New Feature"/>
    <x v="0"/>
    <d v="2015-06-03T11:53:00"/>
    <x v="6"/>
    <x v="0"/>
    <x v="1"/>
    <n v="2"/>
    <m/>
    <n v="141.1"/>
    <n v="24.900000000000002"/>
  </r>
  <r>
    <s v="SBG - Mobile"/>
    <x v="1"/>
    <s v="New Feature"/>
    <s v="MOBL-185"/>
    <s v="Sitemaps update - Mobile implementation"/>
    <s v="New Feature"/>
    <x v="0"/>
    <d v="2015-06-04T17:48:00"/>
    <x v="6"/>
    <x v="0"/>
    <x v="1"/>
    <n v="1"/>
    <m/>
    <n v="141.1"/>
    <n v="24.900000000000002"/>
  </r>
  <r>
    <s v="SBG - Mobile"/>
    <x v="1"/>
    <s v="New Feature"/>
    <s v="MOBL-185"/>
    <s v="Sitemaps update - Mobile implementation"/>
    <s v="New Feature"/>
    <x v="0"/>
    <d v="2015-06-08T18:38:00"/>
    <x v="6"/>
    <x v="0"/>
    <x v="1"/>
    <n v="2.5"/>
    <m/>
    <n v="141.1"/>
    <n v="24.900000000000002"/>
  </r>
  <r>
    <s v="SBG - Mobile"/>
    <x v="1"/>
    <s v="New Feature"/>
    <s v="MOBL-185"/>
    <s v="Sitemaps update - Mobile implementation"/>
    <s v="New Feature"/>
    <x v="0"/>
    <d v="2015-06-09T18:30:00"/>
    <x v="6"/>
    <x v="0"/>
    <x v="1"/>
    <n v="4"/>
    <m/>
    <n v="141.1"/>
    <n v="24.900000000000002"/>
  </r>
  <r>
    <s v="SBG - Mobile"/>
    <x v="4"/>
    <s v="New Feature"/>
    <s v="MOBL-185"/>
    <s v="Sitemaps update - Mobile implementation"/>
    <s v="New Feature"/>
    <x v="0"/>
    <d v="2015-07-20T11:12:00"/>
    <x v="2"/>
    <x v="0"/>
    <x v="13"/>
    <n v="7"/>
    <m/>
    <n v="147.9"/>
    <n v="26.100000000000005"/>
  </r>
  <r>
    <s v="SBG - Mobile"/>
    <x v="4"/>
    <s v="New Feature"/>
    <s v="MOBL-185"/>
    <s v="Sitemaps update - Mobile implementation"/>
    <s v="New Feature"/>
    <x v="0"/>
    <d v="2015-07-21T11:13:00"/>
    <x v="2"/>
    <x v="0"/>
    <x v="13"/>
    <n v="7"/>
    <m/>
    <n v="147.9"/>
    <n v="26.100000000000005"/>
  </r>
  <r>
    <s v="SBG - Mobile"/>
    <x v="2"/>
    <s v="New Feature"/>
    <s v="MOBL-185"/>
    <s v="Sitemaps update - Mobile implementation"/>
    <s v="New Feature"/>
    <x v="0"/>
    <d v="2015-07-28T09:30:00"/>
    <x v="2"/>
    <x v="0"/>
    <x v="11"/>
    <n v="5"/>
    <m/>
    <n v="147.9"/>
    <n v="26.100000000000005"/>
  </r>
  <r>
    <s v="SBG - Mobile"/>
    <x v="1"/>
    <s v="New Feature"/>
    <s v="MOBL-185"/>
    <s v="Sitemaps update - Mobile implementation"/>
    <s v="New Feature"/>
    <x v="0"/>
    <d v="2015-07-29T12:25:00"/>
    <x v="2"/>
    <x v="0"/>
    <x v="1"/>
    <n v="3"/>
    <m/>
    <n v="147.9"/>
    <n v="26.100000000000005"/>
  </r>
  <r>
    <s v="SBG - Mobile"/>
    <x v="2"/>
    <s v="Bug"/>
    <s v="MOBL-186"/>
    <s v="Mobile Sitemap - Remove Unused Filters"/>
    <s v="Bug"/>
    <x v="1"/>
    <d v="2015-06-04T10:02:00"/>
    <x v="6"/>
    <x v="0"/>
    <x v="11"/>
    <n v="0.5"/>
    <s v="done for all domains for this filters"/>
    <n v="141.1"/>
    <n v="24.900000000000002"/>
  </r>
  <r>
    <s v="SBG - Mobile"/>
    <x v="2"/>
    <s v="Bug"/>
    <s v="MOBL-186"/>
    <s v="Mobile Sitemap - Remove Unused Filters"/>
    <s v="Bug"/>
    <x v="1"/>
    <d v="2015-07-23T11:17:00"/>
    <x v="2"/>
    <x v="0"/>
    <x v="11"/>
    <n v="2"/>
    <m/>
    <n v="147.9"/>
    <n v="26.100000000000005"/>
  </r>
  <r>
    <s v="SBG - Mobile"/>
    <x v="2"/>
    <s v="New Feature"/>
    <s v="MOBL-187"/>
    <s v="Mobile - Header"/>
    <s v="New Feature"/>
    <x v="0"/>
    <d v="2015-06-09T14:59:00"/>
    <x v="6"/>
    <x v="0"/>
    <x v="6"/>
    <n v="4"/>
    <s v="The head bug fixes"/>
    <n v="141.1"/>
    <n v="24.900000000000002"/>
  </r>
  <r>
    <s v="SBG - Mobile"/>
    <x v="2"/>
    <s v="New Feature"/>
    <s v="MOBL-188"/>
    <s v="Mobile - Footer"/>
    <s v="New Feature"/>
    <x v="0"/>
    <d v="2015-06-09T14:59:00"/>
    <x v="6"/>
    <x v="0"/>
    <x v="6"/>
    <n v="4"/>
    <s v="Foot bugs fixed."/>
    <n v="141.1"/>
    <n v="24.900000000000002"/>
  </r>
  <r>
    <s v="SBG - Mobile"/>
    <x v="2"/>
    <s v="New Feature"/>
    <s v="MOBL-190"/>
    <s v="Mobile - Login modal window"/>
    <s v="New Feature"/>
    <x v="0"/>
    <d v="2015-06-10T18:18:00"/>
    <x v="6"/>
    <x v="0"/>
    <x v="6"/>
    <n v="8"/>
    <m/>
    <n v="141.1"/>
    <n v="24.900000000000002"/>
  </r>
  <r>
    <s v="SBG - Mobile"/>
    <x v="2"/>
    <s v="New Feature"/>
    <s v="MOBL-196"/>
    <s v="Mobile - product pages - contact lenses"/>
    <s v="New Feature"/>
    <x v="0"/>
    <d v="2015-06-04T17:09:00"/>
    <x v="6"/>
    <x v="0"/>
    <x v="12"/>
    <n v="8"/>
    <m/>
    <n v="141.1"/>
    <n v="24.900000000000002"/>
  </r>
  <r>
    <s v="SBG - Mobile"/>
    <x v="2"/>
    <s v="New Feature"/>
    <s v="MOBL-196"/>
    <s v="Mobile - product pages - contact lenses"/>
    <s v="New Feature"/>
    <x v="0"/>
    <d v="2015-06-05T17:10:00"/>
    <x v="6"/>
    <x v="0"/>
    <x v="12"/>
    <n v="8"/>
    <m/>
    <n v="141.1"/>
    <n v="24.900000000000002"/>
  </r>
  <r>
    <s v="SBG - Mobile"/>
    <x v="2"/>
    <s v="New Feature"/>
    <s v="MOBL-196"/>
    <s v="Mobile - product pages - contact lenses"/>
    <s v="New Feature"/>
    <x v="0"/>
    <d v="2015-06-08T17:10:00"/>
    <x v="6"/>
    <x v="0"/>
    <x v="12"/>
    <n v="8"/>
    <m/>
    <n v="141.1"/>
    <n v="24.900000000000002"/>
  </r>
  <r>
    <s v="SBG - Mobile"/>
    <x v="2"/>
    <s v="New Feature"/>
    <s v="MOBL-196"/>
    <s v="Mobile - product pages - contact lenses"/>
    <s v="New Feature"/>
    <x v="0"/>
    <d v="2015-06-09T11:53:00"/>
    <x v="6"/>
    <x v="0"/>
    <x v="12"/>
    <n v="8"/>
    <m/>
    <n v="141.1"/>
    <n v="24.900000000000002"/>
  </r>
  <r>
    <s v="SBG - Mobile"/>
    <x v="2"/>
    <s v="New Feature"/>
    <s v="MOBL-196"/>
    <s v="Mobile - product pages - contact lenses"/>
    <s v="New Feature"/>
    <x v="0"/>
    <d v="2015-06-10T17:09:00"/>
    <x v="6"/>
    <x v="0"/>
    <x v="12"/>
    <n v="8"/>
    <m/>
    <n v="141.1"/>
    <n v="24.900000000000002"/>
  </r>
  <r>
    <s v="SBG - Mobile"/>
    <x v="2"/>
    <s v="New Feature"/>
    <s v="MOBL-199"/>
    <s v="Mobile - Checkout"/>
    <s v="New Feature"/>
    <x v="0"/>
    <d v="2015-06-05T15:15:00"/>
    <x v="6"/>
    <x v="0"/>
    <x v="11"/>
    <n v="170"/>
    <m/>
    <n v="141.1"/>
    <n v="24.900000000000002"/>
  </r>
  <r>
    <s v="SBG - Mobile"/>
    <x v="2"/>
    <s v="New Feature"/>
    <s v="MOBL-201"/>
    <s v="Mobile - Account pages"/>
    <s v="New Feature"/>
    <x v="0"/>
    <d v="2015-06-11T16:16:00"/>
    <x v="6"/>
    <x v="0"/>
    <x v="12"/>
    <n v="8"/>
    <m/>
    <n v="141.1"/>
    <n v="24.900000000000002"/>
  </r>
  <r>
    <s v="SBG - Mobile"/>
    <x v="2"/>
    <s v="New Feature"/>
    <s v="MOBL-201"/>
    <s v="Mobile - Account pages"/>
    <s v="New Feature"/>
    <x v="0"/>
    <d v="2015-06-12T16:16:00"/>
    <x v="6"/>
    <x v="0"/>
    <x v="12"/>
    <n v="8"/>
    <m/>
    <n v="141.1"/>
    <n v="24.900000000000002"/>
  </r>
  <r>
    <s v="SBG - Mobile"/>
    <x v="2"/>
    <s v="New Feature"/>
    <s v="MOBL-201"/>
    <s v="Mobile - Account pages"/>
    <s v="New Feature"/>
    <x v="0"/>
    <d v="2015-06-15T16:16:00"/>
    <x v="6"/>
    <x v="0"/>
    <x v="12"/>
    <n v="8"/>
    <m/>
    <n v="141.1"/>
    <n v="24.900000000000002"/>
  </r>
  <r>
    <s v="SBG - Mobile"/>
    <x v="2"/>
    <s v="New Feature"/>
    <s v="MOBL-201"/>
    <s v="Mobile - Account pages"/>
    <s v="New Feature"/>
    <x v="0"/>
    <d v="2015-06-16T16:16:00"/>
    <x v="6"/>
    <x v="0"/>
    <x v="12"/>
    <n v="8"/>
    <m/>
    <n v="141.1"/>
    <n v="24.900000000000002"/>
  </r>
  <r>
    <s v="SBG - Mobile"/>
    <x v="2"/>
    <s v="New Feature"/>
    <s v="MOBL-201"/>
    <s v="Mobile - Account pages"/>
    <s v="New Feature"/>
    <x v="0"/>
    <d v="2015-06-17T16:17:00"/>
    <x v="6"/>
    <x v="0"/>
    <x v="12"/>
    <n v="8"/>
    <m/>
    <n v="141.1"/>
    <n v="24.900000000000002"/>
  </r>
  <r>
    <s v="SBG - Mobile"/>
    <x v="2"/>
    <s v="New Feature"/>
    <s v="MOBL-201"/>
    <s v="Mobile - Account pages"/>
    <s v="New Feature"/>
    <x v="0"/>
    <d v="2015-06-18T16:17:00"/>
    <x v="6"/>
    <x v="0"/>
    <x v="12"/>
    <n v="8"/>
    <m/>
    <n v="141.1"/>
    <n v="24.900000000000002"/>
  </r>
  <r>
    <s v="SBG - Mobile"/>
    <x v="2"/>
    <s v="New Feature"/>
    <s v="MOBL-201"/>
    <s v="Mobile - Account pages"/>
    <s v="New Feature"/>
    <x v="0"/>
    <d v="2015-06-19T16:17:00"/>
    <x v="6"/>
    <x v="0"/>
    <x v="12"/>
    <n v="8"/>
    <m/>
    <n v="141.1"/>
    <n v="24.900000000000002"/>
  </r>
  <r>
    <s v="SBG - Mobile"/>
    <x v="2"/>
    <s v="New Feature"/>
    <s v="MOBL-201"/>
    <s v="Mobile - Account pages"/>
    <s v="New Feature"/>
    <x v="0"/>
    <d v="2015-06-22T13:17:00"/>
    <x v="6"/>
    <x v="0"/>
    <x v="12"/>
    <n v="8"/>
    <m/>
    <n v="141.1"/>
    <n v="24.900000000000002"/>
  </r>
  <r>
    <s v="SBG - Mobile"/>
    <x v="2"/>
    <s v="New Feature"/>
    <s v="MOBL-201"/>
    <s v="Mobile - Account pages"/>
    <s v="New Feature"/>
    <x v="0"/>
    <d v="2015-06-23T13:17:00"/>
    <x v="6"/>
    <x v="0"/>
    <x v="12"/>
    <n v="8"/>
    <m/>
    <n v="141.1"/>
    <n v="24.900000000000002"/>
  </r>
  <r>
    <s v="SBG - Mobile"/>
    <x v="2"/>
    <s v="New Feature"/>
    <s v="MOBL-202"/>
    <s v="Mobile - Prescription process"/>
    <s v="New Feature"/>
    <x v="0"/>
    <d v="2015-06-11T18:44:00"/>
    <x v="6"/>
    <x v="0"/>
    <x v="6"/>
    <n v="8"/>
    <s v="Finished 1/4"/>
    <n v="141.1"/>
    <n v="24.900000000000002"/>
  </r>
  <r>
    <s v="SBG - Mobile"/>
    <x v="2"/>
    <s v="New Feature"/>
    <s v="MOBL-202"/>
    <s v="Mobile - Prescription process"/>
    <s v="New Feature"/>
    <x v="0"/>
    <d v="2015-06-12T18:54:00"/>
    <x v="6"/>
    <x v="0"/>
    <x v="6"/>
    <n v="8"/>
    <s v="Finished 2/3"/>
    <n v="141.1"/>
    <n v="24.900000000000002"/>
  </r>
  <r>
    <s v="SBG - Mobile"/>
    <x v="2"/>
    <s v="New Feature"/>
    <s v="MOBL-202"/>
    <s v="Mobile - Prescription process"/>
    <s v="New Feature"/>
    <x v="0"/>
    <d v="2015-06-15T18:36:00"/>
    <x v="6"/>
    <x v="0"/>
    <x v="6"/>
    <n v="6"/>
    <s v="RX Finished."/>
    <n v="141.1"/>
    <n v="24.900000000000002"/>
  </r>
  <r>
    <s v="SBG - Mobile"/>
    <x v="2"/>
    <s v="New Feature"/>
    <s v="MOBL-202"/>
    <s v="Mobile - Prescription process"/>
    <s v="New Feature"/>
    <x v="0"/>
    <d v="2015-06-16T18:37:00"/>
    <x v="6"/>
    <x v="0"/>
    <x v="6"/>
    <n v="5.5"/>
    <s v="All finished. Test and fix bugs."/>
    <n v="141.1"/>
    <n v="24.900000000000002"/>
  </r>
  <r>
    <s v="SBG - Mobile"/>
    <x v="2"/>
    <s v="New Feature"/>
    <s v="MOBL-203"/>
    <s v="Mobile - content pages"/>
    <s v="New Feature"/>
    <x v="0"/>
    <d v="2015-06-08T17:14:00"/>
    <x v="6"/>
    <x v="0"/>
    <x v="10"/>
    <n v="24"/>
    <m/>
    <n v="141.1"/>
    <n v="24.900000000000002"/>
  </r>
  <r>
    <s v="SBG - Mobile"/>
    <x v="2"/>
    <s v="New Feature"/>
    <s v="MOBL-203"/>
    <s v="Mobile - content pages"/>
    <s v="New Feature"/>
    <x v="0"/>
    <d v="2015-06-11T12:40:00"/>
    <x v="6"/>
    <x v="0"/>
    <x v="10"/>
    <n v="3"/>
    <m/>
    <n v="141.1"/>
    <n v="24.900000000000002"/>
  </r>
  <r>
    <s v="SBG - Mobile"/>
    <x v="2"/>
    <s v="New Feature"/>
    <s v="MOBL-203"/>
    <s v="Mobile - content pages"/>
    <s v="New Feature"/>
    <x v="0"/>
    <d v="2015-06-15T11:42:00"/>
    <x v="6"/>
    <x v="0"/>
    <x v="10"/>
    <n v="16"/>
    <m/>
    <n v="141.1"/>
    <n v="24.900000000000002"/>
  </r>
  <r>
    <s v="SBG - Mobile"/>
    <x v="0"/>
    <s v="Bug"/>
    <s v="MOBL-204"/>
    <s v="Unit Test Bugs for Mobile 5.0"/>
    <s v="Bug"/>
    <x v="1"/>
    <d v="2015-06-01T14:42:00"/>
    <x v="6"/>
    <x v="0"/>
    <x v="0"/>
    <n v="121"/>
    <m/>
    <n v="83"/>
    <n v="83"/>
  </r>
  <r>
    <s v="SBG - Mobile"/>
    <x v="4"/>
    <s v="Bug"/>
    <s v="MOBL-204"/>
    <s v="Unit Test Bugs for Mobile 5.0"/>
    <s v="Bug"/>
    <x v="1"/>
    <d v="2015-06-02T09:50:00"/>
    <x v="6"/>
    <x v="0"/>
    <x v="13"/>
    <n v="8"/>
    <m/>
    <n v="141.1"/>
    <n v="24.900000000000002"/>
  </r>
  <r>
    <s v="SBG - Mobile"/>
    <x v="4"/>
    <s v="Bug"/>
    <s v="MOBL-204"/>
    <s v="Unit Test Bugs for Mobile 5.0"/>
    <s v="Bug"/>
    <x v="1"/>
    <d v="2015-06-03T09:50:00"/>
    <x v="6"/>
    <x v="0"/>
    <x v="13"/>
    <n v="8"/>
    <m/>
    <n v="141.1"/>
    <n v="24.900000000000002"/>
  </r>
  <r>
    <s v="SBG - Mobile"/>
    <x v="4"/>
    <s v="Bug"/>
    <s v="MOBL-204"/>
    <s v="Unit Test Bugs for Mobile 5.0"/>
    <s v="Bug"/>
    <x v="1"/>
    <d v="2015-06-04T09:52:00"/>
    <x v="6"/>
    <x v="0"/>
    <x v="13"/>
    <n v="8"/>
    <m/>
    <n v="141.1"/>
    <n v="24.900000000000002"/>
  </r>
  <r>
    <s v="SBG - Mobile"/>
    <x v="4"/>
    <s v="Bug"/>
    <s v="MOBL-204"/>
    <s v="Unit Test Bugs for Mobile 5.0"/>
    <s v="Bug"/>
    <x v="1"/>
    <d v="2015-06-05T09:52:00"/>
    <x v="6"/>
    <x v="0"/>
    <x v="13"/>
    <n v="8"/>
    <m/>
    <n v="141.1"/>
    <n v="24.900000000000002"/>
  </r>
  <r>
    <s v="SBG - Mobile"/>
    <x v="1"/>
    <s v="Bug"/>
    <s v="MOBL-204"/>
    <s v="Unit Test Bugs for Mobile 5.0"/>
    <s v="Bug"/>
    <x v="1"/>
    <d v="2015-06-09T18:33:00"/>
    <x v="6"/>
    <x v="0"/>
    <x v="8"/>
    <n v="5"/>
    <m/>
    <n v="141.1"/>
    <n v="24.900000000000002"/>
  </r>
  <r>
    <s v="SBG - Mobile"/>
    <x v="0"/>
    <s v="Bug"/>
    <s v="MOBL-204"/>
    <s v="Unit Test Bugs for Mobile 5.0"/>
    <s v="Bug"/>
    <x v="1"/>
    <d v="2015-06-10T18:35:00"/>
    <x v="6"/>
    <x v="0"/>
    <x v="7"/>
    <n v="2"/>
    <m/>
    <n v="83"/>
    <n v="83"/>
  </r>
  <r>
    <s v="SBG - Mobile"/>
    <x v="0"/>
    <s v="Bug"/>
    <s v="MOBL-204"/>
    <s v="Unit Test Bugs for Mobile 5.0"/>
    <s v="Bug"/>
    <x v="1"/>
    <d v="2015-06-11T18:35:00"/>
    <x v="6"/>
    <x v="0"/>
    <x v="7"/>
    <n v="2"/>
    <m/>
    <n v="83"/>
    <n v="83"/>
  </r>
  <r>
    <s v="SBG - Mobile"/>
    <x v="0"/>
    <s v="Bug"/>
    <s v="MOBL-204"/>
    <s v="Unit Test Bugs for Mobile 5.0"/>
    <s v="Bug"/>
    <x v="1"/>
    <d v="2015-06-11T18:36:00"/>
    <x v="6"/>
    <x v="0"/>
    <x v="0"/>
    <n v="4"/>
    <m/>
    <n v="83"/>
    <n v="83"/>
  </r>
  <r>
    <s v="SBG - Mobile"/>
    <x v="1"/>
    <s v="Bug"/>
    <s v="MOBL-204"/>
    <s v="Unit Test Bugs for Mobile 5.0"/>
    <s v="Bug"/>
    <x v="1"/>
    <d v="2015-06-11T18:48:00"/>
    <x v="6"/>
    <x v="0"/>
    <x v="8"/>
    <n v="8"/>
    <m/>
    <n v="141.1"/>
    <n v="24.900000000000002"/>
  </r>
  <r>
    <s v="SBG - Mobile"/>
    <x v="1"/>
    <s v="Bug"/>
    <s v="MOBL-204"/>
    <s v="Unit Test Bugs for Mobile 5.0"/>
    <s v="Bug"/>
    <x v="1"/>
    <d v="2015-06-12T18:30:00"/>
    <x v="6"/>
    <x v="0"/>
    <x v="8"/>
    <n v="8"/>
    <m/>
    <n v="141.1"/>
    <n v="24.900000000000002"/>
  </r>
  <r>
    <s v="SBG - Mobile"/>
    <x v="0"/>
    <s v="Bug"/>
    <s v="MOBL-204"/>
    <s v="Unit Test Bugs for Mobile 5.0"/>
    <s v="Bug"/>
    <x v="1"/>
    <d v="2015-06-18T12:40:00"/>
    <x v="6"/>
    <x v="0"/>
    <x v="0"/>
    <n v="8"/>
    <m/>
    <n v="83"/>
    <n v="83"/>
  </r>
  <r>
    <s v="SBG - Mobile"/>
    <x v="0"/>
    <s v="Bug"/>
    <s v="MOBL-204"/>
    <s v="Unit Test Bugs for Mobile 5.0"/>
    <s v="Bug"/>
    <x v="1"/>
    <d v="2015-06-19T18:34:00"/>
    <x v="6"/>
    <x v="0"/>
    <x v="7"/>
    <n v="5"/>
    <m/>
    <n v="83"/>
    <n v="83"/>
  </r>
  <r>
    <s v="SBG - Mobile"/>
    <x v="4"/>
    <s v="Bug"/>
    <s v="MOBL-204"/>
    <s v="Unit Test Bugs for Mobile 5.0"/>
    <s v="Bug"/>
    <x v="1"/>
    <d v="2015-06-24T12:46:00"/>
    <x v="6"/>
    <x v="0"/>
    <x v="13"/>
    <n v="4"/>
    <m/>
    <n v="141.1"/>
    <n v="24.900000000000002"/>
  </r>
  <r>
    <s v="SBG - Mobile"/>
    <x v="0"/>
    <s v="Bug"/>
    <s v="MOBL-204"/>
    <s v="Unit Test Bugs for Mobile 5.0"/>
    <s v="Bug"/>
    <x v="1"/>
    <d v="2015-06-25T18:33:00"/>
    <x v="6"/>
    <x v="0"/>
    <x v="7"/>
    <n v="5"/>
    <m/>
    <n v="83"/>
    <n v="83"/>
  </r>
  <r>
    <s v="SBG - Mobile"/>
    <x v="0"/>
    <s v="Bug"/>
    <s v="MOBL-204"/>
    <s v="Unit Test Bugs for Mobile 5.0"/>
    <s v="Bug"/>
    <x v="1"/>
    <d v="2015-06-26T18:30:00"/>
    <x v="6"/>
    <x v="0"/>
    <x v="7"/>
    <n v="5"/>
    <m/>
    <n v="83"/>
    <n v="83"/>
  </r>
  <r>
    <s v="SBG - Mobile"/>
    <x v="4"/>
    <s v="Bug"/>
    <s v="MOBL-204"/>
    <s v="Unit Test Bugs for Mobile 5.0"/>
    <s v="Bug"/>
    <x v="1"/>
    <d v="2015-07-01T14:36:00"/>
    <x v="2"/>
    <x v="0"/>
    <x v="13"/>
    <n v="3"/>
    <m/>
    <n v="147.9"/>
    <n v="26.100000000000005"/>
  </r>
  <r>
    <s v="SBG - Mobile"/>
    <x v="4"/>
    <s v="Bug"/>
    <s v="MOBL-204"/>
    <s v="Unit Test Bugs for Mobile 5.0"/>
    <s v="Bug"/>
    <x v="1"/>
    <d v="2015-07-02T14:36:00"/>
    <x v="2"/>
    <x v="0"/>
    <x v="13"/>
    <n v="3"/>
    <m/>
    <n v="147.9"/>
    <n v="26.100000000000005"/>
  </r>
  <r>
    <s v="SBG - Mobile"/>
    <x v="4"/>
    <s v="Bug"/>
    <s v="MOBL-204"/>
    <s v="Unit Test Bugs for Mobile 5.0"/>
    <s v="Bug"/>
    <x v="1"/>
    <d v="2015-07-03T10:38:00"/>
    <x v="2"/>
    <x v="0"/>
    <x v="13"/>
    <n v="3"/>
    <m/>
    <n v="147.9"/>
    <n v="26.100000000000005"/>
  </r>
  <r>
    <s v="SBG - Mobile"/>
    <x v="4"/>
    <s v="Bug"/>
    <s v="MOBL-204"/>
    <s v="Unit Test Bugs for Mobile 5.0"/>
    <s v="Bug"/>
    <x v="1"/>
    <d v="2015-07-13T10:40:00"/>
    <x v="2"/>
    <x v="0"/>
    <x v="13"/>
    <n v="3"/>
    <m/>
    <n v="147.9"/>
    <n v="26.100000000000005"/>
  </r>
  <r>
    <s v="SBG - Mobile"/>
    <x v="4"/>
    <s v="Bug"/>
    <s v="MOBL-204"/>
    <s v="Unit Test Bugs for Mobile 5.0"/>
    <s v="Bug"/>
    <x v="1"/>
    <d v="2015-07-14T10:40:00"/>
    <x v="2"/>
    <x v="0"/>
    <x v="13"/>
    <n v="3"/>
    <m/>
    <n v="147.9"/>
    <n v="26.100000000000005"/>
  </r>
  <r>
    <s v="SBG - Mobile"/>
    <x v="4"/>
    <s v="Bug"/>
    <s v="MOBL-204"/>
    <s v="Unit Test Bugs for Mobile 5.0"/>
    <s v="Bug"/>
    <x v="1"/>
    <d v="2015-07-28T10:41:00"/>
    <x v="2"/>
    <x v="0"/>
    <x v="13"/>
    <n v="3"/>
    <m/>
    <n v="147.9"/>
    <n v="26.100000000000005"/>
  </r>
  <r>
    <s v="SBG - Mobile"/>
    <x v="4"/>
    <s v="Bug"/>
    <s v="MOBL-204"/>
    <s v="Unit Test Bugs for Mobile 5.0"/>
    <s v="Bug"/>
    <x v="1"/>
    <d v="2015-07-29T10:42:00"/>
    <x v="2"/>
    <x v="0"/>
    <x v="13"/>
    <n v="3"/>
    <m/>
    <n v="147.9"/>
    <n v="26.100000000000005"/>
  </r>
  <r>
    <s v="SBG - Mobile"/>
    <x v="0"/>
    <s v="Sub-task"/>
    <s v="MOBL-205"/>
    <s v="MOBL-204&gt; search icon in mega menu"/>
    <s v="Sub-task"/>
    <x v="0"/>
    <d v="2015-06-09T15:31:00"/>
    <x v="6"/>
    <x v="0"/>
    <x v="7"/>
    <n v="0.25"/>
    <m/>
    <n v="83"/>
    <n v="83"/>
  </r>
  <r>
    <s v="SBG - Mobile"/>
    <x v="2"/>
    <s v="Sub-task"/>
    <s v="MOBL-206"/>
    <s v="MOBL-204&gt; search bar disappears when user taps it on homepage"/>
    <s v="Sub-task"/>
    <x v="0"/>
    <d v="2015-07-09T09:44:00"/>
    <x v="2"/>
    <x v="0"/>
    <x v="18"/>
    <n v="5"/>
    <m/>
    <n v="147.9"/>
    <n v="26.100000000000005"/>
  </r>
  <r>
    <s v="SBG - Mobile"/>
    <x v="2"/>
    <s v="Sub-task"/>
    <s v="MOBL-207"/>
    <s v="MOBL-204&gt; search button doesn't work on search result page"/>
    <s v="Sub-task"/>
    <x v="0"/>
    <d v="2015-06-10T18:33:00"/>
    <x v="6"/>
    <x v="0"/>
    <x v="2"/>
    <n v="8"/>
    <m/>
    <n v="141.1"/>
    <n v="24.900000000000002"/>
  </r>
  <r>
    <s v="SBG - Mobile"/>
    <x v="2"/>
    <s v="Sub-task"/>
    <s v="MOBL-209"/>
    <s v="MOBL-204&gt; if a brand just has one category, no dropdown"/>
    <s v="Sub-task"/>
    <x v="0"/>
    <d v="2015-06-16T17:07:00"/>
    <x v="6"/>
    <x v="0"/>
    <x v="6"/>
    <n v="0.5"/>
    <m/>
    <n v="141.1"/>
    <n v="24.900000000000002"/>
  </r>
  <r>
    <s v="SBG - Mobile"/>
    <x v="2"/>
    <s v="Sub-task"/>
    <s v="MOBL-210"/>
    <s v="MOBL-204&gt; top brands and top sellers should be in infinite loop"/>
    <s v="Sub-task"/>
    <x v="0"/>
    <d v="2015-06-16T18:36:00"/>
    <x v="6"/>
    <x v="0"/>
    <x v="6"/>
    <n v="2"/>
    <m/>
    <n v="141.1"/>
    <n v="24.900000000000002"/>
  </r>
  <r>
    <s v="SBG - Mobile"/>
    <x v="0"/>
    <s v="Sub-task"/>
    <s v="MOBL-211"/>
    <s v="MOBL-204&gt; email address that you type in is in capitalization"/>
    <s v="Sub-task"/>
    <x v="0"/>
    <d v="2015-06-17T18:30:00"/>
    <x v="6"/>
    <x v="0"/>
    <x v="7"/>
    <n v="0.5"/>
    <m/>
    <n v="83"/>
    <n v="83"/>
  </r>
  <r>
    <s v="SBG - Mobile"/>
    <x v="0"/>
    <s v="Sub-task"/>
    <s v="MOBL-211"/>
    <s v="MOBL-204&gt; email address that you type in is in capitalization"/>
    <s v="Sub-task"/>
    <x v="0"/>
    <d v="2015-07-28T14:39:00"/>
    <x v="2"/>
    <x v="0"/>
    <x v="7"/>
    <n v="10"/>
    <m/>
    <n v="87"/>
    <n v="87"/>
  </r>
  <r>
    <s v="SBG - Mobile"/>
    <x v="2"/>
    <s v="Sub-task"/>
    <s v="MOBL-212"/>
    <s v="MOBL-204&gt; arrow keys display when 0 result returned"/>
    <s v="Sub-task"/>
    <x v="0"/>
    <d v="2015-07-09T09:43:00"/>
    <x v="2"/>
    <x v="0"/>
    <x v="18"/>
    <n v="1"/>
    <m/>
    <n v="147.9"/>
    <n v="26.100000000000005"/>
  </r>
  <r>
    <s v="SBG - Mobile"/>
    <x v="1"/>
    <s v="Sub-task"/>
    <s v="MOBL-212"/>
    <s v="MOBL-204&gt; arrow keys display when 0 result returned"/>
    <s v="Sub-task"/>
    <x v="0"/>
    <d v="2015-07-27T18:35:00"/>
    <x v="2"/>
    <x v="0"/>
    <x v="8"/>
    <n v="0.5"/>
    <m/>
    <n v="147.9"/>
    <n v="26.100000000000005"/>
  </r>
  <r>
    <s v="SBG - Mobile"/>
    <x v="2"/>
    <s v="Sub-task"/>
    <s v="MOBL-213"/>
    <s v="MOBL-204&gt; pagination,page left and page right appears on search result page"/>
    <s v="Sub-task"/>
    <x v="0"/>
    <d v="2015-06-01T11:21:00"/>
    <x v="6"/>
    <x v="0"/>
    <x v="2"/>
    <n v="4"/>
    <m/>
    <n v="141.1"/>
    <n v="24.900000000000002"/>
  </r>
  <r>
    <s v="SBG - Mobile"/>
    <x v="2"/>
    <s v="Sub-task"/>
    <s v="MOBL-213"/>
    <s v="MOBL-204&gt; pagination,page left and page right appears on search result page"/>
    <s v="Sub-task"/>
    <x v="0"/>
    <d v="2015-06-02T18:36:00"/>
    <x v="6"/>
    <x v="0"/>
    <x v="2"/>
    <n v="4"/>
    <m/>
    <n v="141.1"/>
    <n v="24.900000000000002"/>
  </r>
  <r>
    <s v="SBG - Mobile"/>
    <x v="2"/>
    <s v="Sub-task"/>
    <s v="MOBL-213"/>
    <s v="MOBL-204&gt; pagination,page left and page right appears on search result page"/>
    <s v="Sub-task"/>
    <x v="0"/>
    <d v="2015-06-12T11:23:00"/>
    <x v="6"/>
    <x v="0"/>
    <x v="2"/>
    <n v="2"/>
    <m/>
    <n v="141.1"/>
    <n v="24.900000000000002"/>
  </r>
  <r>
    <s v="SBG - Mobile"/>
    <x v="2"/>
    <s v="Sub-task"/>
    <s v="MOBL-213"/>
    <s v="MOBL-204&gt; pagination,page left and page right appears on search result page"/>
    <s v="Sub-task"/>
    <x v="0"/>
    <d v="2015-06-22T11:24:00"/>
    <x v="6"/>
    <x v="0"/>
    <x v="2"/>
    <n v="3"/>
    <m/>
    <n v="141.1"/>
    <n v="24.900000000000002"/>
  </r>
  <r>
    <s v="SBG - Mobile"/>
    <x v="2"/>
    <s v="Sub-task"/>
    <s v="MOBL-214"/>
    <s v="MOBL-204&gt; remove the dot if the product just has 1 img"/>
    <s v="Sub-task"/>
    <x v="0"/>
    <d v="2015-06-18T10:38:00"/>
    <x v="6"/>
    <x v="0"/>
    <x v="6"/>
    <n v="2"/>
    <m/>
    <n v="141.1"/>
    <n v="24.900000000000002"/>
  </r>
  <r>
    <s v="SBG - Mobile"/>
    <x v="0"/>
    <s v="Sub-task"/>
    <s v="MOBL-215"/>
    <s v="MOBL-204&gt; font for DESCRIPTION"/>
    <s v="Sub-task"/>
    <x v="0"/>
    <d v="2015-06-09T18:32:00"/>
    <x v="6"/>
    <x v="0"/>
    <x v="7"/>
    <n v="0.25"/>
    <m/>
    <n v="83"/>
    <n v="83"/>
  </r>
  <r>
    <s v="SBG - Mobile"/>
    <x v="2"/>
    <s v="Sub-task"/>
    <s v="MOBL-216"/>
    <s v="MOBL-204&gt; TOP SELLERS shouldn't be automatically scrolled"/>
    <s v="Sub-task"/>
    <x v="0"/>
    <d v="2015-06-17T09:39:00"/>
    <x v="6"/>
    <x v="0"/>
    <x v="6"/>
    <n v="1"/>
    <m/>
    <n v="141.1"/>
    <n v="24.900000000000002"/>
  </r>
  <r>
    <s v="SBG - Mobile"/>
    <x v="2"/>
    <s v="Sub-task"/>
    <s v="MOBL-219"/>
    <s v="MOBL-204&gt; incorrect sticky banner"/>
    <s v="Sub-task"/>
    <x v="0"/>
    <d v="2015-06-26T12:29:00"/>
    <x v="6"/>
    <x v="0"/>
    <x v="6"/>
    <n v="2"/>
    <m/>
    <n v="141.1"/>
    <n v="24.900000000000002"/>
  </r>
  <r>
    <s v="SBG - Mobile"/>
    <x v="2"/>
    <s v="Sub-task"/>
    <s v="MOBL-220"/>
    <s v="MOBL-204&gt; a window pops up when user chooses a filter option after active filters are cleared"/>
    <s v="Sub-task"/>
    <x v="0"/>
    <d v="2015-07-09T09:43:00"/>
    <x v="2"/>
    <x v="0"/>
    <x v="18"/>
    <n v="1"/>
    <m/>
    <n v="147.9"/>
    <n v="26.100000000000005"/>
  </r>
  <r>
    <s v="SBG - Mobile"/>
    <x v="2"/>
    <s v="Sub-task"/>
    <s v="MOBL-221"/>
    <s v="MOBL-204&gt; &quot;SEE MORE PRODUCTS&quot; returns 19 grids each time"/>
    <s v="Sub-task"/>
    <x v="0"/>
    <d v="2015-07-09T09:43:00"/>
    <x v="2"/>
    <x v="0"/>
    <x v="18"/>
    <n v="2"/>
    <m/>
    <n v="147.9"/>
    <n v="26.100000000000005"/>
  </r>
  <r>
    <s v="SBG - Mobile"/>
    <x v="2"/>
    <s v="Sub-task"/>
    <s v="MOBL-222"/>
    <s v="MOBL-204&gt; no &quot;Unisex&quot; on gender filters of homepage"/>
    <s v="Sub-task"/>
    <x v="0"/>
    <d v="2015-06-19T09:55:00"/>
    <x v="6"/>
    <x v="0"/>
    <x v="6"/>
    <n v="1"/>
    <m/>
    <n v="141.1"/>
    <n v="24.900000000000002"/>
  </r>
  <r>
    <s v="SBG - Mobile"/>
    <x v="2"/>
    <s v="Sub-task"/>
    <s v="MOBL-223"/>
    <s v="MOBL-204&gt; search button doesn't work on search bar of homepage"/>
    <s v="Sub-task"/>
    <x v="0"/>
    <d v="2015-07-09T09:43:00"/>
    <x v="2"/>
    <x v="0"/>
    <x v="18"/>
    <n v="1"/>
    <m/>
    <n v="147.9"/>
    <n v="26.100000000000005"/>
  </r>
  <r>
    <s v="SBG - Mobile"/>
    <x v="0"/>
    <s v="Sub-task"/>
    <s v="MOBL-224"/>
    <s v="MOBL-204&gt; MKT feebback"/>
    <s v="Sub-task"/>
    <x v="0"/>
    <d v="2015-06-10T18:34:00"/>
    <x v="6"/>
    <x v="0"/>
    <x v="7"/>
    <n v="3.5"/>
    <m/>
    <n v="83"/>
    <n v="83"/>
  </r>
  <r>
    <s v="SBG - Mobile"/>
    <x v="0"/>
    <s v="Sub-task"/>
    <s v="MOBL-224"/>
    <s v="MOBL-204&gt; MKT feebback"/>
    <s v="Sub-task"/>
    <x v="0"/>
    <d v="2015-06-23T09:53:00"/>
    <x v="6"/>
    <x v="0"/>
    <x v="0"/>
    <n v="10"/>
    <m/>
    <n v="83"/>
    <n v="83"/>
  </r>
  <r>
    <s v="SBG - Mobile"/>
    <x v="0"/>
    <s v="Sub-task"/>
    <s v="MOBL-224"/>
    <s v="MOBL-204&gt; MKT feebback"/>
    <s v="Sub-task"/>
    <x v="0"/>
    <d v="2015-06-25T18:24:00"/>
    <x v="6"/>
    <x v="0"/>
    <x v="0"/>
    <n v="8"/>
    <m/>
    <n v="83"/>
    <n v="83"/>
  </r>
  <r>
    <s v="SBG - Mobile"/>
    <x v="2"/>
    <s v="Sub-task"/>
    <s v="MOBL-225"/>
    <s v="MOBL-204&gt; choosen filter option isn't marked with √"/>
    <s v="Sub-task"/>
    <x v="0"/>
    <d v="2015-07-09T09:42:00"/>
    <x v="2"/>
    <x v="0"/>
    <x v="18"/>
    <n v="1"/>
    <m/>
    <n v="147.9"/>
    <n v="26.100000000000005"/>
  </r>
  <r>
    <s v="SBG - Mobile"/>
    <x v="0"/>
    <s v="Sub-task"/>
    <s v="MOBL-226"/>
    <s v="MOBL-204&gt; alignment issues on all pages"/>
    <s v="Sub-task"/>
    <x v="0"/>
    <d v="2015-06-10T18:34:00"/>
    <x v="6"/>
    <x v="0"/>
    <x v="7"/>
    <n v="2"/>
    <m/>
    <n v="83"/>
    <n v="83"/>
  </r>
  <r>
    <s v="SBG - Mobile"/>
    <x v="2"/>
    <s v="Sub-task"/>
    <s v="MOBL-227"/>
    <s v="MOBL-204&gt; taping &quot;CLEAR ALL&quot;,it rediects to white page"/>
    <s v="Sub-task"/>
    <x v="0"/>
    <d v="2015-06-08T11:32:00"/>
    <x v="6"/>
    <x v="0"/>
    <x v="2"/>
    <n v="3"/>
    <m/>
    <n v="141.1"/>
    <n v="24.900000000000002"/>
  </r>
  <r>
    <s v="SBG - Mobile"/>
    <x v="2"/>
    <s v="Sub-task"/>
    <s v="MOBL-227"/>
    <s v="MOBL-204&gt; taping &quot;CLEAR ALL&quot;,it rediects to white page"/>
    <s v="Sub-task"/>
    <x v="0"/>
    <d v="2015-06-11T18:32:00"/>
    <x v="6"/>
    <x v="0"/>
    <x v="2"/>
    <n v="5"/>
    <m/>
    <n v="141.1"/>
    <n v="24.900000000000002"/>
  </r>
  <r>
    <s v="SBG - Mobile"/>
    <x v="2"/>
    <s v="Sub-task"/>
    <s v="MOBL-228"/>
    <s v="MOBL-204&gt; change filters or &quot;clear all&quot; still reloads current pages"/>
    <s v="Sub-task"/>
    <x v="0"/>
    <d v="2015-06-12T18:31:00"/>
    <x v="6"/>
    <x v="0"/>
    <x v="2"/>
    <n v="4"/>
    <m/>
    <n v="141.1"/>
    <n v="24.900000000000002"/>
  </r>
  <r>
    <s v="SBG - Mobile"/>
    <x v="2"/>
    <s v="Sub-task"/>
    <s v="MOBL-229"/>
    <s v="MOBL-204&gt; implement H tags as old mobile rule"/>
    <s v="Sub-task"/>
    <x v="0"/>
    <d v="2015-07-09T09:42:00"/>
    <x v="2"/>
    <x v="0"/>
    <x v="18"/>
    <n v="1"/>
    <m/>
    <n v="147.9"/>
    <n v="26.100000000000005"/>
  </r>
  <r>
    <s v="SBG - Mobile"/>
    <x v="2"/>
    <s v="Sub-task"/>
    <s v="MOBL-230"/>
    <s v="MOBL-204&gt; rotate issue"/>
    <s v="Sub-task"/>
    <x v="0"/>
    <d v="2015-06-19T12:02:00"/>
    <x v="6"/>
    <x v="0"/>
    <x v="6"/>
    <n v="2"/>
    <m/>
    <n v="141.1"/>
    <n v="24.900000000000002"/>
  </r>
  <r>
    <s v="SBG - Mobile"/>
    <x v="2"/>
    <s v="Sub-task"/>
    <s v="MOBL-230"/>
    <s v="MOBL-204&gt; rotate issue"/>
    <s v="Sub-task"/>
    <x v="0"/>
    <d v="2015-06-23T19:15:00"/>
    <x v="6"/>
    <x v="0"/>
    <x v="6"/>
    <n v="0.5"/>
    <m/>
    <n v="141.1"/>
    <n v="24.900000000000002"/>
  </r>
  <r>
    <s v="SBG - Mobile"/>
    <x v="2"/>
    <s v="Sub-task"/>
    <s v="MOBL-231"/>
    <s v="MOBL-204&gt; default products quantity on search result page is 30"/>
    <s v="Sub-task"/>
    <x v="0"/>
    <d v="2015-06-15T18:30:00"/>
    <x v="6"/>
    <x v="0"/>
    <x v="2"/>
    <n v="4"/>
    <m/>
    <n v="141.1"/>
    <n v="24.900000000000002"/>
  </r>
  <r>
    <s v="SBG - Mobile"/>
    <x v="2"/>
    <s v="Sub-task"/>
    <s v="MOBL-232"/>
    <s v="MOBL-204&gt; alt tags are not implemented on products of grid page/search result page"/>
    <s v="Sub-task"/>
    <x v="0"/>
    <d v="2015-07-09T09:41:00"/>
    <x v="2"/>
    <x v="0"/>
    <x v="18"/>
    <n v="1"/>
    <m/>
    <n v="147.9"/>
    <n v="26.100000000000005"/>
  </r>
  <r>
    <s v="SBG - Mobile"/>
    <x v="2"/>
    <s v="Sub-task"/>
    <s v="MOBL-236"/>
    <s v="MOBL-204&gt; quantity on cart logo is incorrect when the quantity of one product is more than 2"/>
    <s v="Sub-task"/>
    <x v="0"/>
    <d v="2015-06-16T14:39:00"/>
    <x v="6"/>
    <x v="0"/>
    <x v="11"/>
    <n v="0.66700000000000004"/>
    <m/>
    <n v="141.1"/>
    <n v="24.900000000000002"/>
  </r>
  <r>
    <s v="SBG - Mobile"/>
    <x v="2"/>
    <s v="Sub-task"/>
    <s v="MOBL-239"/>
    <s v="MOBL-204&gt; cannot close the panel on category page"/>
    <s v="Sub-task"/>
    <x v="0"/>
    <d v="2015-07-09T09:41:00"/>
    <x v="2"/>
    <x v="0"/>
    <x v="18"/>
    <n v="2"/>
    <m/>
    <n v="147.9"/>
    <n v="26.100000000000005"/>
  </r>
  <r>
    <s v="SBG - Mobile"/>
    <x v="2"/>
    <s v="Sub-task"/>
    <s v="MOBL-241"/>
    <s v="MOBL-204&gt; quantity on cart logo changes when user goes to other pages on cart page"/>
    <s v="Sub-task"/>
    <x v="0"/>
    <d v="2015-06-24T14:39:00"/>
    <x v="6"/>
    <x v="0"/>
    <x v="6"/>
    <n v="1"/>
    <m/>
    <n v="141.1"/>
    <n v="24.900000000000002"/>
  </r>
  <r>
    <s v="SBG - Mobile"/>
    <x v="2"/>
    <s v="Sub-task"/>
    <s v="MOBL-243"/>
    <s v="MOBL-204&gt; it redirects white page when the first product of grid page is tapped"/>
    <s v="Sub-task"/>
    <x v="0"/>
    <d v="2015-07-09T09:41:00"/>
    <x v="2"/>
    <x v="0"/>
    <x v="18"/>
    <n v="1"/>
    <m/>
    <n v="147.9"/>
    <n v="26.100000000000005"/>
  </r>
  <r>
    <s v="SBG - Mobile"/>
    <x v="0"/>
    <s v="Sub-task"/>
    <s v="MOBL-244"/>
    <s v="MOBL-204&gt; Add contact lenses page unavailable page"/>
    <s v="Sub-task"/>
    <x v="0"/>
    <d v="2015-06-11T10:55:00"/>
    <x v="6"/>
    <x v="0"/>
    <x v="0"/>
    <n v="2"/>
    <m/>
    <n v="83"/>
    <n v="83"/>
  </r>
  <r>
    <s v="SBG - Mobile"/>
    <x v="2"/>
    <s v="Sub-task"/>
    <s v="MOBL-245"/>
    <s v="MOBL-204&gt; contact lens TYPE filter"/>
    <s v="Sub-task"/>
    <x v="0"/>
    <d v="2015-07-09T09:40:00"/>
    <x v="2"/>
    <x v="0"/>
    <x v="18"/>
    <n v="2"/>
    <m/>
    <n v="147.9"/>
    <n v="26.100000000000005"/>
  </r>
  <r>
    <s v="SBG - Mobile"/>
    <x v="2"/>
    <s v="Sub-task"/>
    <s v="MOBL-246"/>
    <s v="MOBL-204&gt; category page title issues"/>
    <s v="Sub-task"/>
    <x v="0"/>
    <d v="2015-07-09T09:40:00"/>
    <x v="2"/>
    <x v="0"/>
    <x v="18"/>
    <n v="1"/>
    <m/>
    <n v="147.9"/>
    <n v="26.100000000000005"/>
  </r>
  <r>
    <s v="SBG - Mobile"/>
    <x v="0"/>
    <s v="Sub-task"/>
    <s v="MOBL-247"/>
    <s v="MOBL-204&gt; domain logo is incorrect on VD"/>
    <s v="Sub-task"/>
    <x v="0"/>
    <d v="2015-06-19T14:27:00"/>
    <x v="6"/>
    <x v="0"/>
    <x v="7"/>
    <n v="2.5"/>
    <m/>
    <n v="83"/>
    <n v="83"/>
  </r>
  <r>
    <s v="SBG - Mobile"/>
    <x v="2"/>
    <s v="Sub-task"/>
    <s v="MOBL-248"/>
    <s v="MOBL-204&gt; links for BRANDS on CL category page are incorrect"/>
    <s v="Sub-task"/>
    <x v="0"/>
    <d v="2015-07-09T09:40:00"/>
    <x v="2"/>
    <x v="0"/>
    <x v="18"/>
    <n v="1"/>
    <m/>
    <n v="147.9"/>
    <n v="26.100000000000005"/>
  </r>
  <r>
    <s v="SBG - Mobile"/>
    <x v="2"/>
    <s v="Sub-task"/>
    <s v="MOBL-251"/>
    <s v="MOBL-204&gt; &quot;SHOP CONTACTS&quot; still shows on empty cart of KR domain"/>
    <s v="Sub-task"/>
    <x v="0"/>
    <d v="2015-06-16T15:24:00"/>
    <x v="6"/>
    <x v="0"/>
    <x v="11"/>
    <n v="1"/>
    <m/>
    <n v="141.1"/>
    <n v="24.900000000000002"/>
  </r>
  <r>
    <s v="SBG - Mobile"/>
    <x v="2"/>
    <s v="Sub-task"/>
    <s v="MOBL-253"/>
    <s v="MOBL-204&gt; no &quot;CONTINUE SHOPPING&quot; and secure logos on empty cart page"/>
    <s v="Sub-task"/>
    <x v="0"/>
    <d v="2015-06-16T15:48:00"/>
    <x v="6"/>
    <x v="0"/>
    <x v="11"/>
    <n v="0.33300000000000002"/>
    <m/>
    <n v="141.1"/>
    <n v="24.900000000000002"/>
  </r>
  <r>
    <s v="SBG - Mobile"/>
    <x v="2"/>
    <s v="Sub-task"/>
    <s v="MOBL-255"/>
    <s v="MOBL-204&gt; placeholder for search bar"/>
    <s v="Sub-task"/>
    <x v="0"/>
    <d v="2015-06-25T17:07:00"/>
    <x v="6"/>
    <x v="0"/>
    <x v="10"/>
    <n v="1.333"/>
    <m/>
    <n v="141.1"/>
    <n v="24.900000000000002"/>
  </r>
  <r>
    <s v="SBG - Mobile"/>
    <x v="2"/>
    <s v="Sub-task"/>
    <s v="MOBL-255"/>
    <s v="MOBL-204&gt; placeholder for search bar"/>
    <s v="Sub-task"/>
    <x v="0"/>
    <d v="2015-06-25T17:12:00"/>
    <x v="6"/>
    <x v="0"/>
    <x v="10"/>
    <n v="0.16700000000000001"/>
    <m/>
    <n v="141.1"/>
    <n v="24.900000000000002"/>
  </r>
  <r>
    <s v="SBG - Mobile"/>
    <x v="2"/>
    <s v="Sub-task"/>
    <s v="MOBL-256"/>
    <s v="MOBL-204&gt; nothing happens when user taps search button on hamburger menu"/>
    <s v="Sub-task"/>
    <x v="0"/>
    <d v="2015-07-09T09:39:00"/>
    <x v="2"/>
    <x v="0"/>
    <x v="18"/>
    <n v="2"/>
    <m/>
    <n v="147.9"/>
    <n v="26.100000000000005"/>
  </r>
  <r>
    <s v="SBG - Mobile"/>
    <x v="2"/>
    <s v="Sub-task"/>
    <s v="MOBL-257"/>
    <s v="MOBL-204&gt; URL breaks once choose another brand"/>
    <s v="Sub-task"/>
    <x v="0"/>
    <d v="2015-07-09T09:39:00"/>
    <x v="2"/>
    <x v="0"/>
    <x v="18"/>
    <n v="1"/>
    <m/>
    <n v="147.9"/>
    <n v="26.100000000000005"/>
  </r>
  <r>
    <s v="SBG - Mobile"/>
    <x v="2"/>
    <s v="Sub-task"/>
    <s v="MOBL-258"/>
    <s v="MOBL-204&gt; promotional text"/>
    <s v="Sub-task"/>
    <x v="0"/>
    <d v="2015-06-19T12:25:00"/>
    <x v="6"/>
    <x v="0"/>
    <x v="6"/>
    <n v="1"/>
    <m/>
    <n v="141.1"/>
    <n v="24.900000000000002"/>
  </r>
  <r>
    <s v="SBG - Mobile"/>
    <x v="0"/>
    <s v="Sub-task"/>
    <s v="MOBL-259"/>
    <s v="MOBL-204&gt; CL page 样式调整"/>
    <s v="Sub-task"/>
    <x v="0"/>
    <d v="2015-06-11T18:36:00"/>
    <x v="6"/>
    <x v="0"/>
    <x v="0"/>
    <n v="2"/>
    <m/>
    <n v="83"/>
    <n v="83"/>
  </r>
  <r>
    <s v="SBG - Mobile"/>
    <x v="2"/>
    <s v="Sub-task"/>
    <s v="MOBL-260"/>
    <s v="MOBL-204&gt; CL top brands incorrect"/>
    <s v="Sub-task"/>
    <x v="0"/>
    <d v="2015-07-09T09:38:00"/>
    <x v="2"/>
    <x v="0"/>
    <x v="18"/>
    <n v="1"/>
    <m/>
    <n v="147.9"/>
    <n v="26.100000000000005"/>
  </r>
  <r>
    <s v="SBG - Mobile"/>
    <x v="2"/>
    <s v="Sub-task"/>
    <s v="MOBL-261"/>
    <s v="MOBL-204&gt; list for missing tracking code"/>
    <s v="Sub-task"/>
    <x v="0"/>
    <d v="2015-06-16T16:19:00"/>
    <x v="6"/>
    <x v="0"/>
    <x v="11"/>
    <n v="0.5"/>
    <m/>
    <n v="141.1"/>
    <n v="24.900000000000002"/>
  </r>
  <r>
    <s v="SBG - Mobile"/>
    <x v="0"/>
    <s v="Sub-task"/>
    <s v="MOBL-263"/>
    <s v="MOBL-204&gt; Add shapes"/>
    <s v="Sub-task"/>
    <x v="0"/>
    <d v="2015-06-12T18:41:00"/>
    <x v="6"/>
    <x v="0"/>
    <x v="7"/>
    <n v="8"/>
    <m/>
    <n v="83"/>
    <n v="83"/>
  </r>
  <r>
    <s v="SBG - Mobile"/>
    <x v="2"/>
    <s v="Sub-task"/>
    <s v="MOBL-264"/>
    <s v="MOBL-204&gt; once expand 20% promotional banner on header, cannot scroll to top"/>
    <s v="Sub-task"/>
    <x v="0"/>
    <d v="2015-06-24T17:02:00"/>
    <x v="6"/>
    <x v="0"/>
    <x v="6"/>
    <n v="2"/>
    <m/>
    <n v="141.1"/>
    <n v="24.900000000000002"/>
  </r>
  <r>
    <s v="SBG - Mobile"/>
    <x v="2"/>
    <s v="Sub-task"/>
    <s v="MOBL-265"/>
    <s v="MOBL-204&gt; why we have 2 entrances that link to 1 page on footer"/>
    <s v="Sub-task"/>
    <x v="0"/>
    <d v="2015-06-23T13:23:00"/>
    <x v="6"/>
    <x v="0"/>
    <x v="6"/>
    <n v="0.5"/>
    <m/>
    <n v="141.1"/>
    <n v="24.900000000000002"/>
  </r>
  <r>
    <s v="SBG - Mobile"/>
    <x v="0"/>
    <s v="Sub-task"/>
    <s v="MOBL-268"/>
    <s v="MOBL-204&gt; RX Process issues"/>
    <s v="Sub-task"/>
    <x v="0"/>
    <d v="2015-06-15T11:45:00"/>
    <x v="6"/>
    <x v="0"/>
    <x v="0"/>
    <n v="1"/>
    <m/>
    <n v="83"/>
    <n v="83"/>
  </r>
  <r>
    <s v="SBG - Mobile"/>
    <x v="0"/>
    <s v="Sub-task"/>
    <s v="MOBL-269"/>
    <s v="MOBL-204&gt; &quot;X&quot; icon is close to product name when the product name is long"/>
    <s v="Sub-task"/>
    <x v="0"/>
    <d v="2015-06-24T11:55:00"/>
    <x v="6"/>
    <x v="0"/>
    <x v="0"/>
    <n v="0.66700000000000004"/>
    <m/>
    <n v="83"/>
    <n v="83"/>
  </r>
  <r>
    <s v="SBG - Mobile"/>
    <x v="2"/>
    <s v="Sub-task"/>
    <s v="MOBL-274"/>
    <s v="MOBL-204&gt; no &quot;Discount&quot;/&quot;Gift Voucher&quot; line when voucher is applied"/>
    <s v="Sub-task"/>
    <x v="0"/>
    <d v="2015-06-25T18:27:00"/>
    <x v="6"/>
    <x v="0"/>
    <x v="11"/>
    <n v="3"/>
    <m/>
    <n v="141.1"/>
    <n v="24.900000000000002"/>
  </r>
  <r>
    <s v="SBG - Mobile"/>
    <x v="0"/>
    <s v="Sub-task"/>
    <s v="MOBL-278"/>
    <s v="MOBL-204&gt; trustpilot logo shows on all domains"/>
    <s v="Sub-task"/>
    <x v="0"/>
    <d v="2015-06-24T15:56:00"/>
    <x v="6"/>
    <x v="0"/>
    <x v="7"/>
    <n v="0.5"/>
    <m/>
    <n v="83"/>
    <n v="83"/>
  </r>
  <r>
    <s v="SBG - Mobile"/>
    <x v="2"/>
    <s v="Sub-task"/>
    <s v="MOBL-279"/>
    <s v="MOBL-204&gt; don't show verification code in FORGOT PASSWORD page"/>
    <s v="Sub-task"/>
    <x v="0"/>
    <d v="2015-06-23T15:08:00"/>
    <x v="6"/>
    <x v="0"/>
    <x v="6"/>
    <n v="1"/>
    <m/>
    <n v="141.1"/>
    <n v="24.900000000000002"/>
  </r>
  <r>
    <s v="SBG - Mobile"/>
    <x v="2"/>
    <s v="Sub-task"/>
    <s v="MOBL-281"/>
    <s v="MOBL-204&gt; filled in characters in email/password are capitalized automatically on /membership page"/>
    <s v="Sub-task"/>
    <x v="0"/>
    <d v="2015-06-24T13:14:00"/>
    <x v="6"/>
    <x v="0"/>
    <x v="12"/>
    <n v="1"/>
    <m/>
    <n v="141.1"/>
    <n v="24.900000000000002"/>
  </r>
  <r>
    <s v="SBG - Mobile"/>
    <x v="0"/>
    <s v="Sub-task"/>
    <s v="MOBL-281"/>
    <s v="MOBL-204&gt; filled in characters in email/password are capitalized automatically on /membership page"/>
    <s v="Sub-task"/>
    <x v="0"/>
    <d v="2015-06-24T15:56:00"/>
    <x v="6"/>
    <x v="0"/>
    <x v="7"/>
    <n v="1"/>
    <m/>
    <n v="83"/>
    <n v="83"/>
  </r>
  <r>
    <s v="SBG - Mobile"/>
    <x v="2"/>
    <s v="Sub-task"/>
    <s v="MOBL-283"/>
    <s v="MOBL-204&gt; cannot open Search bar in some pages"/>
    <s v="Sub-task"/>
    <x v="0"/>
    <d v="2015-06-16T18:30:00"/>
    <x v="6"/>
    <x v="0"/>
    <x v="2"/>
    <n v="8"/>
    <m/>
    <n v="141.1"/>
    <n v="24.900000000000002"/>
  </r>
  <r>
    <s v="SBG - Mobile"/>
    <x v="2"/>
    <s v="Sub-task"/>
    <s v="MOBL-285"/>
    <s v="MOBL-204&gt; volume discount should activate on one-side quantity"/>
    <s v="Sub-task"/>
    <x v="0"/>
    <d v="2015-06-24T13:14:00"/>
    <x v="6"/>
    <x v="0"/>
    <x v="12"/>
    <n v="3"/>
    <m/>
    <n v="141.1"/>
    <n v="24.900000000000002"/>
  </r>
  <r>
    <s v="SBG - Mobile"/>
    <x v="2"/>
    <s v="Sub-task"/>
    <s v="MOBL-288"/>
    <s v="MOBL-204&gt; PRESCRIPTION missing in mega menu for SUNGLASSES"/>
    <s v="Sub-task"/>
    <x v="0"/>
    <d v="2015-06-19T12:40:00"/>
    <x v="6"/>
    <x v="0"/>
    <x v="6"/>
    <n v="1"/>
    <m/>
    <n v="141.1"/>
    <n v="24.900000000000002"/>
  </r>
  <r>
    <s v="SBG - Mobile"/>
    <x v="2"/>
    <s v="Sub-task"/>
    <s v="MOBL-290"/>
    <s v="MOBL-204&gt; remove Rectangle in mega menu for Eyeglasses"/>
    <s v="Sub-task"/>
    <x v="0"/>
    <d v="2015-06-19T12:50:00"/>
    <x v="6"/>
    <x v="0"/>
    <x v="6"/>
    <n v="1"/>
    <m/>
    <n v="141.1"/>
    <n v="24.900000000000002"/>
  </r>
  <r>
    <s v="SBG - Mobile"/>
    <x v="2"/>
    <s v="Sub-task"/>
    <s v="MOBL-291"/>
    <s v="MOBL-204&gt; tracking code incorrect in mega menu for CONTACT LENS"/>
    <s v="Sub-task"/>
    <x v="0"/>
    <d v="2015-06-18T18:39:00"/>
    <x v="6"/>
    <x v="0"/>
    <x v="6"/>
    <n v="2"/>
    <m/>
    <n v="141.1"/>
    <n v="24.900000000000002"/>
  </r>
  <r>
    <s v="SBG - Mobile"/>
    <x v="2"/>
    <s v="Sub-task"/>
    <s v="MOBL-292"/>
    <s v="MOBL-204&gt; &quot;call me back&quot; &amp; &quot;call us&quot; are different from desktop"/>
    <s v="Sub-task"/>
    <x v="0"/>
    <d v="2015-06-09T10:44:00"/>
    <x v="6"/>
    <x v="0"/>
    <x v="10"/>
    <n v="4"/>
    <m/>
    <n v="141.1"/>
    <n v="24.900000000000002"/>
  </r>
  <r>
    <s v="SBG - Mobile"/>
    <x v="2"/>
    <s v="Sub-task"/>
    <s v="MOBL-292"/>
    <s v="MOBL-204&gt; &quot;call me back&quot; &amp; &quot;call us&quot; are different from desktop"/>
    <s v="Sub-task"/>
    <x v="0"/>
    <d v="2015-06-11T12:42:00"/>
    <x v="6"/>
    <x v="0"/>
    <x v="10"/>
    <n v="5"/>
    <m/>
    <n v="141.1"/>
    <n v="24.900000000000002"/>
  </r>
  <r>
    <s v="SBG - Mobile"/>
    <x v="2"/>
    <s v="Sub-task"/>
    <s v="MOBL-292"/>
    <s v="MOBL-204&gt; &quot;call me back&quot; &amp; &quot;call us&quot; are different from desktop"/>
    <s v="Sub-task"/>
    <x v="0"/>
    <d v="2015-06-16T10:11:00"/>
    <x v="6"/>
    <x v="0"/>
    <x v="10"/>
    <n v="2"/>
    <m/>
    <n v="141.1"/>
    <n v="24.900000000000002"/>
  </r>
  <r>
    <s v="SBG - Mobile"/>
    <x v="2"/>
    <s v="Sub-task"/>
    <s v="MOBL-292"/>
    <s v="MOBL-204&gt; &quot;call me back&quot; &amp; &quot;call us&quot; are different from desktop"/>
    <s v="Sub-task"/>
    <x v="0"/>
    <d v="2015-06-16T18:42:00"/>
    <x v="6"/>
    <x v="0"/>
    <x v="10"/>
    <n v="0.25"/>
    <m/>
    <n v="141.1"/>
    <n v="24.900000000000002"/>
  </r>
  <r>
    <s v="SBG - Mobile"/>
    <x v="2"/>
    <s v="Sub-task"/>
    <s v="MOBL-293"/>
    <s v="MOBL-204&gt; filled in characters on /help page are capitalized automatically"/>
    <s v="Sub-task"/>
    <x v="0"/>
    <d v="2015-06-25T10:51:00"/>
    <x v="6"/>
    <x v="0"/>
    <x v="10"/>
    <n v="2"/>
    <m/>
    <n v="141.1"/>
    <n v="24.900000000000002"/>
  </r>
  <r>
    <s v="SBG - Mobile"/>
    <x v="2"/>
    <s v="Sub-task"/>
    <s v="MOBL-294"/>
    <s v="MOBL-204&gt; filled in chracters on email blank of /help page &quot;Have a Question&quot; section are in red"/>
    <s v="Sub-task"/>
    <x v="0"/>
    <d v="2015-06-17T09:41:00"/>
    <x v="6"/>
    <x v="0"/>
    <x v="10"/>
    <n v="0.33300000000000002"/>
    <m/>
    <n v="141.1"/>
    <n v="24.900000000000002"/>
  </r>
  <r>
    <s v="SBG - Mobile"/>
    <x v="2"/>
    <s v="Sub-task"/>
    <s v="MOBL-294"/>
    <s v="MOBL-204&gt; filled in chracters on email blank of /help page &quot;Have a Question&quot; section are in red"/>
    <s v="Sub-task"/>
    <x v="0"/>
    <d v="2015-06-17T10:06:00"/>
    <x v="6"/>
    <x v="0"/>
    <x v="10"/>
    <n v="1"/>
    <m/>
    <n v="141.1"/>
    <n v="24.900000000000002"/>
  </r>
  <r>
    <s v="SBG - Mobile"/>
    <x v="2"/>
    <s v="Sub-task"/>
    <s v="MOBL-295"/>
    <s v="MOBL-204&gt; it takes long time to display banners on content pages"/>
    <s v="Sub-task"/>
    <x v="0"/>
    <d v="2015-06-17T18:09:00"/>
    <x v="6"/>
    <x v="0"/>
    <x v="10"/>
    <n v="3"/>
    <m/>
    <n v="141.1"/>
    <n v="24.900000000000002"/>
  </r>
  <r>
    <s v="SBG - Mobile"/>
    <x v="2"/>
    <s v="Sub-task"/>
    <s v="MOBL-296"/>
    <s v="MOBL-204&gt; links of contact us/help page are the same"/>
    <s v="Sub-task"/>
    <x v="0"/>
    <d v="2015-06-17T11:04:00"/>
    <x v="6"/>
    <x v="0"/>
    <x v="10"/>
    <n v="1"/>
    <m/>
    <n v="141.1"/>
    <n v="24.900000000000002"/>
  </r>
  <r>
    <s v="SBG - Mobile"/>
    <x v="2"/>
    <s v="Sub-task"/>
    <s v="MOBL-296"/>
    <s v="MOBL-204&gt; links of contact us/help page are the same"/>
    <s v="Sub-task"/>
    <x v="0"/>
    <d v="2015-06-17T12:58:00"/>
    <x v="6"/>
    <x v="0"/>
    <x v="10"/>
    <n v="0.05"/>
    <m/>
    <n v="141.1"/>
    <n v="24.900000000000002"/>
  </r>
  <r>
    <s v="SBG - Mobile"/>
    <x v="2"/>
    <s v="Sub-task"/>
    <s v="MOBL-297"/>
    <s v="MOBL-204&gt; 2 images cannot display on /term page"/>
    <s v="Sub-task"/>
    <x v="0"/>
    <d v="2015-06-23T19:09:00"/>
    <x v="6"/>
    <x v="0"/>
    <x v="10"/>
    <n v="2"/>
    <m/>
    <n v="141.1"/>
    <n v="24.900000000000002"/>
  </r>
  <r>
    <s v="SBG - Mobile"/>
    <x v="2"/>
    <s v="Sub-task"/>
    <s v="MOBL-298"/>
    <s v="MOBL-204&gt; &quot;Contact Us&quot; link on /about-us page is still /about-us"/>
    <s v="Sub-task"/>
    <x v="0"/>
    <d v="2015-06-17T12:59:00"/>
    <x v="6"/>
    <x v="0"/>
    <x v="10"/>
    <n v="8.3000000000000004E-2"/>
    <m/>
    <n v="141.1"/>
    <n v="24.900000000000002"/>
  </r>
  <r>
    <s v="SBG - Mobile"/>
    <x v="2"/>
    <s v="Sub-task"/>
    <s v="MOBL-298"/>
    <s v="MOBL-204&gt; &quot;Contact Us&quot; link on /about-us page is still /about-us"/>
    <s v="Sub-task"/>
    <x v="0"/>
    <d v="2015-06-17T13:02:00"/>
    <x v="6"/>
    <x v="0"/>
    <x v="10"/>
    <n v="1"/>
    <m/>
    <n v="141.1"/>
    <n v="24.900000000000002"/>
  </r>
  <r>
    <s v="SBG - Mobile"/>
    <x v="2"/>
    <s v="Sub-task"/>
    <s v="MOBL-299"/>
    <s v="MOBL-204&gt; &quot;+&quot; is mixed with questions on /faq page"/>
    <s v="Sub-task"/>
    <x v="0"/>
    <d v="2015-06-17T14:03:00"/>
    <x v="6"/>
    <x v="0"/>
    <x v="10"/>
    <n v="1"/>
    <m/>
    <n v="141.1"/>
    <n v="24.900000000000002"/>
  </r>
  <r>
    <s v="SBG - Mobile"/>
    <x v="0"/>
    <s v="Sub-task"/>
    <s v="MOBL-299"/>
    <s v="MOBL-204&gt; &quot;+&quot; is mixed with questions on /faq page"/>
    <s v="Sub-task"/>
    <x v="0"/>
    <d v="2015-06-17T14:59:00"/>
    <x v="6"/>
    <x v="0"/>
    <x v="7"/>
    <n v="0.5"/>
    <m/>
    <n v="83"/>
    <n v="83"/>
  </r>
  <r>
    <s v="SBG - Mobile"/>
    <x v="2"/>
    <s v="Sub-task"/>
    <s v="MOBL-301"/>
    <s v="MOBL-204&gt; no tip display when user fills in unmatchable email address and password on /order page"/>
    <s v="Sub-task"/>
    <x v="0"/>
    <d v="2015-06-16T11:43:00"/>
    <x v="6"/>
    <x v="0"/>
    <x v="10"/>
    <n v="6"/>
    <m/>
    <n v="141.1"/>
    <n v="24.900000000000002"/>
  </r>
  <r>
    <s v="SBG - Mobile"/>
    <x v="2"/>
    <s v="Sub-task"/>
    <s v="MOBL-301"/>
    <s v="MOBL-204&gt; no tip display when user fills in unmatchable email address and password on /order page"/>
    <s v="Sub-task"/>
    <x v="0"/>
    <d v="2015-06-17T18:08:00"/>
    <x v="6"/>
    <x v="0"/>
    <x v="10"/>
    <n v="0.5"/>
    <m/>
    <n v="141.1"/>
    <n v="24.900000000000002"/>
  </r>
  <r>
    <s v="SBG - Mobile"/>
    <x v="2"/>
    <s v="Sub-task"/>
    <s v="MOBL-301"/>
    <s v="MOBL-204&gt; no tip display when user fills in unmatchable email address and password on /order page"/>
    <s v="Sub-task"/>
    <x v="0"/>
    <d v="2015-07-17T18:05:00"/>
    <x v="2"/>
    <x v="0"/>
    <x v="10"/>
    <n v="2"/>
    <m/>
    <n v="147.9"/>
    <n v="26.100000000000005"/>
  </r>
  <r>
    <s v="SBG - Mobile"/>
    <x v="2"/>
    <s v="Sub-task"/>
    <s v="MOBL-301"/>
    <s v="MOBL-204&gt; no tip display when user fills in unmatchable email address and password on /order page"/>
    <s v="Sub-task"/>
    <x v="0"/>
    <d v="2015-07-28T13:10:00"/>
    <x v="2"/>
    <x v="0"/>
    <x v="10"/>
    <n v="5"/>
    <m/>
    <n v="147.9"/>
    <n v="26.100000000000005"/>
  </r>
  <r>
    <s v="SBG - Mobile"/>
    <x v="2"/>
    <s v="Sub-task"/>
    <s v="MOBL-302"/>
    <s v="MOBL-204&gt; the redirection link is incorrect when user logins on /order page successfully"/>
    <s v="Sub-task"/>
    <x v="0"/>
    <d v="2015-06-25T10:00:00"/>
    <x v="6"/>
    <x v="0"/>
    <x v="10"/>
    <n v="1"/>
    <m/>
    <n v="141.1"/>
    <n v="24.900000000000002"/>
  </r>
  <r>
    <s v="SBG - Mobile"/>
    <x v="2"/>
    <s v="Sub-task"/>
    <s v="MOBL-303"/>
    <s v="MOBL-204&gt; remove BRANDS filter in Brand page"/>
    <s v="Sub-task"/>
    <x v="0"/>
    <d v="2015-07-09T09:38:00"/>
    <x v="2"/>
    <x v="0"/>
    <x v="18"/>
    <n v="2"/>
    <m/>
    <n v="147.9"/>
    <n v="26.100000000000005"/>
  </r>
  <r>
    <s v="SBG - Mobile"/>
    <x v="2"/>
    <s v="Sub-task"/>
    <s v="MOBL-304"/>
    <s v="MOBL-204&gt; currency symbol on order tracking detail page is incorrect"/>
    <s v="Sub-task"/>
    <x v="0"/>
    <d v="2015-06-18T14:26:00"/>
    <x v="6"/>
    <x v="0"/>
    <x v="10"/>
    <n v="3"/>
    <m/>
    <n v="141.1"/>
    <n v="24.900000000000002"/>
  </r>
  <r>
    <s v="SBG - Mobile"/>
    <x v="2"/>
    <s v="Sub-task"/>
    <s v="MOBL-306"/>
    <s v="MOBL-204&gt; no tip displays when the order contains more than 1 product on order tracking detail page"/>
    <s v="Sub-task"/>
    <x v="0"/>
    <d v="2015-06-18T14:58:00"/>
    <x v="6"/>
    <x v="0"/>
    <x v="10"/>
    <n v="0.66700000000000004"/>
    <m/>
    <n v="141.1"/>
    <n v="24.900000000000002"/>
  </r>
  <r>
    <s v="SBG - Mobile"/>
    <x v="2"/>
    <s v="Sub-task"/>
    <s v="MOBL-307"/>
    <s v="MOBL-204&gt; billing address 2,shipping address2,billing post code,shipping post code cannot display on order tracking detail page"/>
    <s v="Sub-task"/>
    <x v="0"/>
    <d v="2015-06-18T15:27:00"/>
    <x v="6"/>
    <x v="0"/>
    <x v="10"/>
    <n v="0.41699999999999998"/>
    <m/>
    <n v="141.1"/>
    <n v="24.900000000000002"/>
  </r>
  <r>
    <s v="SBG - Mobile"/>
    <x v="1"/>
    <s v="Improvement"/>
    <s v="MOBL-308"/>
    <s v="System Test bug for Mobile 5.0"/>
    <s v="Improvement"/>
    <x v="0"/>
    <d v="2015-06-23T11:33:00"/>
    <x v="6"/>
    <x v="0"/>
    <x v="5"/>
    <n v="8"/>
    <m/>
    <n v="141.1"/>
    <n v="24.900000000000002"/>
  </r>
  <r>
    <s v="SBG - Mobile"/>
    <x v="1"/>
    <s v="Improvement"/>
    <s v="MOBL-308"/>
    <s v="System Test bug for Mobile 5.0"/>
    <s v="Improvement"/>
    <x v="0"/>
    <d v="2015-07-02T18:28:00"/>
    <x v="2"/>
    <x v="0"/>
    <x v="1"/>
    <n v="4"/>
    <m/>
    <n v="147.9"/>
    <n v="26.100000000000005"/>
  </r>
  <r>
    <s v="SBG - Mobile"/>
    <x v="1"/>
    <s v="Improvement"/>
    <s v="MOBL-308"/>
    <s v="System Test bug for Mobile 5.0"/>
    <s v="Improvement"/>
    <x v="0"/>
    <d v="2015-07-02T18:29:00"/>
    <x v="2"/>
    <x v="0"/>
    <x v="1"/>
    <n v="3"/>
    <m/>
    <n v="147.9"/>
    <n v="26.100000000000005"/>
  </r>
  <r>
    <s v="SBG - Mobile"/>
    <x v="1"/>
    <s v="Improvement"/>
    <s v="MOBL-308"/>
    <s v="System Test bug for Mobile 5.0"/>
    <s v="Improvement"/>
    <x v="0"/>
    <d v="2015-07-03T18:34:00"/>
    <x v="2"/>
    <x v="0"/>
    <x v="1"/>
    <n v="8"/>
    <m/>
    <n v="147.9"/>
    <n v="26.100000000000005"/>
  </r>
  <r>
    <s v="SBG - Mobile"/>
    <x v="1"/>
    <s v="Improvement"/>
    <s v="MOBL-308"/>
    <s v="System Test bug for Mobile 5.0"/>
    <s v="Improvement"/>
    <x v="0"/>
    <d v="2015-07-06T18:30:00"/>
    <x v="2"/>
    <x v="0"/>
    <x v="1"/>
    <n v="4.5"/>
    <m/>
    <n v="147.9"/>
    <n v="26.100000000000005"/>
  </r>
  <r>
    <s v="SBG - Mobile"/>
    <x v="1"/>
    <s v="Improvement"/>
    <s v="MOBL-308"/>
    <s v="System Test bug for Mobile 5.0"/>
    <s v="Improvement"/>
    <x v="0"/>
    <d v="2015-07-07T18:30:00"/>
    <x v="2"/>
    <x v="0"/>
    <x v="1"/>
    <n v="6.5"/>
    <m/>
    <n v="147.9"/>
    <n v="26.100000000000005"/>
  </r>
  <r>
    <s v="SBG - Mobile"/>
    <x v="1"/>
    <s v="Improvement"/>
    <s v="MOBL-308"/>
    <s v="System Test bug for Mobile 5.0"/>
    <s v="Improvement"/>
    <x v="0"/>
    <d v="2015-07-09T18:57:00"/>
    <x v="2"/>
    <x v="0"/>
    <x v="1"/>
    <n v="7"/>
    <m/>
    <n v="147.9"/>
    <n v="26.100000000000005"/>
  </r>
  <r>
    <s v="SBG - Mobile"/>
    <x v="2"/>
    <s v="Sub-task"/>
    <s v="MOBL-309"/>
    <s v="MOBL-204&gt; no eyewear prescription PD data on order tracking detail page"/>
    <s v="Sub-task"/>
    <x v="0"/>
    <d v="2015-06-18T17:58:00"/>
    <x v="6"/>
    <x v="0"/>
    <x v="10"/>
    <n v="1.25"/>
    <m/>
    <n v="141.1"/>
    <n v="24.900000000000002"/>
  </r>
  <r>
    <s v="SBG - Mobile"/>
    <x v="2"/>
    <s v="Sub-task"/>
    <s v="MOBL-310"/>
    <s v="MOBL-204&gt; eyeglasses LENS COLOR secion displays incorrectly on order tracking detail page"/>
    <s v="Sub-task"/>
    <x v="0"/>
    <d v="2015-06-18T17:26:00"/>
    <x v="6"/>
    <x v="0"/>
    <x v="10"/>
    <n v="1"/>
    <m/>
    <n v="141.1"/>
    <n v="24.900000000000002"/>
  </r>
  <r>
    <s v="SBG - Mobile"/>
    <x v="2"/>
    <s v="Sub-task"/>
    <s v="MOBL-310"/>
    <s v="MOBL-204&gt; eyeglasses LENS COLOR secion displays incorrectly on order tracking detail page"/>
    <s v="Sub-task"/>
    <x v="0"/>
    <d v="2015-06-18T17:58:00"/>
    <x v="6"/>
    <x v="0"/>
    <x v="10"/>
    <n v="0.33300000000000002"/>
    <m/>
    <n v="141.1"/>
    <n v="24.900000000000002"/>
  </r>
  <r>
    <s v="SBG - Mobile"/>
    <x v="2"/>
    <s v="Sub-task"/>
    <s v="MOBL-310"/>
    <s v="MOBL-204&gt; eyeglasses LENS COLOR secion displays incorrectly on order tracking detail page"/>
    <s v="Sub-task"/>
    <x v="0"/>
    <d v="2015-06-18T18:21:00"/>
    <x v="6"/>
    <x v="0"/>
    <x v="10"/>
    <n v="0.33300000000000002"/>
    <m/>
    <n v="141.1"/>
    <n v="24.900000000000002"/>
  </r>
  <r>
    <s v="SBG - Mobile"/>
    <x v="2"/>
    <s v="Sub-task"/>
    <s v="MOBL-313"/>
    <s v="MOBL-204&gt; no tip pops up when user chooses one value of Right/Left PD less than 27mm"/>
    <s v="Sub-task"/>
    <x v="0"/>
    <d v="2015-06-23T09:49:00"/>
    <x v="6"/>
    <x v="0"/>
    <x v="6"/>
    <n v="1"/>
    <m/>
    <n v="141.1"/>
    <n v="24.900000000000002"/>
  </r>
  <r>
    <s v="SBG - Mobile"/>
    <x v="2"/>
    <s v="Sub-task"/>
    <s v="MOBL-314"/>
    <s v="MOBL-204&gt; links for SUNGLASSES and EYEGLASSES on homepage are wrong"/>
    <s v="Sub-task"/>
    <x v="0"/>
    <d v="2015-06-24T12:06:00"/>
    <x v="6"/>
    <x v="0"/>
    <x v="6"/>
    <n v="1"/>
    <m/>
    <n v="141.1"/>
    <n v="24.900000000000002"/>
  </r>
  <r>
    <s v="SBG - Mobile"/>
    <x v="2"/>
    <s v="Sub-task"/>
    <s v="MOBL-315"/>
    <s v="MOBL-204&gt; trackings for one category brand on homepage are incorrect"/>
    <s v="Sub-task"/>
    <x v="0"/>
    <d v="2015-06-23T11:32:00"/>
    <x v="6"/>
    <x v="0"/>
    <x v="6"/>
    <n v="1"/>
    <m/>
    <n v="141.1"/>
    <n v="24.900000000000002"/>
  </r>
  <r>
    <s v="SBG - Mobile"/>
    <x v="2"/>
    <s v="Sub-task"/>
    <s v="MOBL-316"/>
    <s v="MOBL-204&gt; css messy when essilor item is too long on &quot;SELECT YOUR LENS THICKNESS&quot; section"/>
    <s v="Sub-task"/>
    <x v="0"/>
    <d v="2015-06-23T12:26:00"/>
    <x v="6"/>
    <x v="0"/>
    <x v="6"/>
    <n v="1"/>
    <m/>
    <n v="141.1"/>
    <n v="24.900000000000002"/>
  </r>
  <r>
    <s v="SBG - Mobile"/>
    <x v="2"/>
    <s v="Sub-task"/>
    <s v="MOBL-317"/>
    <s v="MOBL-204&gt; SPH dropdown messy on SE prescription page"/>
    <s v="Sub-task"/>
    <x v="0"/>
    <d v="2015-06-24T14:44:00"/>
    <x v="6"/>
    <x v="0"/>
    <x v="6"/>
    <n v="0.5"/>
    <m/>
    <n v="141.1"/>
    <n v="24.900000000000002"/>
  </r>
  <r>
    <s v="SBG - Mobile"/>
    <x v="2"/>
    <s v="Sub-task"/>
    <s v="MOBL-318"/>
    <s v="MOBL-204&gt; Prescription--Default SPH, CYL, PD dropdown should be the default selection on the middle of page"/>
    <s v="Sub-task"/>
    <x v="0"/>
    <d v="2015-06-19T18:52:00"/>
    <x v="6"/>
    <x v="0"/>
    <x v="6"/>
    <n v="2"/>
    <m/>
    <n v="141.1"/>
    <n v="24.900000000000002"/>
  </r>
  <r>
    <s v="SBG - Mobile"/>
    <x v="1"/>
    <s v="Sub-task"/>
    <s v="MOBL-318"/>
    <s v="MOBL-204&gt; Prescription--Default SPH, CYL, PD dropdown should be the default selection on the middle of page"/>
    <s v="Sub-task"/>
    <x v="0"/>
    <d v="2015-06-23T18:00:00"/>
    <x v="6"/>
    <x v="0"/>
    <x v="5"/>
    <n v="1"/>
    <m/>
    <n v="141.1"/>
    <n v="24.900000000000002"/>
  </r>
  <r>
    <s v="SBG - Mobile"/>
    <x v="2"/>
    <s v="Sub-task"/>
    <s v="MOBL-319"/>
    <s v="MOBL-204&gt; Prescription--After select the step 1, page should go to step 2 by default."/>
    <s v="Sub-task"/>
    <x v="0"/>
    <d v="2015-06-23T12:26:00"/>
    <x v="6"/>
    <x v="0"/>
    <x v="6"/>
    <n v="1"/>
    <m/>
    <n v="141.1"/>
    <n v="24.900000000000002"/>
  </r>
  <r>
    <s v="SBG - Mobile"/>
    <x v="2"/>
    <s v="Sub-task"/>
    <s v="MOBL-319"/>
    <s v="MOBL-204&gt; Prescription--After select the step 1, page should go to step 2 by default."/>
    <s v="Sub-task"/>
    <x v="0"/>
    <d v="2015-06-24T11:49:00"/>
    <x v="6"/>
    <x v="0"/>
    <x v="6"/>
    <n v="1"/>
    <m/>
    <n v="141.1"/>
    <n v="24.900000000000002"/>
  </r>
  <r>
    <s v="SBG - Mobile"/>
    <x v="2"/>
    <s v="Sub-task"/>
    <s v="MOBL-320"/>
    <s v="MOBL-204&gt; Shopping Cart Show wrong items number"/>
    <s v="Sub-task"/>
    <x v="0"/>
    <d v="2015-06-25T10:26:00"/>
    <x v="6"/>
    <x v="0"/>
    <x v="6"/>
    <n v="1"/>
    <m/>
    <n v="141.1"/>
    <n v="24.900000000000002"/>
  </r>
  <r>
    <s v="SBG - Mobile"/>
    <x v="2"/>
    <s v="Sub-task"/>
    <s v="MOBL-321"/>
    <s v="MOBL-204&gt; no &quot;CONTINUE BUTTON&quot; when &quot;No lens avaliable&quot; on prescription page"/>
    <s v="Sub-task"/>
    <x v="0"/>
    <d v="2015-06-23T12:59:00"/>
    <x v="6"/>
    <x v="0"/>
    <x v="6"/>
    <n v="2"/>
    <m/>
    <n v="141.1"/>
    <n v="24.900000000000002"/>
  </r>
  <r>
    <s v="SBG - Mobile"/>
    <x v="2"/>
    <s v="Sub-task"/>
    <s v="MOBL-324"/>
    <s v="MOBL-204&gt; Prescription--Price wrong on package selection page."/>
    <s v="Sub-task"/>
    <x v="0"/>
    <d v="2015-06-23T13:06:00"/>
    <x v="6"/>
    <x v="0"/>
    <x v="6"/>
    <n v="2"/>
    <m/>
    <n v="141.1"/>
    <n v="24.900000000000002"/>
  </r>
  <r>
    <s v="SBG - Mobile"/>
    <x v="2"/>
    <s v="Bug"/>
    <s v="MOBL-326"/>
    <s v="Filter - do not use decimals"/>
    <s v="Bug"/>
    <x v="1"/>
    <d v="2015-07-09T09:37:00"/>
    <x v="2"/>
    <x v="0"/>
    <x v="18"/>
    <n v="2"/>
    <m/>
    <n v="147.9"/>
    <n v="26.100000000000005"/>
  </r>
  <r>
    <s v="SBG - Mobile"/>
    <x v="2"/>
    <s v="Bug"/>
    <s v="MOBL-326"/>
    <s v="Filter - do not use decimals"/>
    <s v="Bug"/>
    <x v="1"/>
    <d v="2015-07-09T09:38:00"/>
    <x v="2"/>
    <x v="0"/>
    <x v="18"/>
    <n v="2"/>
    <m/>
    <n v="147.9"/>
    <n v="26.100000000000005"/>
  </r>
  <r>
    <s v="SBG - Mobile"/>
    <x v="2"/>
    <s v="Bug"/>
    <s v="MOBL-332"/>
    <s v="Translations not working well for GENERAL pages"/>
    <s v="Bug"/>
    <x v="1"/>
    <d v="2015-07-09T09:37:00"/>
    <x v="2"/>
    <x v="0"/>
    <x v="18"/>
    <n v="1"/>
    <m/>
    <n v="147.9"/>
    <n v="26.100000000000005"/>
  </r>
  <r>
    <s v="SBG - Mobile"/>
    <x v="2"/>
    <s v="Sub-task"/>
    <s v="MOBL-333"/>
    <s v="MOBL-204&gt; returned quantity isn't equal to the number given on grid page"/>
    <s v="Sub-task"/>
    <x v="0"/>
    <d v="2015-07-08T15:52:00"/>
    <x v="2"/>
    <x v="0"/>
    <x v="18"/>
    <n v="3"/>
    <m/>
    <n v="147.9"/>
    <n v="26.100000000000005"/>
  </r>
  <r>
    <s v="SBG - Mobile"/>
    <x v="2"/>
    <s v="Sub-task"/>
    <s v="MOBL-333"/>
    <s v="MOBL-204&gt; returned quantity isn't equal to the number given on grid page"/>
    <s v="Sub-task"/>
    <x v="0"/>
    <d v="2015-07-09T09:37:00"/>
    <x v="2"/>
    <x v="0"/>
    <x v="18"/>
    <n v="1"/>
    <m/>
    <n v="147.9"/>
    <n v="26.100000000000005"/>
  </r>
  <r>
    <s v="SBG - Mobile"/>
    <x v="2"/>
    <s v="Sub-task"/>
    <s v="MOBL-334"/>
    <s v="MOBL-204&gt; progress bar still displays on thank you page"/>
    <s v="Sub-task"/>
    <x v="0"/>
    <d v="2015-06-26T10:29:00"/>
    <x v="6"/>
    <x v="0"/>
    <x v="10"/>
    <n v="0.33300000000000002"/>
    <m/>
    <n v="141.1"/>
    <n v="24.900000000000002"/>
  </r>
  <r>
    <s v="SBG - Mobile"/>
    <x v="2"/>
    <s v="Sub-task"/>
    <s v="MOBL-334"/>
    <s v="MOBL-204&gt; progress bar still displays on thank you page"/>
    <s v="Sub-task"/>
    <x v="0"/>
    <d v="2015-06-26T10:42:00"/>
    <x v="6"/>
    <x v="0"/>
    <x v="10"/>
    <n v="0.66700000000000004"/>
    <m/>
    <n v="141.1"/>
    <n v="24.900000000000002"/>
  </r>
  <r>
    <s v="SBG - Mobile"/>
    <x v="2"/>
    <s v="Sub-task"/>
    <s v="MOBL-337"/>
    <s v="MOBL-204&gt; Cart Page--The number of shopping cart items is incorrect."/>
    <s v="Sub-task"/>
    <x v="0"/>
    <d v="2015-06-24T14:40:00"/>
    <x v="6"/>
    <x v="0"/>
    <x v="6"/>
    <n v="1"/>
    <m/>
    <n v="141.1"/>
    <n v="24.900000000000002"/>
  </r>
  <r>
    <s v="SBG - Mobile"/>
    <x v="2"/>
    <s v="Sub-task"/>
    <s v="MOBL-338"/>
    <s v="MOBL-204&gt; prescription--Not whole line is clickable for Both PD"/>
    <s v="Sub-task"/>
    <x v="0"/>
    <d v="2015-06-24T11:52:00"/>
    <x v="6"/>
    <x v="0"/>
    <x v="6"/>
    <n v="0.5"/>
    <m/>
    <n v="141.1"/>
    <n v="24.900000000000002"/>
  </r>
  <r>
    <s v="SBG - Mobile"/>
    <x v="0"/>
    <s v="Sub-task"/>
    <s v="MOBL-339"/>
    <s v="MOBL-204&gt; Cart Page-- Left PD and right PD css issue"/>
    <s v="Sub-task"/>
    <x v="0"/>
    <d v="2015-06-24T12:32:00"/>
    <x v="6"/>
    <x v="0"/>
    <x v="0"/>
    <n v="1"/>
    <m/>
    <n v="83"/>
    <n v="83"/>
  </r>
  <r>
    <s v="SBG - Mobile"/>
    <x v="2"/>
    <s v="Sub-task"/>
    <s v="MOBL-340"/>
    <s v="MOBL-204&gt; Home page-&gt; Top Seller--No product name and price is displayed."/>
    <s v="Sub-task"/>
    <x v="0"/>
    <d v="2015-06-26T17:14:00"/>
    <x v="6"/>
    <x v="0"/>
    <x v="6"/>
    <n v="1"/>
    <m/>
    <n v="141.1"/>
    <n v="24.900000000000002"/>
  </r>
  <r>
    <s v="SBG - Mobile"/>
    <x v="0"/>
    <s v="Sub-task"/>
    <s v="MOBL-340"/>
    <s v="MOBL-204&gt; Home page-&gt; Top Seller--No product name and price is displayed."/>
    <s v="Sub-task"/>
    <x v="0"/>
    <d v="2015-06-26T17:14:00"/>
    <x v="6"/>
    <x v="0"/>
    <x v="7"/>
    <n v="1"/>
    <m/>
    <n v="83"/>
    <n v="83"/>
  </r>
  <r>
    <s v="SBG - Mobile"/>
    <x v="2"/>
    <s v="Sub-task"/>
    <s v="MOBL-342"/>
    <s v="MOBL-204&gt; Contact Lences--Sort and Filter function fail."/>
    <s v="Sub-task"/>
    <x v="0"/>
    <d v="2015-07-09T09:37:00"/>
    <x v="2"/>
    <x v="0"/>
    <x v="18"/>
    <n v="1"/>
    <m/>
    <n v="147.9"/>
    <n v="26.100000000000005"/>
  </r>
  <r>
    <s v="SBG - Mobile"/>
    <x v="2"/>
    <s v="Sub-task"/>
    <s v="MOBL-345"/>
    <s v="MOBL-204&gt; Checkout page--Copyright on GC checkout page is incorrect"/>
    <s v="Sub-task"/>
    <x v="0"/>
    <d v="2015-07-06T09:53:00"/>
    <x v="2"/>
    <x v="0"/>
    <x v="10"/>
    <n v="2"/>
    <m/>
    <n v="147.9"/>
    <n v="26.100000000000005"/>
  </r>
  <r>
    <s v="SBG - Mobile"/>
    <x v="2"/>
    <s v="Sub-task"/>
    <s v="MOBL-345"/>
    <s v="MOBL-204&gt; Checkout page--Copyright on GC checkout page is incorrect"/>
    <s v="Sub-task"/>
    <x v="0"/>
    <d v="2015-07-08T13:09:00"/>
    <x v="2"/>
    <x v="0"/>
    <x v="10"/>
    <n v="5"/>
    <m/>
    <n v="147.9"/>
    <n v="26.100000000000005"/>
  </r>
  <r>
    <s v="SBG - Mobile"/>
    <x v="2"/>
    <s v="Sub-task"/>
    <s v="MOBL-347"/>
    <s v="MOBL-204&gt; Product page--The thumbnails of more color are not on same line, please align on same line"/>
    <s v="Sub-task"/>
    <x v="0"/>
    <d v="2015-06-24T14:52:00"/>
    <x v="6"/>
    <x v="0"/>
    <x v="6"/>
    <n v="0.5"/>
    <m/>
    <n v="141.1"/>
    <n v="24.900000000000002"/>
  </r>
  <r>
    <s v="SBG - Mobile"/>
    <x v="0"/>
    <s v="Sub-task"/>
    <s v="MOBL-347"/>
    <s v="MOBL-204&gt; Product page--The thumbnails of more color are not on same line, please align on same line"/>
    <s v="Sub-task"/>
    <x v="0"/>
    <d v="2015-06-24T15:56:00"/>
    <x v="6"/>
    <x v="0"/>
    <x v="7"/>
    <n v="0.5"/>
    <m/>
    <n v="83"/>
    <n v="83"/>
  </r>
  <r>
    <s v="SBG - Mobile"/>
    <x v="2"/>
    <s v="Sub-task"/>
    <s v="MOBL-348"/>
    <s v="MOBL-204&gt; Language--not finished"/>
    <s v="Sub-task"/>
    <x v="0"/>
    <d v="2015-06-24T11:22:00"/>
    <x v="6"/>
    <x v="0"/>
    <x v="6"/>
    <n v="2"/>
    <m/>
    <n v="141.1"/>
    <n v="24.900000000000002"/>
  </r>
  <r>
    <s v="SBG - Mobile"/>
    <x v="1"/>
    <s v="Sub-task"/>
    <s v="MOBL-348"/>
    <s v="MOBL-204&gt; Language--not finished"/>
    <s v="Sub-task"/>
    <x v="0"/>
    <d v="2015-07-27T18:35:00"/>
    <x v="2"/>
    <x v="0"/>
    <x v="8"/>
    <n v="0.5"/>
    <m/>
    <n v="147.9"/>
    <n v="26.100000000000005"/>
  </r>
  <r>
    <s v="SBG - Mobile"/>
    <x v="2"/>
    <s v="Sub-task"/>
    <s v="MOBL-351"/>
    <s v="MOBL-204&gt; &quot;ADD BACK TO CART&quot; still shows when product is discontinued on order detail page"/>
    <s v="Sub-task"/>
    <x v="0"/>
    <d v="2015-06-25T10:54:00"/>
    <x v="6"/>
    <x v="0"/>
    <x v="12"/>
    <n v="4"/>
    <m/>
    <n v="141.1"/>
    <n v="24.900000000000002"/>
  </r>
  <r>
    <s v="SBG - Mobile"/>
    <x v="2"/>
    <s v="Sub-task"/>
    <s v="MOBL-351"/>
    <s v="MOBL-204&gt; &quot;ADD BACK TO CART&quot; still shows when product is discontinued on order detail page"/>
    <s v="Sub-task"/>
    <x v="0"/>
    <d v="2015-06-26T10:54:00"/>
    <x v="6"/>
    <x v="0"/>
    <x v="12"/>
    <n v="3"/>
    <m/>
    <n v="141.1"/>
    <n v="24.900000000000002"/>
  </r>
  <r>
    <s v="SBG - Mobile"/>
    <x v="2"/>
    <s v="Sub-task"/>
    <s v="MOBL-352"/>
    <s v="MOBL-204&gt; contact lens product pic and prescription info cannot display on order detail page"/>
    <s v="Sub-task"/>
    <x v="0"/>
    <d v="2015-06-24T13:16:00"/>
    <x v="6"/>
    <x v="0"/>
    <x v="12"/>
    <n v="4"/>
    <m/>
    <n v="141.1"/>
    <n v="24.900000000000002"/>
  </r>
  <r>
    <s v="SBG - Mobile"/>
    <x v="2"/>
    <s v="Sub-task"/>
    <s v="MOBL-353"/>
    <s v="MOBL-308&gt; On HP, after click the brand, doesn‘t open category, such as Sunglasses or Eyeglasses to choose"/>
    <s v="Sub-task"/>
    <x v="0"/>
    <d v="2015-06-25T15:41:00"/>
    <x v="6"/>
    <x v="0"/>
    <x v="6"/>
    <n v="1"/>
    <m/>
    <n v="141.1"/>
    <n v="24.900000000000002"/>
  </r>
  <r>
    <s v="SBG - Mobile"/>
    <x v="0"/>
    <s v="Sub-task"/>
    <s v="MOBL-356"/>
    <s v="MOBL-204&gt; Search--Filter on search page do hide after user select a filter"/>
    <s v="Sub-task"/>
    <x v="0"/>
    <d v="2015-07-08T14:27:00"/>
    <x v="2"/>
    <x v="0"/>
    <x v="19"/>
    <n v="2"/>
    <m/>
    <n v="87"/>
    <n v="87"/>
  </r>
  <r>
    <s v="SBG - Mobile"/>
    <x v="0"/>
    <s v="Sub-task"/>
    <s v="MOBL-356"/>
    <s v="MOBL-204&gt; Search--Filter on search page do hide after user select a filter"/>
    <s v="Sub-task"/>
    <x v="0"/>
    <d v="2015-07-14T10:14:00"/>
    <x v="2"/>
    <x v="0"/>
    <x v="19"/>
    <n v="1"/>
    <m/>
    <n v="87"/>
    <n v="87"/>
  </r>
  <r>
    <s v="SBG - Mobile"/>
    <x v="0"/>
    <s v="Sub-task"/>
    <s v="MOBL-356"/>
    <s v="MOBL-204&gt; Search--Filter on search page do hide after user select a filter"/>
    <s v="Sub-task"/>
    <x v="0"/>
    <d v="2015-07-20T08:57:00"/>
    <x v="2"/>
    <x v="0"/>
    <x v="19"/>
    <n v="8"/>
    <m/>
    <n v="87"/>
    <n v="87"/>
  </r>
  <r>
    <s v="SBG - Mobile"/>
    <x v="0"/>
    <s v="Sub-task"/>
    <s v="MOBL-356"/>
    <s v="MOBL-204&gt; Search--Filter on search page do hide after user select a filter"/>
    <s v="Sub-task"/>
    <x v="0"/>
    <d v="2015-07-21T09:03:00"/>
    <x v="2"/>
    <x v="0"/>
    <x v="19"/>
    <n v="8"/>
    <m/>
    <n v="87"/>
    <n v="87"/>
  </r>
  <r>
    <s v="SBG - Mobile"/>
    <x v="0"/>
    <s v="Sub-task"/>
    <s v="MOBL-356"/>
    <s v="MOBL-204&gt; Search--Filter on search page do hide after user select a filter"/>
    <s v="Sub-task"/>
    <x v="0"/>
    <d v="2015-07-22T09:03:00"/>
    <x v="2"/>
    <x v="0"/>
    <x v="19"/>
    <n v="8"/>
    <m/>
    <n v="87"/>
    <n v="87"/>
  </r>
  <r>
    <s v="SBG - Mobile"/>
    <x v="0"/>
    <s v="Sub-task"/>
    <s v="MOBL-357"/>
    <s v="MOBL-204&gt; Search--The word of Shape is under the shape picture"/>
    <s v="Sub-task"/>
    <x v="0"/>
    <d v="2015-07-13T10:04:00"/>
    <x v="2"/>
    <x v="0"/>
    <x v="19"/>
    <n v="2"/>
    <m/>
    <n v="87"/>
    <n v="87"/>
  </r>
  <r>
    <s v="SBG - Mobile"/>
    <x v="0"/>
    <s v="Sub-task"/>
    <s v="MOBL-357"/>
    <s v="MOBL-204&gt; Search--The word of Shape is under the shape picture"/>
    <s v="Sub-task"/>
    <x v="0"/>
    <d v="2015-07-14T10:14:00"/>
    <x v="2"/>
    <x v="0"/>
    <x v="19"/>
    <n v="0.5"/>
    <m/>
    <n v="87"/>
    <n v="87"/>
  </r>
  <r>
    <s v="SBG - Mobile"/>
    <x v="0"/>
    <s v="Sub-task"/>
    <s v="MOBL-357"/>
    <s v="MOBL-204&gt; Search--The word of Shape is under the shape picture"/>
    <s v="Sub-task"/>
    <x v="0"/>
    <d v="2015-07-16T08:58:00"/>
    <x v="2"/>
    <x v="0"/>
    <x v="19"/>
    <n v="8"/>
    <m/>
    <n v="87"/>
    <n v="87"/>
  </r>
  <r>
    <s v="SBG - Mobile"/>
    <x v="0"/>
    <s v="Sub-task"/>
    <s v="MOBL-357"/>
    <s v="MOBL-204&gt; Search--The word of Shape is under the shape picture"/>
    <s v="Sub-task"/>
    <x v="0"/>
    <d v="2015-07-17T09:03:00"/>
    <x v="2"/>
    <x v="0"/>
    <x v="19"/>
    <n v="8"/>
    <m/>
    <n v="87"/>
    <n v="87"/>
  </r>
  <r>
    <s v="SBG - Mobile"/>
    <x v="2"/>
    <s v="Sub-task"/>
    <s v="MOBL-358"/>
    <s v="MOBL-204&gt; Search--Product info is not on same line."/>
    <s v="Sub-task"/>
    <x v="0"/>
    <d v="2015-06-18T18:28:00"/>
    <x v="6"/>
    <x v="0"/>
    <x v="2"/>
    <n v="4"/>
    <m/>
    <n v="141.1"/>
    <n v="24.900000000000002"/>
  </r>
  <r>
    <s v="SBG - Mobile"/>
    <x v="2"/>
    <s v="Sub-task"/>
    <s v="MOBL-360"/>
    <s v="MOBL-204&gt; dropdown state cannot be stored when user add/edit address on account dashboard"/>
    <s v="Sub-task"/>
    <x v="0"/>
    <d v="2015-06-26T11:59:00"/>
    <x v="6"/>
    <x v="0"/>
    <x v="12"/>
    <n v="1"/>
    <m/>
    <n v="141.1"/>
    <n v="24.900000000000002"/>
  </r>
  <r>
    <s v="SBG - Mobile"/>
    <x v="2"/>
    <s v="Sub-task"/>
    <s v="MOBL-363"/>
    <s v="MOBL-308&gt; CART PAGE-the cart isn't empty when quantity is 0"/>
    <s v="Sub-task"/>
    <x v="0"/>
    <d v="2015-07-01T18:40:00"/>
    <x v="2"/>
    <x v="0"/>
    <x v="6"/>
    <n v="1"/>
    <m/>
    <n v="147.9"/>
    <n v="26.100000000000005"/>
  </r>
  <r>
    <s v="SBG - Mobile"/>
    <x v="2"/>
    <s v="Sub-task"/>
    <s v="MOBL-364"/>
    <s v="MOBL-308&gt; Prescription--Color matching price is not add into total price"/>
    <s v="Sub-task"/>
    <x v="0"/>
    <d v="2015-06-25T16:24:00"/>
    <x v="6"/>
    <x v="0"/>
    <x v="6"/>
    <n v="1"/>
    <m/>
    <n v="141.1"/>
    <n v="24.900000000000002"/>
  </r>
  <r>
    <s v="SBG - Mobile"/>
    <x v="2"/>
    <s v="Sub-task"/>
    <s v="MOBL-365"/>
    <s v="MOBL-308&gt; Search--search result page css issue"/>
    <s v="Sub-task"/>
    <x v="0"/>
    <d v="2015-06-25T18:14:00"/>
    <x v="6"/>
    <x v="0"/>
    <x v="10"/>
    <n v="0.66700000000000004"/>
    <m/>
    <n v="141.1"/>
    <n v="24.900000000000002"/>
  </r>
  <r>
    <s v="SBG - Mobile"/>
    <x v="2"/>
    <s v="Sub-task"/>
    <s v="MOBL-366"/>
    <s v="MOBL-308&gt; Header--&quot;100-Days returns-Free lens kit&quot; changed to &quot;100-Days returns-Free Shipping&quot;"/>
    <s v="Sub-task"/>
    <x v="0"/>
    <d v="2015-06-25T15:40:00"/>
    <x v="6"/>
    <x v="0"/>
    <x v="6"/>
    <n v="1"/>
    <m/>
    <n v="141.1"/>
    <n v="24.900000000000002"/>
  </r>
  <r>
    <s v="SBG - Mobile"/>
    <x v="2"/>
    <s v="Sub-task"/>
    <s v="MOBL-369"/>
    <s v="MOBL-308&gt; Contact Lenses--Drop down list issue"/>
    <s v="Sub-task"/>
    <x v="0"/>
    <d v="2015-06-25T13:15:00"/>
    <x v="6"/>
    <x v="0"/>
    <x v="12"/>
    <n v="2"/>
    <m/>
    <n v="141.1"/>
    <n v="24.900000000000002"/>
  </r>
  <r>
    <s v="SBG - Mobile"/>
    <x v="2"/>
    <s v="Sub-task"/>
    <s v="MOBL-371"/>
    <s v="MOBL-308&gt; Footer is still visible on checkout page"/>
    <s v="Sub-task"/>
    <x v="0"/>
    <d v="2015-06-25T15:36:00"/>
    <x v="6"/>
    <x v="0"/>
    <x v="6"/>
    <n v="1"/>
    <m/>
    <n v="141.1"/>
    <n v="24.900000000000002"/>
  </r>
  <r>
    <s v="SBG - Mobile"/>
    <x v="2"/>
    <s v="Sub-task"/>
    <s v="MOBL-373"/>
    <s v="MOBL-308&gt; Contact Lenses--After enter all prescription infos, the &quot;Enter Your Prescription&quot; button does not changed to &quot;Buy Now&quot; button"/>
    <s v="Sub-task"/>
    <x v="0"/>
    <d v="2015-06-25T13:16:00"/>
    <x v="6"/>
    <x v="0"/>
    <x v="12"/>
    <n v="1"/>
    <m/>
    <n v="141.1"/>
    <n v="24.900000000000002"/>
  </r>
  <r>
    <s v="SBG - Mobile"/>
    <x v="2"/>
    <s v="Sub-task"/>
    <s v="MOBL-373"/>
    <s v="MOBL-308&gt; Contact Lenses--After enter all prescription infos, the &quot;Enter Your Prescription&quot; button does not changed to &quot;Buy Now&quot; button"/>
    <s v="Sub-task"/>
    <x v="0"/>
    <d v="2015-06-25T16:54:00"/>
    <x v="6"/>
    <x v="0"/>
    <x v="12"/>
    <n v="2"/>
    <m/>
    <n v="141.1"/>
    <n v="24.900000000000002"/>
  </r>
  <r>
    <s v="SBG - Mobile"/>
    <x v="2"/>
    <s v="Sub-task"/>
    <s v="MOBL-374"/>
    <s v="MOBL-308&gt; Search -- Product picture cannot be loaded"/>
    <s v="Sub-task"/>
    <x v="0"/>
    <d v="2015-07-09T09:35:00"/>
    <x v="2"/>
    <x v="0"/>
    <x v="18"/>
    <n v="1"/>
    <m/>
    <n v="147.9"/>
    <n v="26.100000000000005"/>
  </r>
  <r>
    <s v="SBG - Mobile"/>
    <x v="2"/>
    <s v="Sub-task"/>
    <s v="MOBL-375"/>
    <s v="MOBL-308&gt; Prescription--Tint fee is not shown on prescription price calculate page"/>
    <s v="Sub-task"/>
    <x v="0"/>
    <d v="2015-06-25T16:27:00"/>
    <x v="6"/>
    <x v="0"/>
    <x v="6"/>
    <n v="1"/>
    <m/>
    <n v="141.1"/>
    <n v="24.900000000000002"/>
  </r>
  <r>
    <s v="SBG - Mobile"/>
    <x v="2"/>
    <s v="Sub-task"/>
    <s v="MOBL-376"/>
    <s v="MOBL-308&gt; CART PAGE-missing shipping insurance function"/>
    <s v="Sub-task"/>
    <x v="0"/>
    <d v="2015-06-26T12:48:00"/>
    <x v="6"/>
    <x v="0"/>
    <x v="10"/>
    <n v="5"/>
    <m/>
    <n v="141.1"/>
    <n v="24.900000000000002"/>
  </r>
  <r>
    <s v="SBG - Mobile"/>
    <x v="2"/>
    <s v="Sub-task"/>
    <s v="MOBL-376"/>
    <s v="MOBL-308&gt; CART PAGE-missing shipping insurance function"/>
    <s v="Sub-task"/>
    <x v="0"/>
    <d v="2015-07-20T10:02:00"/>
    <x v="2"/>
    <x v="0"/>
    <x v="10"/>
    <n v="8"/>
    <m/>
    <n v="147.9"/>
    <n v="26.100000000000005"/>
  </r>
  <r>
    <s v="SBG - Mobile"/>
    <x v="2"/>
    <s v="Sub-task"/>
    <s v="MOBL-377"/>
    <s v="MOBL-308&gt; CHECKOUT PAGE-missing sign in function"/>
    <s v="Sub-task"/>
    <x v="0"/>
    <d v="2015-06-27T15:07:00"/>
    <x v="6"/>
    <x v="0"/>
    <x v="6"/>
    <n v="2"/>
    <m/>
    <n v="141.1"/>
    <n v="24.900000000000002"/>
  </r>
  <r>
    <s v="SBG - Mobile"/>
    <x v="2"/>
    <s v="Sub-task"/>
    <s v="MOBL-380"/>
    <s v="MOBL-308&gt; CHECKOUT PAGE-500 error when user logins before this page"/>
    <s v="Sub-task"/>
    <x v="0"/>
    <d v="2015-06-19T18:28:00"/>
    <x v="6"/>
    <x v="0"/>
    <x v="2"/>
    <n v="8"/>
    <m/>
    <n v="141.1"/>
    <n v="24.900000000000002"/>
  </r>
  <r>
    <s v="SBG - Mobile"/>
    <x v="0"/>
    <s v="Sub-task"/>
    <s v="MOBL-381"/>
    <s v="MOBL-308&gt; CART PAGE-paypal logo cannot display"/>
    <s v="Sub-task"/>
    <x v="0"/>
    <d v="2015-06-26T11:26:00"/>
    <x v="6"/>
    <x v="0"/>
    <x v="7"/>
    <n v="0.5"/>
    <m/>
    <n v="83"/>
    <n v="83"/>
  </r>
  <r>
    <s v="SBG - Mobile"/>
    <x v="2"/>
    <s v="Sub-task"/>
    <s v="MOBL-382"/>
    <s v="MOBL-308&gt; ALL PAGES-price is integer"/>
    <s v="Sub-task"/>
    <x v="0"/>
    <d v="2015-07-09T09:35:00"/>
    <x v="2"/>
    <x v="0"/>
    <x v="18"/>
    <n v="1"/>
    <m/>
    <n v="147.9"/>
    <n v="26.100000000000005"/>
  </r>
  <r>
    <s v="SBG - Mobile"/>
    <x v="2"/>
    <s v="Sub-task"/>
    <s v="MOBL-385"/>
    <s v="MOBL-308&gt; clicks anywhere outside of dropdown, dropdown does not get closed."/>
    <s v="Sub-task"/>
    <x v="0"/>
    <d v="2015-07-09T09:34:00"/>
    <x v="2"/>
    <x v="0"/>
    <x v="18"/>
    <n v="3"/>
    <m/>
    <n v="147.9"/>
    <n v="26.100000000000005"/>
  </r>
  <r>
    <s v="SBG - Mobile"/>
    <x v="2"/>
    <s v="Sub-task"/>
    <s v="MOBL-388"/>
    <s v="MOBL-308&gt; CHECKOUT PAGE-price issue"/>
    <s v="Sub-task"/>
    <x v="0"/>
    <d v="2015-07-22T18:27:00"/>
    <x v="2"/>
    <x v="0"/>
    <x v="2"/>
    <n v="8"/>
    <m/>
    <n v="147.9"/>
    <n v="26.100000000000005"/>
  </r>
  <r>
    <s v="SBG - Mobile"/>
    <x v="2"/>
    <s v="Sub-task"/>
    <s v="MOBL-389"/>
    <s v="MOBL-308&gt; CHECKOUT PAGE-order details missing edit button"/>
    <s v="Sub-task"/>
    <x v="0"/>
    <d v="2015-06-25T15:40:00"/>
    <x v="6"/>
    <x v="0"/>
    <x v="10"/>
    <n v="2"/>
    <m/>
    <n v="141.1"/>
    <n v="24.900000000000002"/>
  </r>
  <r>
    <s v="SBG - Mobile"/>
    <x v="2"/>
    <s v="Sub-task"/>
    <s v="MOBL-390"/>
    <s v="MOBL-308&gt; CART PAGE-subtotal and shipping fee displays weirdly when tapping &quot;+/-&quot;"/>
    <s v="Sub-task"/>
    <x v="0"/>
    <d v="2015-06-23T18:26:00"/>
    <x v="6"/>
    <x v="0"/>
    <x v="2"/>
    <n v="8"/>
    <m/>
    <n v="141.1"/>
    <n v="24.900000000000002"/>
  </r>
  <r>
    <s v="SBG - Mobile"/>
    <x v="2"/>
    <s v="Sub-task"/>
    <s v="MOBL-390"/>
    <s v="MOBL-308&gt; CART PAGE-subtotal and shipping fee displays weirdly when tapping &quot;+/-&quot;"/>
    <s v="Sub-task"/>
    <x v="0"/>
    <d v="2015-06-24T18:26:00"/>
    <x v="6"/>
    <x v="0"/>
    <x v="2"/>
    <n v="4"/>
    <m/>
    <n v="141.1"/>
    <n v="24.900000000000002"/>
  </r>
  <r>
    <s v="SBG - Mobile"/>
    <x v="2"/>
    <s v="Sub-task"/>
    <s v="MOBL-391"/>
    <s v="MOBL-308&gt; CHECKOUT PAGE-remove &quot;BANK TRANSFER&quot; in &quot;CHOOSE YOUR CARD&quot;"/>
    <s v="Sub-task"/>
    <x v="0"/>
    <d v="2015-06-24T18:26:00"/>
    <x v="6"/>
    <x v="0"/>
    <x v="2"/>
    <n v="4"/>
    <m/>
    <n v="141.1"/>
    <n v="24.900000000000002"/>
  </r>
  <r>
    <s v="SBG - Mobile"/>
    <x v="2"/>
    <s v="Sub-task"/>
    <s v="MOBL-392"/>
    <s v="MOBL-308&gt; Prescription--Polization is not removed from price calculate block when No polization tint was available."/>
    <s v="Sub-task"/>
    <x v="0"/>
    <d v="2015-06-25T16:20:00"/>
    <x v="6"/>
    <x v="0"/>
    <x v="6"/>
    <n v="2"/>
    <m/>
    <n v="141.1"/>
    <n v="24.900000000000002"/>
  </r>
  <r>
    <s v="SBG - Mobile"/>
    <x v="2"/>
    <s v="Sub-task"/>
    <s v="MOBL-393"/>
    <s v="MOBL-308&gt; CHECKOUT PAGE-missing tracking code on payment methods icons"/>
    <s v="Sub-task"/>
    <x v="0"/>
    <d v="2015-06-25T18:25:00"/>
    <x v="6"/>
    <x v="0"/>
    <x v="2"/>
    <n v="4"/>
    <m/>
    <n v="141.1"/>
    <n v="24.900000000000002"/>
  </r>
  <r>
    <s v="SBG - Mobile"/>
    <x v="2"/>
    <s v="Sub-task"/>
    <s v="MOBL-394"/>
    <s v="MOBL-308&gt; CHECKOUT PAGE-missing spinner icon"/>
    <s v="Sub-task"/>
    <x v="0"/>
    <d v="2015-06-25T18:24:00"/>
    <x v="6"/>
    <x v="0"/>
    <x v="2"/>
    <n v="4"/>
    <m/>
    <n v="141.1"/>
    <n v="24.900000000000002"/>
  </r>
  <r>
    <s v="SBG - Mobile"/>
    <x v="0"/>
    <s v="Sub-task"/>
    <s v="MOBL-395"/>
    <s v="MOBL-308&gt; SkiGoogler product page--Some css issue"/>
    <s v="Sub-task"/>
    <x v="0"/>
    <d v="2015-06-26T10:44:00"/>
    <x v="6"/>
    <x v="0"/>
    <x v="19"/>
    <n v="0.16700000000000001"/>
    <m/>
    <n v="83"/>
    <n v="83"/>
  </r>
  <r>
    <s v="SBG - Mobile"/>
    <x v="2"/>
    <s v="Sub-task"/>
    <s v="MOBL-398"/>
    <s v="MOBL-308&gt; PAYMENT FAIL-this page cannot display"/>
    <s v="Sub-task"/>
    <x v="0"/>
    <d v="2015-07-09T09:33:00"/>
    <x v="2"/>
    <x v="0"/>
    <x v="18"/>
    <n v="2"/>
    <m/>
    <n v="147.9"/>
    <n v="26.100000000000005"/>
  </r>
  <r>
    <s v="SBG - Mobile"/>
    <x v="2"/>
    <s v="Sub-task"/>
    <s v="MOBL-400"/>
    <s v="MOBL-308&gt; CACHE-the server will hang when web server starts up without cache files"/>
    <s v="Sub-task"/>
    <x v="0"/>
    <d v="2015-06-26T18:23:00"/>
    <x v="6"/>
    <x v="0"/>
    <x v="2"/>
    <n v="8"/>
    <m/>
    <n v="141.1"/>
    <n v="24.900000000000002"/>
  </r>
  <r>
    <s v="SBG - Mobile"/>
    <x v="0"/>
    <s v="Sub-task"/>
    <s v="MOBL-401"/>
    <s v="MOBL-308&gt; Shapes images upload to CDN"/>
    <s v="Sub-task"/>
    <x v="0"/>
    <d v="2015-06-26T11:44:00"/>
    <x v="6"/>
    <x v="0"/>
    <x v="7"/>
    <n v="0.5"/>
    <m/>
    <n v="83"/>
    <n v="83"/>
  </r>
  <r>
    <s v="SBG - Mobile"/>
    <x v="0"/>
    <s v="Sub-task"/>
    <s v="MOBL-403"/>
    <s v="MOBL-204&gt; Redo the logos"/>
    <s v="Sub-task"/>
    <x v="0"/>
    <d v="2015-06-26T12:36:00"/>
    <x v="6"/>
    <x v="0"/>
    <x v="0"/>
    <n v="1"/>
    <m/>
    <n v="83"/>
    <n v="83"/>
  </r>
  <r>
    <s v="SBG - Mobile"/>
    <x v="2"/>
    <s v="Sub-task"/>
    <s v="MOBL-404"/>
    <s v="MOBL-308&gt; Top seller--Load 20 More button disappear after load 40 products."/>
    <s v="Sub-task"/>
    <x v="0"/>
    <d v="2015-07-09T09:32:00"/>
    <x v="2"/>
    <x v="0"/>
    <x v="18"/>
    <n v="1"/>
    <m/>
    <n v="147.9"/>
    <n v="26.100000000000005"/>
  </r>
  <r>
    <s v="SBG - Mobile"/>
    <x v="2"/>
    <s v="Sub-task"/>
    <s v="MOBL-405"/>
    <s v="MOBL-308&gt; THANK YOU PAGE-displaying issues"/>
    <s v="Sub-task"/>
    <x v="0"/>
    <d v="2015-06-27T16:48:00"/>
    <x v="6"/>
    <x v="0"/>
    <x v="6"/>
    <n v="1"/>
    <m/>
    <n v="141.1"/>
    <n v="24.900000000000002"/>
  </r>
  <r>
    <s v="SBG - Mobile"/>
    <x v="2"/>
    <s v="Sub-task"/>
    <s v="MOBL-406"/>
    <s v="MOBL-308&gt; Thank you page-- Add one blank after puncutation."/>
    <s v="Sub-task"/>
    <x v="0"/>
    <d v="2015-06-27T16:53:00"/>
    <x v="6"/>
    <x v="0"/>
    <x v="6"/>
    <n v="1"/>
    <m/>
    <n v="141.1"/>
    <n v="24.900000000000002"/>
  </r>
  <r>
    <s v="SBG - Mobile"/>
    <x v="2"/>
    <s v="Sub-task"/>
    <s v="MOBL-410"/>
    <s v="MOBL-308&gt; Cart page--Need to show the insurance fee for customer"/>
    <s v="Sub-task"/>
    <x v="0"/>
    <d v="2015-06-27T13:00:00"/>
    <x v="6"/>
    <x v="0"/>
    <x v="10"/>
    <n v="4"/>
    <m/>
    <n v="141.1"/>
    <n v="24.900000000000002"/>
  </r>
  <r>
    <s v="SBG - Mobile"/>
    <x v="2"/>
    <s v="Sub-task"/>
    <s v="MOBL-412"/>
    <s v="MOBL-308&gt; My account--Last order is not the latest order"/>
    <s v="Sub-task"/>
    <x v="0"/>
    <d v="2015-06-30T18:37:00"/>
    <x v="6"/>
    <x v="0"/>
    <x v="12"/>
    <n v="2"/>
    <m/>
    <n v="141.1"/>
    <n v="24.900000000000002"/>
  </r>
  <r>
    <s v="SBG - Mobile"/>
    <x v="0"/>
    <s v="Sub-task"/>
    <s v="MOBL-413"/>
    <s v="MOBL-308&gt; high light part function is missing"/>
    <s v="Sub-task"/>
    <x v="0"/>
    <d v="2015-06-30T17:54:00"/>
    <x v="6"/>
    <x v="0"/>
    <x v="0"/>
    <n v="0.5"/>
    <m/>
    <n v="83"/>
    <n v="83"/>
  </r>
  <r>
    <s v="SBG - Mobile"/>
    <x v="2"/>
    <s v="Sub-task"/>
    <s v="MOBL-413"/>
    <s v="MOBL-308&gt; high light part function is missing"/>
    <s v="Sub-task"/>
    <x v="0"/>
    <d v="2015-06-30T18:06:00"/>
    <x v="6"/>
    <x v="0"/>
    <x v="12"/>
    <n v="2"/>
    <m/>
    <n v="141.1"/>
    <n v="24.900000000000002"/>
  </r>
  <r>
    <s v="SBG - Mobile"/>
    <x v="2"/>
    <s v="Sub-task"/>
    <s v="MOBL-416"/>
    <s v="MOBL-308&gt; price in empty cart page is really confusing"/>
    <s v="Sub-task"/>
    <x v="0"/>
    <d v="2015-06-29T18:22:00"/>
    <x v="6"/>
    <x v="0"/>
    <x v="2"/>
    <n v="8"/>
    <m/>
    <n v="141.1"/>
    <n v="24.900000000000002"/>
  </r>
  <r>
    <s v="SBG - Mobile"/>
    <x v="2"/>
    <s v="Sub-task"/>
    <s v="MOBL-417"/>
    <s v="MOBL-308&gt; url incorrect if add many filters"/>
    <s v="Sub-task"/>
    <x v="0"/>
    <d v="2015-07-09T09:32:00"/>
    <x v="2"/>
    <x v="0"/>
    <x v="18"/>
    <n v="2"/>
    <m/>
    <n v="147.9"/>
    <n v="26.100000000000005"/>
  </r>
  <r>
    <s v="SBG - Mobile"/>
    <x v="2"/>
    <s v="Sub-task"/>
    <s v="MOBL-422"/>
    <s v="MOBL-308&gt; Checkout page--Do no show saved card."/>
    <s v="Sub-task"/>
    <x v="0"/>
    <d v="2015-06-27T09:41:00"/>
    <x v="6"/>
    <x v="0"/>
    <x v="10"/>
    <n v="4"/>
    <m/>
    <n v="141.1"/>
    <n v="24.900000000000002"/>
  </r>
  <r>
    <s v="SBG - Mobile"/>
    <x v="2"/>
    <s v="Sub-task"/>
    <s v="MOBL-425"/>
    <s v="MOBL-308&gt; THANK YOU PAGE-new user still sees extra message"/>
    <s v="Sub-task"/>
    <x v="0"/>
    <d v="2015-06-29T11:03:00"/>
    <x v="6"/>
    <x v="0"/>
    <x v="6"/>
    <n v="1"/>
    <m/>
    <n v="141.1"/>
    <n v="24.900000000000002"/>
  </r>
  <r>
    <s v="SBG - Mobile"/>
    <x v="2"/>
    <s v="Sub-task"/>
    <s v="MOBL-426"/>
    <s v="MOBL-308&gt; Home page--Part of image is covered by white layer"/>
    <s v="Sub-task"/>
    <x v="0"/>
    <d v="2015-07-07T10:52:00"/>
    <x v="2"/>
    <x v="0"/>
    <x v="18"/>
    <n v="8"/>
    <m/>
    <n v="147.9"/>
    <n v="26.100000000000005"/>
  </r>
  <r>
    <s v="SBG - Mobile"/>
    <x v="2"/>
    <s v="Sub-task"/>
    <s v="MOBL-426"/>
    <s v="MOBL-308&gt; Home page--Part of image is covered by white layer"/>
    <s v="Sub-task"/>
    <x v="0"/>
    <d v="2015-07-09T09:31:00"/>
    <x v="2"/>
    <x v="0"/>
    <x v="18"/>
    <n v="1"/>
    <m/>
    <n v="147.9"/>
    <n v="26.100000000000005"/>
  </r>
  <r>
    <s v="SBG - Mobile"/>
    <x v="2"/>
    <s v="Sub-task"/>
    <s v="MOBL-429"/>
    <s v="MOBL-308&gt; WH cl order cannot processed in scan"/>
    <s v="Sub-task"/>
    <x v="0"/>
    <d v="2015-06-30T18:22:00"/>
    <x v="6"/>
    <x v="0"/>
    <x v="2"/>
    <n v="8"/>
    <m/>
    <n v="141.1"/>
    <n v="24.900000000000002"/>
  </r>
  <r>
    <s v="SBG - Mobile"/>
    <x v="2"/>
    <s v="Sub-task"/>
    <s v="MOBL-431"/>
    <s v="MOBL-308&gt; CART PAGE-voucher/discount not calculated while changing the quantity of eyewear/cl"/>
    <s v="Sub-task"/>
    <x v="0"/>
    <d v="2015-07-01T18:38:00"/>
    <x v="2"/>
    <x v="0"/>
    <x v="6"/>
    <n v="2"/>
    <m/>
    <n v="147.9"/>
    <n v="26.100000000000005"/>
  </r>
  <r>
    <s v="SBG - Mobile"/>
    <x v="2"/>
    <s v="Sub-task"/>
    <s v="MOBL-436"/>
    <s v="MOBL-308&gt; Checkout page--After user login on checkout page, the Voucher info disappered, price error."/>
    <s v="Sub-task"/>
    <x v="0"/>
    <d v="2015-07-01T18:21:00"/>
    <x v="2"/>
    <x v="0"/>
    <x v="2"/>
    <n v="8"/>
    <m/>
    <n v="147.9"/>
    <n v="26.100000000000005"/>
  </r>
  <r>
    <s v="SBG - Mobile"/>
    <x v="2"/>
    <s v="Sub-task"/>
    <s v="MOBL-438"/>
    <s v="MOBL-308&gt; PAYPAL-cart contained contact lens with contact lens discount returns 500 while using paypal"/>
    <s v="Sub-task"/>
    <x v="0"/>
    <d v="2015-07-21T18:21:00"/>
    <x v="2"/>
    <x v="0"/>
    <x v="2"/>
    <n v="8"/>
    <m/>
    <n v="147.9"/>
    <n v="26.100000000000005"/>
  </r>
  <r>
    <s v="SBG - Mobile"/>
    <x v="2"/>
    <s v="Sub-task"/>
    <s v="MOBL-439"/>
    <s v="MOBL-308&gt; Product page--The Frame_material_product parameter can not get any value"/>
    <s v="Sub-task"/>
    <x v="0"/>
    <d v="2015-06-30T16:47:00"/>
    <x v="6"/>
    <x v="0"/>
    <x v="6"/>
    <n v="0.5"/>
    <m/>
    <n v="141.1"/>
    <n v="24.900000000000002"/>
  </r>
  <r>
    <s v="SBG - Mobile"/>
    <x v="2"/>
    <s v="Sub-task"/>
    <s v="MOBL-440"/>
    <s v="MOBL-308&gt; when add rx in OM results price difference"/>
    <s v="Sub-task"/>
    <x v="0"/>
    <d v="2015-07-01T14:20:00"/>
    <x v="2"/>
    <x v="0"/>
    <x v="12"/>
    <n v="2"/>
    <m/>
    <n v="147.9"/>
    <n v="26.100000000000005"/>
  </r>
  <r>
    <s v="SBG - Mobile"/>
    <x v="2"/>
    <s v="Sub-task"/>
    <s v="MOBL-441"/>
    <s v="MOBL-308&gt; CART PAGE-shipping fee won't change while some products are deleted"/>
    <s v="Sub-task"/>
    <x v="0"/>
    <d v="2015-07-03T18:20:00"/>
    <x v="2"/>
    <x v="0"/>
    <x v="2"/>
    <n v="6"/>
    <m/>
    <n v="147.9"/>
    <n v="26.100000000000005"/>
  </r>
  <r>
    <s v="SBG - Mobile"/>
    <x v="2"/>
    <s v="Sub-task"/>
    <s v="MOBL-444"/>
    <s v="MOBL-308&gt; THANK YOU PAGE-it redirects to payment-fail page while refreshing thank you page"/>
    <s v="Sub-task"/>
    <x v="0"/>
    <d v="2015-07-03T18:18:00"/>
    <x v="2"/>
    <x v="0"/>
    <x v="2"/>
    <n v="2"/>
    <m/>
    <n v="147.9"/>
    <n v="26.100000000000005"/>
  </r>
  <r>
    <s v="SBG - Mobile"/>
    <x v="2"/>
    <s v="Sub-task"/>
    <s v="MOBL-446"/>
    <s v="MOBL-308&gt; font different (/help)"/>
    <s v="Sub-task"/>
    <x v="0"/>
    <d v="2015-06-24T09:44:00"/>
    <x v="6"/>
    <x v="0"/>
    <x v="10"/>
    <n v="8"/>
    <m/>
    <n v="141.1"/>
    <n v="24.900000000000002"/>
  </r>
  <r>
    <s v="SBG - Mobile"/>
    <x v="2"/>
    <s v="Sub-task"/>
    <s v="MOBL-446"/>
    <s v="MOBL-308&gt; font different (/help)"/>
    <s v="Sub-task"/>
    <x v="0"/>
    <d v="2015-06-29T15:46:00"/>
    <x v="6"/>
    <x v="0"/>
    <x v="10"/>
    <n v="2"/>
    <m/>
    <n v="141.1"/>
    <n v="24.900000000000002"/>
  </r>
  <r>
    <s v="SBG - Mobile"/>
    <x v="2"/>
    <s v="Sub-task"/>
    <s v="MOBL-446"/>
    <s v="MOBL-308&gt; font different (/help)"/>
    <s v="Sub-task"/>
    <x v="0"/>
    <d v="2015-06-30T12:03:00"/>
    <x v="6"/>
    <x v="0"/>
    <x v="10"/>
    <n v="2"/>
    <m/>
    <n v="141.1"/>
    <n v="24.900000000000002"/>
  </r>
  <r>
    <s v="SBG - Mobile"/>
    <x v="2"/>
    <s v="Sub-task"/>
    <s v="MOBL-448"/>
    <s v="MOBL-308&gt; Home page--Free shipping rules"/>
    <s v="Sub-task"/>
    <x v="0"/>
    <d v="2015-07-09T09:27:00"/>
    <x v="2"/>
    <x v="0"/>
    <x v="18"/>
    <n v="1"/>
    <m/>
    <n v="147.9"/>
    <n v="26.100000000000005"/>
  </r>
  <r>
    <s v="SBG - Mobile"/>
    <x v="2"/>
    <s v="Sub-task"/>
    <s v="MOBL-448"/>
    <s v="MOBL-308&gt; Home page--Free shipping rules"/>
    <s v="Sub-task"/>
    <x v="0"/>
    <d v="2015-07-09T09:27:00"/>
    <x v="2"/>
    <x v="0"/>
    <x v="18"/>
    <n v="1"/>
    <m/>
    <n v="147.9"/>
    <n v="26.100000000000005"/>
  </r>
  <r>
    <s v="SBG - Mobile"/>
    <x v="2"/>
    <s v="Sub-task"/>
    <s v="MOBL-449"/>
    <s v="MOBL-308&gt; Thank you page--Lost &quot;Thank you&quot; on top of thank you page."/>
    <s v="Sub-task"/>
    <x v="0"/>
    <d v="2015-06-30T17:44:00"/>
    <x v="6"/>
    <x v="0"/>
    <x v="6"/>
    <n v="1"/>
    <m/>
    <n v="141.1"/>
    <n v="24.900000000000002"/>
  </r>
  <r>
    <s v="SBG - Mobile"/>
    <x v="2"/>
    <s v="Sub-task"/>
    <s v="MOBL-450"/>
    <s v="MOBL-308&gt; Checkout page--Lost footer on checkout page"/>
    <s v="Sub-task"/>
    <x v="0"/>
    <d v="2015-06-30T14:09:00"/>
    <x v="6"/>
    <x v="0"/>
    <x v="6"/>
    <n v="2"/>
    <m/>
    <n v="141.1"/>
    <n v="24.900000000000002"/>
  </r>
  <r>
    <s v="SBG - Mobile"/>
    <x v="2"/>
    <s v="Sub-task"/>
    <s v="MOBL-451"/>
    <s v="MOBL-308&gt; CART PAGE-the discount value cannot vary with the quantity of products"/>
    <s v="Sub-task"/>
    <x v="0"/>
    <d v="2015-07-01T17:29:00"/>
    <x v="2"/>
    <x v="0"/>
    <x v="6"/>
    <n v="2"/>
    <m/>
    <n v="147.9"/>
    <n v="26.100000000000005"/>
  </r>
  <r>
    <s v="SBG - Mobile"/>
    <x v="2"/>
    <s v="Sub-task"/>
    <s v="MOBL-452"/>
    <s v="MOBL-308&gt; links incorrect on homepage"/>
    <s v="Sub-task"/>
    <x v="0"/>
    <d v="2015-07-06T10:51:00"/>
    <x v="2"/>
    <x v="0"/>
    <x v="18"/>
    <n v="8"/>
    <m/>
    <n v="147.9"/>
    <n v="26.100000000000005"/>
  </r>
  <r>
    <s v="SBG - Mobile"/>
    <x v="2"/>
    <s v="Sub-task"/>
    <s v="MOBL-452"/>
    <s v="MOBL-308&gt; links incorrect on homepage"/>
    <s v="Sub-task"/>
    <x v="0"/>
    <d v="2015-07-09T09:27:00"/>
    <x v="2"/>
    <x v="0"/>
    <x v="18"/>
    <n v="2"/>
    <m/>
    <n v="147.9"/>
    <n v="26.100000000000005"/>
  </r>
  <r>
    <s v="SBG - Mobile"/>
    <x v="2"/>
    <s v="Sub-task"/>
    <s v="MOBL-452"/>
    <s v="MOBL-308&gt; links incorrect on homepage"/>
    <s v="Sub-task"/>
    <x v="0"/>
    <d v="2015-07-10T18:39:00"/>
    <x v="2"/>
    <x v="0"/>
    <x v="18"/>
    <n v="2"/>
    <m/>
    <n v="147.9"/>
    <n v="26.100000000000005"/>
  </r>
  <r>
    <s v="SBG - Mobile"/>
    <x v="2"/>
    <s v="Sub-task"/>
    <s v="MOBL-453"/>
    <s v="MOBL-308&gt; The insurance price doesn't clear when remove all products in cart page"/>
    <s v="Sub-task"/>
    <x v="0"/>
    <d v="2015-07-01T09:50:00"/>
    <x v="2"/>
    <x v="0"/>
    <x v="10"/>
    <n v="4"/>
    <m/>
    <n v="147.9"/>
    <n v="26.100000000000005"/>
  </r>
  <r>
    <s v="SBG - Mobile"/>
    <x v="2"/>
    <s v="Sub-task"/>
    <s v="MOBL-453"/>
    <s v="MOBL-308&gt; The insurance price doesn't clear when remove all products in cart page"/>
    <s v="Sub-task"/>
    <x v="0"/>
    <d v="2015-07-10T10:09:00"/>
    <x v="2"/>
    <x v="0"/>
    <x v="10"/>
    <n v="8"/>
    <m/>
    <n v="147.9"/>
    <n v="26.100000000000005"/>
  </r>
  <r>
    <s v="SBG - Mobile"/>
    <x v="2"/>
    <s v="Sub-task"/>
    <s v="MOBL-455"/>
    <s v="MOBL-204&gt; CHECKOUT-missing 3d-secure removal"/>
    <s v="Sub-task"/>
    <x v="0"/>
    <d v="2015-07-06T18:18:00"/>
    <x v="2"/>
    <x v="0"/>
    <x v="2"/>
    <n v="4"/>
    <m/>
    <n v="147.9"/>
    <n v="26.100000000000005"/>
  </r>
  <r>
    <s v="SBG - Mobile"/>
    <x v="2"/>
    <s v="Bug"/>
    <s v="MOBL-458"/>
    <s v="Translation issue - Side menu"/>
    <s v="Bug"/>
    <x v="1"/>
    <d v="2015-07-10T18:39:00"/>
    <x v="2"/>
    <x v="0"/>
    <x v="18"/>
    <n v="1"/>
    <m/>
    <n v="147.9"/>
    <n v="26.100000000000005"/>
  </r>
  <r>
    <s v="SBG - Mobile"/>
    <x v="2"/>
    <s v="Bug"/>
    <s v="MOBL-459"/>
    <s v="Translation issue . Footer"/>
    <s v="Bug"/>
    <x v="1"/>
    <d v="2015-07-10T18:38:00"/>
    <x v="2"/>
    <x v="0"/>
    <x v="18"/>
    <n v="1"/>
    <m/>
    <n v="147.9"/>
    <n v="26.100000000000005"/>
  </r>
  <r>
    <s v="SBG - Mobile"/>
    <x v="0"/>
    <s v="Bug"/>
    <s v="MOBL-459"/>
    <s v="Translation issue . Footer"/>
    <s v="Bug"/>
    <x v="1"/>
    <d v="2015-07-21T08:57:00"/>
    <x v="2"/>
    <x v="0"/>
    <x v="19"/>
    <n v="8"/>
    <m/>
    <n v="87"/>
    <n v="87"/>
  </r>
  <r>
    <s v="SBG - Mobile"/>
    <x v="0"/>
    <s v="Bug"/>
    <s v="MOBL-459"/>
    <s v="Translation issue . Footer"/>
    <s v="Bug"/>
    <x v="1"/>
    <d v="2015-07-22T08:57:00"/>
    <x v="2"/>
    <x v="0"/>
    <x v="19"/>
    <n v="8"/>
    <m/>
    <n v="87"/>
    <n v="87"/>
  </r>
  <r>
    <s v="SBG - Mobile"/>
    <x v="0"/>
    <s v="Bug"/>
    <s v="MOBL-459"/>
    <s v="Translation issue . Footer"/>
    <s v="Bug"/>
    <x v="1"/>
    <d v="2015-07-23T15:55:00"/>
    <x v="2"/>
    <x v="0"/>
    <x v="19"/>
    <n v="0.33300000000000002"/>
    <m/>
    <n v="87"/>
    <n v="87"/>
  </r>
  <r>
    <s v="SBG - Mobile"/>
    <x v="0"/>
    <s v="Bug"/>
    <s v="MOBL-459"/>
    <s v="Translation issue . Footer"/>
    <s v="Bug"/>
    <x v="1"/>
    <d v="2015-07-24T08:57:00"/>
    <x v="2"/>
    <x v="0"/>
    <x v="19"/>
    <n v="8"/>
    <m/>
    <n v="87"/>
    <n v="87"/>
  </r>
  <r>
    <s v="SBG - Mobile"/>
    <x v="2"/>
    <s v="Sub-task"/>
    <s v="MOBL-463"/>
    <s v="MOBL-308&gt; ORDER TRACKING-it takes 5-10 min to check order"/>
    <s v="Sub-task"/>
    <x v="0"/>
    <d v="2015-07-01T11:43:00"/>
    <x v="2"/>
    <x v="0"/>
    <x v="10"/>
    <n v="3"/>
    <m/>
    <n v="147.9"/>
    <n v="26.100000000000005"/>
  </r>
  <r>
    <s v="SBG - Mobile"/>
    <x v="2"/>
    <s v="Sub-task"/>
    <s v="MOBL-463"/>
    <s v="MOBL-308&gt; ORDER TRACKING-it takes 5-10 min to check order"/>
    <s v="Sub-task"/>
    <x v="0"/>
    <d v="2015-07-02T10:43:00"/>
    <x v="2"/>
    <x v="0"/>
    <x v="10"/>
    <n v="4"/>
    <m/>
    <n v="147.9"/>
    <n v="26.100000000000005"/>
  </r>
  <r>
    <s v="SBG - Mobile"/>
    <x v="2"/>
    <s v="Sub-task"/>
    <s v="MOBL-463"/>
    <s v="MOBL-308&gt; ORDER TRACKING-it takes 5-10 min to check order"/>
    <s v="Sub-task"/>
    <x v="0"/>
    <d v="2015-07-06T09:50:00"/>
    <x v="2"/>
    <x v="0"/>
    <x v="10"/>
    <n v="4"/>
    <m/>
    <n v="147.9"/>
    <n v="26.100000000000005"/>
  </r>
  <r>
    <s v="SBG - Mobile"/>
    <x v="2"/>
    <s v="Sub-task"/>
    <s v="MOBL-464"/>
    <s v="MOBL-308&gt; when click 'clear all filters', url goes wrong"/>
    <s v="Sub-task"/>
    <x v="0"/>
    <d v="2015-07-03T10:51:00"/>
    <x v="2"/>
    <x v="0"/>
    <x v="18"/>
    <n v="8"/>
    <m/>
    <n v="147.9"/>
    <n v="26.100000000000005"/>
  </r>
  <r>
    <s v="SBG - Mobile"/>
    <x v="2"/>
    <s v="Sub-task"/>
    <s v="MOBL-464"/>
    <s v="MOBL-308&gt; when click 'clear all filters', url goes wrong"/>
    <s v="Sub-task"/>
    <x v="0"/>
    <d v="2015-07-09T09:27:00"/>
    <x v="2"/>
    <x v="0"/>
    <x v="18"/>
    <n v="2"/>
    <m/>
    <n v="147.9"/>
    <n v="26.100000000000005"/>
  </r>
  <r>
    <s v="SBG - Mobile"/>
    <x v="1"/>
    <s v="Sub-task"/>
    <s v="MOBL-464"/>
    <s v="MOBL-308&gt; when click 'clear all filters', url goes wrong"/>
    <s v="Sub-task"/>
    <x v="0"/>
    <d v="2015-07-27T18:37:00"/>
    <x v="2"/>
    <x v="0"/>
    <x v="8"/>
    <n v="1"/>
    <m/>
    <n v="147.9"/>
    <n v="26.100000000000005"/>
  </r>
  <r>
    <s v="SBG - Mobile"/>
    <x v="0"/>
    <s v="Sub-task"/>
    <s v="MOBL-465"/>
    <s v="MOBL-308&gt; add OOPS on check out page"/>
    <s v="Sub-task"/>
    <x v="0"/>
    <d v="2015-07-03T12:00:00"/>
    <x v="2"/>
    <x v="0"/>
    <x v="19"/>
    <n v="0.66700000000000004"/>
    <m/>
    <n v="87"/>
    <n v="87"/>
  </r>
  <r>
    <s v="SBG - Mobile"/>
    <x v="2"/>
    <s v="Sub-task"/>
    <s v="MOBL-466"/>
    <s v="MOBL-308&gt; billing address should be put in front of shipping address"/>
    <s v="Sub-task"/>
    <x v="0"/>
    <d v="2015-07-02T10:51:00"/>
    <x v="2"/>
    <x v="0"/>
    <x v="18"/>
    <n v="8"/>
    <m/>
    <n v="147.9"/>
    <n v="26.100000000000005"/>
  </r>
  <r>
    <s v="SBG - Mobile"/>
    <x v="2"/>
    <s v="Sub-task"/>
    <s v="MOBL-466"/>
    <s v="MOBL-308&gt; billing address should be put in front of shipping address"/>
    <s v="Sub-task"/>
    <x v="0"/>
    <d v="2015-07-09T09:26:00"/>
    <x v="2"/>
    <x v="0"/>
    <x v="18"/>
    <n v="1"/>
    <m/>
    <n v="147.9"/>
    <n v="26.100000000000005"/>
  </r>
  <r>
    <s v="SBG - Mobile"/>
    <x v="2"/>
    <s v="Bug"/>
    <s v="MOBL-471"/>
    <s v="Add back tracking to RX process"/>
    <s v="Bug"/>
    <x v="1"/>
    <d v="2015-07-06T15:28:00"/>
    <x v="2"/>
    <x v="0"/>
    <x v="6"/>
    <n v="1"/>
    <m/>
    <n v="147.9"/>
    <n v="26.100000000000005"/>
  </r>
  <r>
    <s v="SBG - Mobile"/>
    <x v="3"/>
    <s v="Bug"/>
    <s v="MOBL-471"/>
    <s v="Add back tracking to RX process"/>
    <s v="Bug"/>
    <x v="1"/>
    <d v="2015-07-24T10:55:00"/>
    <x v="2"/>
    <x v="0"/>
    <x v="3"/>
    <n v="1"/>
    <m/>
    <n v="87"/>
    <n v="87"/>
  </r>
  <r>
    <s v="SBG - Mobile"/>
    <x v="3"/>
    <s v="Bug"/>
    <s v="MOBL-472"/>
    <s v="Add tracking on fast checkout button"/>
    <s v="Bug"/>
    <x v="1"/>
    <d v="2015-07-24T10:56:00"/>
    <x v="2"/>
    <x v="0"/>
    <x v="3"/>
    <n v="1"/>
    <m/>
    <n v="87"/>
    <n v="87"/>
  </r>
  <r>
    <s v="SBG - Mobile"/>
    <x v="2"/>
    <s v="Improvement"/>
    <s v="MOBL-473"/>
    <s v="Payment method improvement"/>
    <s v="Improvement"/>
    <x v="0"/>
    <d v="2015-07-08T18:07:00"/>
    <x v="2"/>
    <x v="0"/>
    <x v="2"/>
    <n v="5"/>
    <m/>
    <n v="147.9"/>
    <n v="26.100000000000005"/>
  </r>
  <r>
    <s v="SBG - Mobile"/>
    <x v="2"/>
    <s v="Improvement"/>
    <s v="MOBL-473"/>
    <s v="Payment method improvement"/>
    <s v="Improvement"/>
    <x v="0"/>
    <d v="2015-07-09T18:07:00"/>
    <x v="2"/>
    <x v="0"/>
    <x v="2"/>
    <n v="8"/>
    <m/>
    <n v="147.9"/>
    <n v="26.100000000000005"/>
  </r>
  <r>
    <s v="SBG - Mobile"/>
    <x v="2"/>
    <s v="Improvement"/>
    <s v="MOBL-473"/>
    <s v="Payment method improvement"/>
    <s v="Improvement"/>
    <x v="0"/>
    <d v="2015-07-10T18:06:00"/>
    <x v="2"/>
    <x v="0"/>
    <x v="2"/>
    <n v="5"/>
    <m/>
    <n v="147.9"/>
    <n v="26.100000000000005"/>
  </r>
  <r>
    <s v="SBG - Mobile"/>
    <x v="0"/>
    <s v="Improvement"/>
    <s v="MOBL-473"/>
    <s v="Payment method improvement"/>
    <s v="Improvement"/>
    <x v="0"/>
    <d v="2015-07-14T18:11:00"/>
    <x v="2"/>
    <x v="0"/>
    <x v="19"/>
    <n v="0.33300000000000002"/>
    <m/>
    <n v="87"/>
    <n v="87"/>
  </r>
  <r>
    <s v="SBG - Mobile"/>
    <x v="1"/>
    <s v="Improvement"/>
    <s v="MOBL-473"/>
    <s v="Payment method improvement"/>
    <s v="Improvement"/>
    <x v="0"/>
    <d v="2015-07-14T19:18:00"/>
    <x v="2"/>
    <x v="0"/>
    <x v="8"/>
    <n v="5"/>
    <m/>
    <n v="147.9"/>
    <n v="26.100000000000005"/>
  </r>
  <r>
    <s v="SBG - Mobile"/>
    <x v="0"/>
    <s v="Improvement"/>
    <s v="MOBL-473"/>
    <s v="Payment method improvement"/>
    <s v="Improvement"/>
    <x v="0"/>
    <d v="2015-07-15T08:58:00"/>
    <x v="2"/>
    <x v="0"/>
    <x v="19"/>
    <n v="8"/>
    <m/>
    <n v="87"/>
    <n v="87"/>
  </r>
  <r>
    <s v="SBG - Mobile"/>
    <x v="1"/>
    <s v="Improvement"/>
    <s v="MOBL-473"/>
    <s v="Payment method improvement"/>
    <s v="Improvement"/>
    <x v="0"/>
    <d v="2015-07-15T12:52:00"/>
    <x v="2"/>
    <x v="0"/>
    <x v="8"/>
    <n v="6.5"/>
    <m/>
    <n v="147.9"/>
    <n v="26.100000000000005"/>
  </r>
  <r>
    <s v="SBG - Mobile"/>
    <x v="2"/>
    <s v="Improvement"/>
    <s v="MOBL-473"/>
    <s v="Payment method improvement"/>
    <s v="Improvement"/>
    <x v="0"/>
    <d v="2015-07-16T11:38:00"/>
    <x v="2"/>
    <x v="0"/>
    <x v="2"/>
    <n v="3"/>
    <m/>
    <n v="147.9"/>
    <n v="26.100000000000005"/>
  </r>
  <r>
    <s v="SBG - Mobile"/>
    <x v="1"/>
    <s v="Improvement"/>
    <s v="MOBL-473"/>
    <s v="Payment method improvement"/>
    <s v="Improvement"/>
    <x v="0"/>
    <d v="2015-07-16T12:46:00"/>
    <x v="2"/>
    <x v="0"/>
    <x v="8"/>
    <n v="6.5"/>
    <m/>
    <n v="147.9"/>
    <n v="26.100000000000005"/>
  </r>
  <r>
    <s v="SBG - Mobile"/>
    <x v="2"/>
    <s v="Improvement"/>
    <s v="MOBL-473"/>
    <s v="Payment method improvement"/>
    <s v="Improvement"/>
    <x v="0"/>
    <d v="2015-07-17T11:40:00"/>
    <x v="2"/>
    <x v="0"/>
    <x v="2"/>
    <n v="3"/>
    <m/>
    <n v="147.9"/>
    <n v="26.100000000000005"/>
  </r>
  <r>
    <s v="SBG - Mobile"/>
    <x v="0"/>
    <s v="Improvement"/>
    <s v="MOBL-473"/>
    <s v="Payment method improvement"/>
    <s v="Improvement"/>
    <x v="0"/>
    <d v="2015-07-20T10:04:00"/>
    <x v="2"/>
    <x v="0"/>
    <x v="19"/>
    <n v="7"/>
    <m/>
    <n v="87"/>
    <n v="87"/>
  </r>
  <r>
    <s v="SBG - Mobile"/>
    <x v="1"/>
    <s v="Improvement"/>
    <s v="MOBL-473"/>
    <s v="Payment method improvement"/>
    <s v="Improvement"/>
    <x v="0"/>
    <d v="2015-07-20T18:35:00"/>
    <x v="2"/>
    <x v="0"/>
    <x v="8"/>
    <n v="4.5"/>
    <m/>
    <n v="147.9"/>
    <n v="26.100000000000005"/>
  </r>
  <r>
    <s v="SBG - Mobile"/>
    <x v="3"/>
    <s v="Improvement"/>
    <s v="MOBL-473"/>
    <s v="Payment method improvement"/>
    <s v="Improvement"/>
    <x v="0"/>
    <d v="2015-07-24T11:05:00"/>
    <x v="2"/>
    <x v="0"/>
    <x v="3"/>
    <n v="1"/>
    <m/>
    <n v="87"/>
    <n v="87"/>
  </r>
  <r>
    <s v="SBG - Mobile"/>
    <x v="0"/>
    <s v="Sub-task"/>
    <s v="MOBL-475"/>
    <s v="MOBL-308&gt; change LOGO title h2 to h1"/>
    <s v="Sub-task"/>
    <x v="0"/>
    <d v="2015-07-06T14:49:00"/>
    <x v="2"/>
    <x v="0"/>
    <x v="19"/>
    <n v="0.33300000000000002"/>
    <m/>
    <n v="87"/>
    <n v="87"/>
  </r>
  <r>
    <s v="SBG - Mobile"/>
    <x v="2"/>
    <s v="Sub-task"/>
    <s v="MOBL-477"/>
    <s v="MOBL-308&gt; UK CheckOut Page- state can not select"/>
    <s v="Sub-task"/>
    <x v="0"/>
    <d v="2015-07-06T18:15:00"/>
    <x v="2"/>
    <x v="0"/>
    <x v="2"/>
    <n v="4"/>
    <m/>
    <n v="147.9"/>
    <n v="26.100000000000005"/>
  </r>
  <r>
    <s v="SBG - Mobile"/>
    <x v="2"/>
    <s v="Bug"/>
    <s v="MOBL-478"/>
    <s v="Content update RX process"/>
    <s v="Bug"/>
    <x v="1"/>
    <d v="2015-07-06T15:28:00"/>
    <x v="2"/>
    <x v="0"/>
    <x v="6"/>
    <n v="1"/>
    <m/>
    <n v="147.9"/>
    <n v="26.100000000000005"/>
  </r>
  <r>
    <s v="SBG - Mobile"/>
    <x v="3"/>
    <s v="Bug"/>
    <s v="MOBL-478"/>
    <s v="Content update RX process"/>
    <s v="Bug"/>
    <x v="1"/>
    <d v="2015-07-24T10:56:00"/>
    <x v="2"/>
    <x v="0"/>
    <x v="3"/>
    <n v="1"/>
    <m/>
    <n v="87"/>
    <n v="87"/>
  </r>
  <r>
    <s v="SBG - Mobile"/>
    <x v="3"/>
    <s v="Bug"/>
    <s v="MOBL-479"/>
    <s v="Missing trustpilot in footer"/>
    <s v="Bug"/>
    <x v="1"/>
    <d v="2015-07-24T10:56:00"/>
    <x v="2"/>
    <x v="0"/>
    <x v="3"/>
    <n v="1"/>
    <m/>
    <n v="87"/>
    <n v="87"/>
  </r>
  <r>
    <s v="SBG - Mobile"/>
    <x v="2"/>
    <s v="Bug"/>
    <s v="MOBL-481"/>
    <s v="Menu &gt; Sun &gt; Sports doesn't work"/>
    <s v="Bug"/>
    <x v="1"/>
    <d v="2015-07-06T16:42:00"/>
    <x v="2"/>
    <x v="0"/>
    <x v="6"/>
    <n v="0.5"/>
    <m/>
    <n v="147.9"/>
    <n v="26.100000000000005"/>
  </r>
  <r>
    <s v="SBG - Mobile"/>
    <x v="3"/>
    <s v="Bug"/>
    <s v="MOBL-481"/>
    <s v="Menu &gt; Sun &gt; Sports doesn't work"/>
    <s v="Bug"/>
    <x v="1"/>
    <d v="2015-07-24T10:56:00"/>
    <x v="2"/>
    <x v="0"/>
    <x v="3"/>
    <n v="1"/>
    <m/>
    <n v="87"/>
    <n v="87"/>
  </r>
  <r>
    <s v="SBG - Mobile"/>
    <x v="3"/>
    <s v="Bug"/>
    <s v="MOBL-482"/>
    <s v="Add back tracking on CHECKOUT page"/>
    <s v="Bug"/>
    <x v="1"/>
    <d v="2015-07-24T10:56:00"/>
    <x v="2"/>
    <x v="0"/>
    <x v="3"/>
    <n v="1"/>
    <m/>
    <n v="87"/>
    <n v="87"/>
  </r>
  <r>
    <s v="SBG - Mobile"/>
    <x v="3"/>
    <s v="Bug"/>
    <s v="MOBL-482"/>
    <s v="Add back tracking on CHECKOUT page"/>
    <s v="Bug"/>
    <x v="1"/>
    <d v="2015-07-24T10:57:00"/>
    <x v="2"/>
    <x v="0"/>
    <x v="3"/>
    <n v="1"/>
    <m/>
    <n v="87"/>
    <n v="87"/>
  </r>
  <r>
    <s v="SBG - Mobile"/>
    <x v="2"/>
    <s v="Bug"/>
    <s v="MOBL-483"/>
    <s v="Add back google tag manager on /checkout/"/>
    <s v="Bug"/>
    <x v="1"/>
    <d v="2015-07-07T18:11:00"/>
    <x v="2"/>
    <x v="0"/>
    <x v="2"/>
    <n v="3"/>
    <m/>
    <n v="147.9"/>
    <n v="26.100000000000005"/>
  </r>
  <r>
    <s v="SBG - Mobile"/>
    <x v="2"/>
    <s v="Sub-task"/>
    <s v="MOBL-484"/>
    <s v="MOBL-308&gt; TRANSLATION ISSUES"/>
    <s v="Sub-task"/>
    <x v="0"/>
    <d v="2015-07-01T10:51:00"/>
    <x v="2"/>
    <x v="0"/>
    <x v="18"/>
    <n v="8"/>
    <m/>
    <n v="147.9"/>
    <n v="26.100000000000005"/>
  </r>
  <r>
    <s v="SBG - Mobile"/>
    <x v="2"/>
    <s v="Sub-task"/>
    <s v="MOBL-484"/>
    <s v="MOBL-308&gt; TRANSLATION ISSUES"/>
    <s v="Sub-task"/>
    <x v="0"/>
    <d v="2015-07-10T18:38:00"/>
    <x v="2"/>
    <x v="0"/>
    <x v="18"/>
    <n v="16"/>
    <m/>
    <n v="147.9"/>
    <n v="26.100000000000005"/>
  </r>
  <r>
    <s v="SBG - Mobile"/>
    <x v="2"/>
    <s v="Bug"/>
    <s v="MOBL-485"/>
    <s v="Remove Order Details info from Billing Address Form"/>
    <s v="Bug"/>
    <x v="1"/>
    <d v="2015-07-13T11:55:00"/>
    <x v="2"/>
    <x v="0"/>
    <x v="2"/>
    <n v="2"/>
    <m/>
    <n v="147.9"/>
    <n v="26.100000000000005"/>
  </r>
  <r>
    <s v="SBG - Mobile"/>
    <x v="2"/>
    <s v="Sub-task"/>
    <s v="MOBL-486"/>
    <s v="MOBL-308&gt; FR CheckOut Page- payment function does not work"/>
    <s v="Sub-task"/>
    <x v="0"/>
    <d v="2015-07-07T18:10:00"/>
    <x v="2"/>
    <x v="0"/>
    <x v="2"/>
    <n v="5"/>
    <m/>
    <n v="147.9"/>
    <n v="26.100000000000005"/>
  </r>
  <r>
    <s v="SBG - Mobile"/>
    <x v="2"/>
    <s v="Sub-task"/>
    <s v="MOBL-487"/>
    <s v="MOBL-308&gt; Backward operation from checkout page  in browser leads to error"/>
    <s v="Sub-task"/>
    <x v="0"/>
    <d v="2015-07-07T12:46:00"/>
    <x v="2"/>
    <x v="0"/>
    <x v="6"/>
    <n v="0.5"/>
    <m/>
    <n v="147.9"/>
    <n v="26.100000000000005"/>
  </r>
  <r>
    <s v="SBG - Mobile"/>
    <x v="1"/>
    <s v="Sub-task"/>
    <s v="MOBL-487"/>
    <s v="MOBL-308&gt; Backward operation from checkout page  in browser leads to error"/>
    <s v="Sub-task"/>
    <x v="0"/>
    <d v="2015-07-27T18:36:00"/>
    <x v="2"/>
    <x v="0"/>
    <x v="8"/>
    <n v="0.5"/>
    <m/>
    <n v="147.9"/>
    <n v="26.100000000000005"/>
  </r>
  <r>
    <s v="SBG - Mobile"/>
    <x v="0"/>
    <s v="Sub-task"/>
    <s v="MOBL-488"/>
    <s v="MOBL-308&gt; PRESCRIPTION-lines are wrapped when product name+color code is too long"/>
    <s v="Sub-task"/>
    <x v="0"/>
    <d v="2015-07-08T14:26:00"/>
    <x v="2"/>
    <x v="0"/>
    <x v="19"/>
    <n v="1.2"/>
    <m/>
    <n v="87"/>
    <n v="87"/>
  </r>
  <r>
    <s v="SBG - Mobile"/>
    <x v="1"/>
    <s v="Bug"/>
    <s v="MOBL-489"/>
    <s v="Schema markup Contact lenses not fully working"/>
    <s v="Bug"/>
    <x v="1"/>
    <d v="2015-07-14T17:29:00"/>
    <x v="2"/>
    <x v="0"/>
    <x v="8"/>
    <n v="1"/>
    <m/>
    <n v="147.9"/>
    <n v="26.100000000000005"/>
  </r>
  <r>
    <s v="SBG - Mobile"/>
    <x v="3"/>
    <s v="Bug"/>
    <s v="MOBL-489"/>
    <s v="Schema markup Contact lenses not fully working"/>
    <s v="Bug"/>
    <x v="1"/>
    <d v="2015-07-24T11:04:00"/>
    <x v="2"/>
    <x v="0"/>
    <x v="3"/>
    <n v="1"/>
    <m/>
    <n v="87"/>
    <n v="87"/>
  </r>
  <r>
    <s v="SBG - Mobile"/>
    <x v="2"/>
    <s v="Bug"/>
    <s v="MOBL-490"/>
    <s v="Schema markup Eyewear (sun+eye) not fully working"/>
    <s v="Bug"/>
    <x v="1"/>
    <d v="2015-07-08T17:03:00"/>
    <x v="2"/>
    <x v="0"/>
    <x v="6"/>
    <n v="1"/>
    <m/>
    <n v="147.9"/>
    <n v="26.100000000000005"/>
  </r>
  <r>
    <s v="SBG - Mobile"/>
    <x v="2"/>
    <s v="Sub-task"/>
    <s v="MOBL-491"/>
    <s v="MOBL-308&gt; EMPTY CART-process bar still displays"/>
    <s v="Sub-task"/>
    <x v="0"/>
    <d v="2015-07-06T16:08:00"/>
    <x v="2"/>
    <x v="0"/>
    <x v="10"/>
    <n v="2"/>
    <m/>
    <n v="147.9"/>
    <n v="26.100000000000005"/>
  </r>
  <r>
    <s v="SBG - Mobile"/>
    <x v="1"/>
    <s v="Sub-task"/>
    <s v="MOBL-491"/>
    <s v="MOBL-308&gt; EMPTY CART-process bar still displays"/>
    <s v="Sub-task"/>
    <x v="0"/>
    <d v="2015-07-07T09:19:00"/>
    <x v="2"/>
    <x v="0"/>
    <x v="5"/>
    <n v="8"/>
    <m/>
    <n v="147.9"/>
    <n v="26.100000000000005"/>
  </r>
  <r>
    <s v="SBG - Mobile"/>
    <x v="2"/>
    <s v="Sub-task"/>
    <s v="MOBL-491"/>
    <s v="MOBL-308&gt; EMPTY CART-process bar still displays"/>
    <s v="Sub-task"/>
    <x v="0"/>
    <d v="2015-07-07T10:08:00"/>
    <x v="2"/>
    <x v="0"/>
    <x v="10"/>
    <n v="8"/>
    <m/>
    <n v="147.9"/>
    <n v="26.100000000000005"/>
  </r>
  <r>
    <s v="SBG - Mobile"/>
    <x v="2"/>
    <s v="Sub-task"/>
    <s v="MOBL-491"/>
    <s v="MOBL-308&gt; EMPTY CART-process bar still displays"/>
    <s v="Sub-task"/>
    <x v="0"/>
    <d v="2015-07-08T09:33:00"/>
    <x v="2"/>
    <x v="0"/>
    <x v="10"/>
    <n v="0.25"/>
    <m/>
    <n v="147.9"/>
    <n v="26.100000000000005"/>
  </r>
  <r>
    <s v="SBG - Mobile"/>
    <x v="1"/>
    <s v="Sub-task"/>
    <s v="MOBL-491"/>
    <s v="MOBL-308&gt; EMPTY CART-process bar still displays"/>
    <s v="Sub-task"/>
    <x v="0"/>
    <d v="2015-07-08T11:26:00"/>
    <x v="2"/>
    <x v="0"/>
    <x v="5"/>
    <n v="1"/>
    <m/>
    <n v="147.9"/>
    <n v="26.100000000000005"/>
  </r>
  <r>
    <s v="SBG - Mobile"/>
    <x v="1"/>
    <s v="Sub-task"/>
    <s v="MOBL-491"/>
    <s v="MOBL-308&gt; EMPTY CART-process bar still displays"/>
    <s v="Sub-task"/>
    <x v="0"/>
    <d v="2015-07-09T09:19:00"/>
    <x v="2"/>
    <x v="0"/>
    <x v="5"/>
    <n v="8"/>
    <m/>
    <n v="147.9"/>
    <n v="26.100000000000005"/>
  </r>
  <r>
    <s v="SBG - Mobile"/>
    <x v="1"/>
    <s v="Sub-task"/>
    <s v="MOBL-491"/>
    <s v="MOBL-308&gt; EMPTY CART-process bar still displays"/>
    <s v="Sub-task"/>
    <x v="0"/>
    <d v="2015-07-10T09:19:00"/>
    <x v="2"/>
    <x v="0"/>
    <x v="5"/>
    <n v="8"/>
    <m/>
    <n v="147.9"/>
    <n v="26.100000000000005"/>
  </r>
  <r>
    <s v="SBG - Mobile"/>
    <x v="1"/>
    <s v="Sub-task"/>
    <s v="MOBL-491"/>
    <s v="MOBL-308&gt; EMPTY CART-process bar still displays"/>
    <s v="Sub-task"/>
    <x v="0"/>
    <d v="2015-07-13T09:19:00"/>
    <x v="2"/>
    <x v="0"/>
    <x v="5"/>
    <n v="8"/>
    <m/>
    <n v="147.9"/>
    <n v="26.100000000000005"/>
  </r>
  <r>
    <s v="SBG - Mobile"/>
    <x v="1"/>
    <s v="Sub-task"/>
    <s v="MOBL-491"/>
    <s v="MOBL-308&gt; EMPTY CART-process bar still displays"/>
    <s v="Sub-task"/>
    <x v="0"/>
    <d v="2015-07-14T09:19:00"/>
    <x v="2"/>
    <x v="0"/>
    <x v="5"/>
    <n v="8"/>
    <m/>
    <n v="147.9"/>
    <n v="26.100000000000005"/>
  </r>
  <r>
    <s v="SBG - Mobile"/>
    <x v="1"/>
    <s v="Sub-task"/>
    <s v="MOBL-491"/>
    <s v="MOBL-308&gt; EMPTY CART-process bar still displays"/>
    <s v="Sub-task"/>
    <x v="0"/>
    <d v="2015-07-15T09:19:00"/>
    <x v="2"/>
    <x v="0"/>
    <x v="5"/>
    <n v="8"/>
    <m/>
    <n v="147.9"/>
    <n v="26.100000000000005"/>
  </r>
  <r>
    <s v="SBG - Mobile"/>
    <x v="2"/>
    <s v="Sub-task"/>
    <s v="MOBL-491"/>
    <s v="MOBL-308&gt; EMPTY CART-process bar still displays"/>
    <s v="Sub-task"/>
    <x v="0"/>
    <d v="2015-07-15T13:09:00"/>
    <x v="2"/>
    <x v="0"/>
    <x v="10"/>
    <n v="5"/>
    <m/>
    <n v="147.9"/>
    <n v="26.100000000000005"/>
  </r>
  <r>
    <s v="SBG - Mobile"/>
    <x v="1"/>
    <s v="Sub-task"/>
    <s v="MOBL-491"/>
    <s v="MOBL-308&gt; EMPTY CART-process bar still displays"/>
    <s v="Sub-task"/>
    <x v="0"/>
    <d v="2015-07-16T09:19:00"/>
    <x v="2"/>
    <x v="0"/>
    <x v="5"/>
    <n v="8"/>
    <m/>
    <n v="147.9"/>
    <n v="26.100000000000005"/>
  </r>
  <r>
    <s v="SBG - Mobile"/>
    <x v="1"/>
    <s v="Sub-task"/>
    <s v="MOBL-491"/>
    <s v="MOBL-308&gt; EMPTY CART-process bar still displays"/>
    <s v="Sub-task"/>
    <x v="0"/>
    <d v="2015-07-17T09:19:00"/>
    <x v="2"/>
    <x v="0"/>
    <x v="5"/>
    <n v="8"/>
    <m/>
    <n v="147.9"/>
    <n v="26.100000000000005"/>
  </r>
  <r>
    <s v="SBG - Mobile"/>
    <x v="2"/>
    <s v="Sub-task"/>
    <s v="MOBL-491"/>
    <s v="MOBL-308&gt; EMPTY CART-process bar still displays"/>
    <s v="Sub-task"/>
    <x v="0"/>
    <d v="2015-07-17T12:00:00"/>
    <x v="2"/>
    <x v="0"/>
    <x v="10"/>
    <n v="6"/>
    <m/>
    <n v="147.9"/>
    <n v="26.100000000000005"/>
  </r>
  <r>
    <s v="SBG - Mobile"/>
    <x v="1"/>
    <s v="Sub-task"/>
    <s v="MOBL-491"/>
    <s v="MOBL-308&gt; EMPTY CART-process bar still displays"/>
    <s v="Sub-task"/>
    <x v="0"/>
    <d v="2015-07-20T09:19:00"/>
    <x v="2"/>
    <x v="0"/>
    <x v="5"/>
    <n v="8"/>
    <m/>
    <n v="147.9"/>
    <n v="26.100000000000005"/>
  </r>
  <r>
    <s v="SBG - Mobile"/>
    <x v="1"/>
    <s v="Sub-task"/>
    <s v="MOBL-491"/>
    <s v="MOBL-308&gt; EMPTY CART-process bar still displays"/>
    <s v="Sub-task"/>
    <x v="0"/>
    <d v="2015-07-22T09:19:00"/>
    <x v="2"/>
    <x v="0"/>
    <x v="5"/>
    <n v="8"/>
    <m/>
    <n v="147.9"/>
    <n v="26.100000000000005"/>
  </r>
  <r>
    <s v="SBG - Mobile"/>
    <x v="1"/>
    <s v="Sub-task"/>
    <s v="MOBL-491"/>
    <s v="MOBL-308&gt; EMPTY CART-process bar still displays"/>
    <s v="Sub-task"/>
    <x v="0"/>
    <d v="2015-07-23T09:19:00"/>
    <x v="2"/>
    <x v="0"/>
    <x v="5"/>
    <n v="8"/>
    <m/>
    <n v="147.9"/>
    <n v="26.100000000000005"/>
  </r>
  <r>
    <s v="SBG - Mobile"/>
    <x v="2"/>
    <s v="Sub-task"/>
    <s v="MOBL-491"/>
    <s v="MOBL-308&gt; EMPTY CART-process bar still displays"/>
    <s v="Sub-task"/>
    <x v="0"/>
    <d v="2015-07-23T13:59:00"/>
    <x v="2"/>
    <x v="0"/>
    <x v="10"/>
    <n v="4"/>
    <m/>
    <n v="147.9"/>
    <n v="26.100000000000005"/>
  </r>
  <r>
    <s v="SBG - Mobile"/>
    <x v="1"/>
    <s v="Sub-task"/>
    <s v="MOBL-491"/>
    <s v="MOBL-308&gt; EMPTY CART-process bar still displays"/>
    <s v="Sub-task"/>
    <x v="0"/>
    <d v="2015-07-24T09:19:00"/>
    <x v="2"/>
    <x v="0"/>
    <x v="5"/>
    <n v="8"/>
    <m/>
    <n v="147.9"/>
    <n v="26.100000000000005"/>
  </r>
  <r>
    <s v="SBG - Mobile"/>
    <x v="1"/>
    <s v="Sub-task"/>
    <s v="MOBL-491"/>
    <s v="MOBL-308&gt; EMPTY CART-process bar still displays"/>
    <s v="Sub-task"/>
    <x v="0"/>
    <d v="2015-07-27T09:19:00"/>
    <x v="2"/>
    <x v="0"/>
    <x v="5"/>
    <n v="8"/>
    <m/>
    <n v="147.9"/>
    <n v="26.100000000000005"/>
  </r>
  <r>
    <s v="SBG - Mobile"/>
    <x v="1"/>
    <s v="Sub-task"/>
    <s v="MOBL-491"/>
    <s v="MOBL-308&gt; EMPTY CART-process bar still displays"/>
    <s v="Sub-task"/>
    <x v="0"/>
    <d v="2015-07-27T18:35:00"/>
    <x v="2"/>
    <x v="0"/>
    <x v="8"/>
    <n v="0.5"/>
    <m/>
    <n v="147.9"/>
    <n v="26.100000000000005"/>
  </r>
  <r>
    <s v="SBG - Mobile"/>
    <x v="1"/>
    <s v="Sub-task"/>
    <s v="MOBL-491"/>
    <s v="MOBL-308&gt; EMPTY CART-process bar still displays"/>
    <s v="Sub-task"/>
    <x v="0"/>
    <d v="2015-07-28T09:20:00"/>
    <x v="2"/>
    <x v="0"/>
    <x v="5"/>
    <n v="8"/>
    <m/>
    <n v="147.9"/>
    <n v="26.100000000000005"/>
  </r>
  <r>
    <s v="SBG - Mobile"/>
    <x v="1"/>
    <s v="Sub-task"/>
    <s v="MOBL-491"/>
    <s v="MOBL-308&gt; EMPTY CART-process bar still displays"/>
    <s v="Sub-task"/>
    <x v="0"/>
    <d v="2015-07-29T09:20:00"/>
    <x v="2"/>
    <x v="0"/>
    <x v="5"/>
    <n v="8"/>
    <m/>
    <n v="147.9"/>
    <n v="26.100000000000005"/>
  </r>
  <r>
    <s v="SBG - Mobile"/>
    <x v="1"/>
    <s v="Sub-task"/>
    <s v="MOBL-491"/>
    <s v="MOBL-308&gt; EMPTY CART-process bar still displays"/>
    <s v="Sub-task"/>
    <x v="0"/>
    <d v="2015-07-30T09:20:00"/>
    <x v="2"/>
    <x v="0"/>
    <x v="5"/>
    <n v="8"/>
    <m/>
    <n v="147.9"/>
    <n v="26.100000000000005"/>
  </r>
  <r>
    <s v="SBG - Mobile"/>
    <x v="0"/>
    <s v="Sub-task"/>
    <s v="MOBL-492"/>
    <s v="MOBL-308&gt; THANK YOU PAGE-css messy on cl prescription info section"/>
    <s v="Sub-task"/>
    <x v="0"/>
    <d v="2015-07-14T10:10:00"/>
    <x v="2"/>
    <x v="0"/>
    <x v="19"/>
    <n v="0.5"/>
    <m/>
    <n v="87"/>
    <n v="87"/>
  </r>
  <r>
    <s v="SBG - Mobile"/>
    <x v="0"/>
    <s v="Sub-task"/>
    <s v="MOBL-492"/>
    <s v="MOBL-308&gt; THANK YOU PAGE-css messy on cl prescription info section"/>
    <s v="Sub-task"/>
    <x v="0"/>
    <d v="2015-07-15T09:03:00"/>
    <x v="2"/>
    <x v="0"/>
    <x v="19"/>
    <n v="8"/>
    <m/>
    <n v="87"/>
    <n v="87"/>
  </r>
  <r>
    <s v="SBG - Mobile"/>
    <x v="2"/>
    <s v="Bug"/>
    <s v="MOBL-495"/>
    <s v="Discontinued Products on mobile Home page"/>
    <s v="Bug"/>
    <x v="1"/>
    <d v="2015-07-13T12:08:00"/>
    <x v="2"/>
    <x v="0"/>
    <x v="11"/>
    <n v="3"/>
    <m/>
    <n v="147.9"/>
    <n v="26.100000000000005"/>
  </r>
  <r>
    <s v="SBG - Mobile"/>
    <x v="2"/>
    <s v="Sub-task"/>
    <s v="MOBL-496"/>
    <s v="MOBL-204&gt; Implement Search results page button &quot;FILTER&quot;"/>
    <s v="Sub-task"/>
    <x v="0"/>
    <d v="2015-07-13T16:43:00"/>
    <x v="2"/>
    <x v="0"/>
    <x v="2"/>
    <n v="5"/>
    <m/>
    <n v="147.9"/>
    <n v="26.100000000000005"/>
  </r>
  <r>
    <s v="SBG - Mobile"/>
    <x v="1"/>
    <s v="Sub-task"/>
    <s v="MOBL-496"/>
    <s v="MOBL-204&gt; Implement Search results page button &quot;FILTER&quot;"/>
    <s v="Sub-task"/>
    <x v="0"/>
    <d v="2015-07-15T12:51:00"/>
    <x v="2"/>
    <x v="0"/>
    <x v="8"/>
    <n v="3"/>
    <m/>
    <n v="147.9"/>
    <n v="26.100000000000005"/>
  </r>
  <r>
    <s v="SBG - Mobile"/>
    <x v="3"/>
    <s v="Sub-task"/>
    <s v="MOBL-496"/>
    <s v="MOBL-204&gt; Implement Search results page button &quot;FILTER&quot;"/>
    <s v="Sub-task"/>
    <x v="0"/>
    <d v="2015-07-24T11:05:00"/>
    <x v="2"/>
    <x v="0"/>
    <x v="3"/>
    <n v="1"/>
    <m/>
    <n v="87"/>
    <n v="87"/>
  </r>
  <r>
    <s v="SBG - Mobile"/>
    <x v="2"/>
    <s v="Sub-task"/>
    <s v="MOBL-498"/>
    <s v="MOBL-308&gt; HOMEPAGE-some domains returns blank page"/>
    <s v="Sub-task"/>
    <x v="0"/>
    <d v="2015-07-09T14:32:00"/>
    <x v="2"/>
    <x v="0"/>
    <x v="6"/>
    <n v="0.5"/>
    <m/>
    <n v="147.9"/>
    <n v="26.100000000000005"/>
  </r>
  <r>
    <s v="SBG - Mobile"/>
    <x v="2"/>
    <s v="Bug"/>
    <s v="MOBL-499"/>
    <s v="Homepage change 1 word"/>
    <s v="Bug"/>
    <x v="1"/>
    <d v="2015-07-10T18:38:00"/>
    <x v="2"/>
    <x v="0"/>
    <x v="18"/>
    <n v="1"/>
    <m/>
    <n v="147.9"/>
    <n v="26.100000000000005"/>
  </r>
  <r>
    <s v="SBG - Mobile"/>
    <x v="2"/>
    <s v="Bug"/>
    <s v="MOBL-499"/>
    <s v="Homepage change 1 word"/>
    <s v="Bug"/>
    <x v="1"/>
    <d v="2015-07-10T18:45:00"/>
    <x v="2"/>
    <x v="0"/>
    <x v="18"/>
    <n v="2"/>
    <m/>
    <n v="147.9"/>
    <n v="26.100000000000005"/>
  </r>
  <r>
    <s v="SBG - Mobile"/>
    <x v="2"/>
    <s v="Bug"/>
    <s v="MOBL-500"/>
    <s v="Translation text on Contact lenses grid page"/>
    <s v="Bug"/>
    <x v="1"/>
    <d v="2015-07-10T18:37:00"/>
    <x v="2"/>
    <x v="0"/>
    <x v="18"/>
    <n v="1"/>
    <m/>
    <n v="147.9"/>
    <n v="26.100000000000005"/>
  </r>
  <r>
    <s v="SBG - Mobile"/>
    <x v="2"/>
    <s v="Bug"/>
    <s v="MOBL-500"/>
    <s v="Translation text on Contact lenses grid page"/>
    <s v="Bug"/>
    <x v="1"/>
    <d v="2015-07-10T18:45:00"/>
    <x v="2"/>
    <x v="0"/>
    <x v="18"/>
    <n v="2"/>
    <m/>
    <n v="147.9"/>
    <n v="26.100000000000005"/>
  </r>
  <r>
    <s v="SBG - Mobile"/>
    <x v="2"/>
    <s v="Bug"/>
    <s v="MOBL-502"/>
    <s v="Forget your password ? Fix EN content"/>
    <s v="Bug"/>
    <x v="1"/>
    <d v="2015-07-10T18:37:00"/>
    <x v="2"/>
    <x v="0"/>
    <x v="18"/>
    <n v="1"/>
    <m/>
    <n v="147.9"/>
    <n v="26.100000000000005"/>
  </r>
  <r>
    <s v="SBG - Mobile"/>
    <x v="2"/>
    <s v="Bug"/>
    <s v="MOBL-502"/>
    <s v="Forget your password ? Fix EN content"/>
    <s v="Bug"/>
    <x v="1"/>
    <d v="2015-07-10T18:45:00"/>
    <x v="2"/>
    <x v="0"/>
    <x v="18"/>
    <n v="2"/>
    <m/>
    <n v="147.9"/>
    <n v="26.100000000000005"/>
  </r>
  <r>
    <s v="SBG - Mobile"/>
    <x v="0"/>
    <s v="Sub-task"/>
    <s v="MOBL-504"/>
    <s v="MOBL-204&gt; change check out style"/>
    <s v="Sub-task"/>
    <x v="0"/>
    <d v="2015-07-20T15:58:00"/>
    <x v="2"/>
    <x v="0"/>
    <x v="0"/>
    <n v="2"/>
    <m/>
    <n v="87"/>
    <n v="87"/>
  </r>
  <r>
    <s v="SBG - Mobile"/>
    <x v="2"/>
    <s v="Sub-task"/>
    <s v="MOBL-506"/>
    <s v="MOBL-473&gt; the two title text are conflicting"/>
    <s v="Sub-task"/>
    <x v="0"/>
    <d v="2015-07-15T11:09:00"/>
    <x v="2"/>
    <x v="0"/>
    <x v="2"/>
    <n v="3"/>
    <m/>
    <n v="147.9"/>
    <n v="26.100000000000005"/>
  </r>
  <r>
    <s v="SBG - Mobile"/>
    <x v="0"/>
    <s v="Sub-task"/>
    <s v="MOBL-507"/>
    <s v="MOBL-473&gt; css layout is broken"/>
    <s v="Sub-task"/>
    <x v="0"/>
    <d v="2015-07-15T14:23:00"/>
    <x v="2"/>
    <x v="0"/>
    <x v="19"/>
    <n v="0.25"/>
    <m/>
    <n v="87"/>
    <n v="87"/>
  </r>
  <r>
    <s v="SBG - Mobile"/>
    <x v="0"/>
    <s v="Sub-task"/>
    <s v="MOBL-507"/>
    <s v="MOBL-473&gt; css layout is broken"/>
    <s v="Sub-task"/>
    <x v="0"/>
    <d v="2015-07-17T14:39:00"/>
    <x v="2"/>
    <x v="0"/>
    <x v="19"/>
    <n v="0.25"/>
    <m/>
    <n v="87"/>
    <n v="87"/>
  </r>
  <r>
    <s v="SBG - Mobile"/>
    <x v="2"/>
    <s v="Sub-task"/>
    <s v="MOBL-508"/>
    <s v="MOBL-473&gt; remove SIGN IN sentence in step 3"/>
    <s v="Sub-task"/>
    <x v="0"/>
    <d v="2015-07-14T11:10:00"/>
    <x v="2"/>
    <x v="0"/>
    <x v="2"/>
    <n v="3"/>
    <m/>
    <n v="147.9"/>
    <n v="26.100000000000005"/>
  </r>
  <r>
    <s v="SBG - Mobile"/>
    <x v="1"/>
    <s v="Sub-task"/>
    <s v="MOBL-508"/>
    <s v="MOBL-473&gt; remove SIGN IN sentence in step 3"/>
    <s v="Sub-task"/>
    <x v="0"/>
    <d v="2015-07-17T17:58:00"/>
    <x v="2"/>
    <x v="0"/>
    <x v="8"/>
    <n v="1"/>
    <m/>
    <n v="147.9"/>
    <n v="26.100000000000005"/>
  </r>
  <r>
    <s v="SBG - Mobile"/>
    <x v="2"/>
    <s v="Sub-task"/>
    <s v="MOBL-509"/>
    <s v="MOBL-473&gt; address is shown repeatedly in checkout page"/>
    <s v="Sub-task"/>
    <x v="0"/>
    <d v="2015-07-14T11:11:00"/>
    <x v="2"/>
    <x v="0"/>
    <x v="2"/>
    <n v="3"/>
    <m/>
    <n v="147.9"/>
    <n v="26.100000000000005"/>
  </r>
  <r>
    <s v="SBG - Mobile"/>
    <x v="1"/>
    <s v="Sub-task"/>
    <s v="MOBL-509"/>
    <s v="MOBL-473&gt; address is shown repeatedly in checkout page"/>
    <s v="Sub-task"/>
    <x v="0"/>
    <d v="2015-07-17T17:57:00"/>
    <x v="2"/>
    <x v="0"/>
    <x v="8"/>
    <n v="1"/>
    <m/>
    <n v="147.9"/>
    <n v="26.100000000000005"/>
  </r>
  <r>
    <s v="SBG - Mobile"/>
    <x v="2"/>
    <s v="Sub-task"/>
    <s v="MOBL-510"/>
    <s v="MOBL-473&gt; after change the address, the information didn't change"/>
    <s v="Sub-task"/>
    <x v="0"/>
    <d v="2015-07-15T13:52:00"/>
    <x v="2"/>
    <x v="0"/>
    <x v="2"/>
    <n v="3"/>
    <m/>
    <n v="147.9"/>
    <n v="26.100000000000005"/>
  </r>
  <r>
    <s v="SBG - Mobile"/>
    <x v="1"/>
    <s v="Sub-task"/>
    <s v="MOBL-510"/>
    <s v="MOBL-473&gt; after change the address, the information didn't change"/>
    <s v="Sub-task"/>
    <x v="0"/>
    <d v="2015-07-17T17:58:00"/>
    <x v="2"/>
    <x v="0"/>
    <x v="8"/>
    <n v="1"/>
    <m/>
    <n v="147.9"/>
    <n v="26.100000000000005"/>
  </r>
  <r>
    <s v="SBG - Mobile"/>
    <x v="2"/>
    <s v="Sub-task"/>
    <s v="MOBL-511"/>
    <s v="MOBL-473&gt; iframe height changes to 400px"/>
    <s v="Sub-task"/>
    <x v="0"/>
    <d v="2015-07-15T11:12:00"/>
    <x v="2"/>
    <x v="0"/>
    <x v="2"/>
    <n v="1"/>
    <m/>
    <n v="147.9"/>
    <n v="26.100000000000005"/>
  </r>
  <r>
    <s v="SBG - Mobile"/>
    <x v="1"/>
    <s v="Sub-task"/>
    <s v="MOBL-511"/>
    <s v="MOBL-473&gt; iframe height changes to 400px"/>
    <s v="Sub-task"/>
    <x v="0"/>
    <d v="2015-07-21T17:03:00"/>
    <x v="2"/>
    <x v="0"/>
    <x v="8"/>
    <n v="2"/>
    <m/>
    <n v="147.9"/>
    <n v="26.100000000000005"/>
  </r>
  <r>
    <s v="SBG - Mobile"/>
    <x v="2"/>
    <s v="Sub-task"/>
    <s v="MOBL-511"/>
    <s v="MOBL-473&gt; iframe height changes to 400px"/>
    <s v="Sub-task"/>
    <x v="0"/>
    <d v="2015-07-23T11:43:00"/>
    <x v="2"/>
    <x v="0"/>
    <x v="2"/>
    <n v="8"/>
    <m/>
    <n v="147.9"/>
    <n v="26.100000000000005"/>
  </r>
  <r>
    <s v="SBG - Mobile"/>
    <x v="1"/>
    <s v="Sub-task"/>
    <s v="MOBL-512"/>
    <s v="MOBL-308&gt; search - select Men in Gender, and then expand Gender again just shows Men"/>
    <s v="Sub-task"/>
    <x v="0"/>
    <d v="2015-07-14T19:18:00"/>
    <x v="2"/>
    <x v="0"/>
    <x v="8"/>
    <n v="2"/>
    <m/>
    <n v="147.9"/>
    <n v="26.100000000000005"/>
  </r>
  <r>
    <s v="SBG - Mobile"/>
    <x v="2"/>
    <s v="Sub-task"/>
    <s v="MOBL-512"/>
    <s v="MOBL-308&gt; search - select Men in Gender, and then expand Gender again just shows Men"/>
    <s v="Sub-task"/>
    <x v="0"/>
    <d v="2015-07-15T14:24:00"/>
    <x v="2"/>
    <x v="0"/>
    <x v="2"/>
    <n v="1"/>
    <m/>
    <n v="147.9"/>
    <n v="26.100000000000005"/>
  </r>
  <r>
    <s v="SBG - Mobile"/>
    <x v="2"/>
    <s v="Sub-task"/>
    <s v="MOBL-512"/>
    <s v="MOBL-308&gt; search - select Men in Gender, and then expand Gender again just shows Men"/>
    <s v="Sub-task"/>
    <x v="0"/>
    <d v="2015-07-24T11:44:00"/>
    <x v="2"/>
    <x v="0"/>
    <x v="2"/>
    <n v="8"/>
    <m/>
    <n v="147.9"/>
    <n v="26.100000000000005"/>
  </r>
  <r>
    <s v="SBG - Mobile"/>
    <x v="2"/>
    <s v="Sub-task"/>
    <s v="MOBL-513"/>
    <s v="MOBL-473&gt; Country disappears when test on 219"/>
    <s v="Sub-task"/>
    <x v="0"/>
    <d v="2015-07-15T12:34:00"/>
    <x v="2"/>
    <x v="0"/>
    <x v="11"/>
    <n v="0.5"/>
    <m/>
    <n v="147.9"/>
    <n v="26.100000000000005"/>
  </r>
  <r>
    <s v="SBG - Mobile"/>
    <x v="1"/>
    <s v="Sub-task"/>
    <s v="MOBL-513"/>
    <s v="MOBL-473&gt; Country disappears when test on 219"/>
    <s v="Sub-task"/>
    <x v="0"/>
    <d v="2015-07-17T17:58:00"/>
    <x v="2"/>
    <x v="0"/>
    <x v="8"/>
    <n v="2"/>
    <m/>
    <n v="147.9"/>
    <n v="26.100000000000005"/>
  </r>
  <r>
    <s v="SBG - Mobile"/>
    <x v="2"/>
    <s v="Sub-task"/>
    <s v="MOBL-514"/>
    <s v="MOBL-473&gt; in step 2, once enter validate email address, CONTINUE button changes color to orange (219)"/>
    <s v="Sub-task"/>
    <x v="0"/>
    <d v="2015-07-15T18:10:00"/>
    <x v="2"/>
    <x v="0"/>
    <x v="11"/>
    <n v="1.5"/>
    <m/>
    <n v="147.9"/>
    <n v="26.100000000000005"/>
  </r>
  <r>
    <s v="SBG - Mobile"/>
    <x v="2"/>
    <s v="Sub-task"/>
    <s v="MOBL-514"/>
    <s v="MOBL-473&gt; in step 2, once enter validate email address, CONTINUE button changes color to orange (219)"/>
    <s v="Sub-task"/>
    <x v="0"/>
    <d v="2015-07-17T16:11:00"/>
    <x v="2"/>
    <x v="0"/>
    <x v="11"/>
    <n v="3"/>
    <m/>
    <n v="147.9"/>
    <n v="26.100000000000005"/>
  </r>
  <r>
    <s v="SBG - Mobile"/>
    <x v="2"/>
    <s v="Sub-task"/>
    <s v="MOBL-515"/>
    <s v="MOBL-473&gt; SIGN IN underline not shown (219)"/>
    <s v="Sub-task"/>
    <x v="0"/>
    <d v="2015-07-15T14:09:00"/>
    <x v="2"/>
    <x v="0"/>
    <x v="2"/>
    <n v="1"/>
    <m/>
    <n v="147.9"/>
    <n v="26.100000000000005"/>
  </r>
  <r>
    <s v="SBG - Mobile"/>
    <x v="1"/>
    <s v="Sub-task"/>
    <s v="MOBL-515"/>
    <s v="MOBL-473&gt; SIGN IN underline not shown (219)"/>
    <s v="Sub-task"/>
    <x v="0"/>
    <d v="2015-07-17T17:59:00"/>
    <x v="2"/>
    <x v="0"/>
    <x v="8"/>
    <n v="1"/>
    <m/>
    <n v="147.9"/>
    <n v="26.100000000000005"/>
  </r>
  <r>
    <s v="SBG - Mobile"/>
    <x v="2"/>
    <s v="Sub-task"/>
    <s v="MOBL-515"/>
    <s v="MOBL-473&gt; SIGN IN underline not shown (219)"/>
    <s v="Sub-task"/>
    <x v="0"/>
    <d v="2015-07-30T11:45:00"/>
    <x v="2"/>
    <x v="0"/>
    <x v="2"/>
    <n v="8"/>
    <m/>
    <n v="147.9"/>
    <n v="26.100000000000005"/>
  </r>
  <r>
    <s v="SBG - Mobile"/>
    <x v="0"/>
    <s v="Sub-task"/>
    <s v="MOBL-518"/>
    <s v="MOBL-473&gt; UK CheckOut Page-- state can not display"/>
    <s v="Sub-task"/>
    <x v="0"/>
    <d v="2015-07-27T15:19:00"/>
    <x v="2"/>
    <x v="0"/>
    <x v="19"/>
    <n v="0.5"/>
    <m/>
    <n v="87"/>
    <n v="87"/>
  </r>
  <r>
    <s v="SBG - Mobile"/>
    <x v="1"/>
    <s v="Sub-task"/>
    <s v="MOBL-518"/>
    <s v="MOBL-473&gt; UK CheckOut Page-- state can not display"/>
    <s v="Sub-task"/>
    <x v="0"/>
    <d v="2015-07-27T18:36:00"/>
    <x v="2"/>
    <x v="0"/>
    <x v="8"/>
    <n v="1"/>
    <m/>
    <n v="147.9"/>
    <n v="26.100000000000005"/>
  </r>
  <r>
    <s v="SBG - Mobile"/>
    <x v="0"/>
    <s v="Bug"/>
    <s v="MOBL-521"/>
    <s v="Payment page style fixes"/>
    <s v="Bug"/>
    <x v="1"/>
    <d v="2015-07-14T08:56:00"/>
    <x v="2"/>
    <x v="0"/>
    <x v="19"/>
    <n v="8"/>
    <m/>
    <n v="87"/>
    <n v="87"/>
  </r>
  <r>
    <s v="SBG - Mobile"/>
    <x v="0"/>
    <s v="Bug"/>
    <s v="MOBL-521"/>
    <s v="Payment page style fixes"/>
    <s v="Bug"/>
    <x v="1"/>
    <d v="2015-07-16T14:40:00"/>
    <x v="2"/>
    <x v="0"/>
    <x v="0"/>
    <n v="1"/>
    <m/>
    <n v="87"/>
    <n v="87"/>
  </r>
  <r>
    <s v="SBG - Mobile"/>
    <x v="0"/>
    <s v="Bug"/>
    <s v="MOBL-521"/>
    <s v="Payment page style fixes"/>
    <s v="Bug"/>
    <x v="1"/>
    <d v="2015-07-17T14:38:00"/>
    <x v="2"/>
    <x v="0"/>
    <x v="19"/>
    <n v="0.33300000000000002"/>
    <m/>
    <n v="87"/>
    <n v="87"/>
  </r>
  <r>
    <s v="SBG - Mobile"/>
    <x v="0"/>
    <s v="Bug"/>
    <s v="MOBL-521"/>
    <s v="Payment page style fixes"/>
    <s v="Bug"/>
    <x v="1"/>
    <d v="2015-07-20T08:57:00"/>
    <x v="2"/>
    <x v="0"/>
    <x v="19"/>
    <n v="8"/>
    <m/>
    <n v="87"/>
    <n v="87"/>
  </r>
  <r>
    <s v="SBG - Mobile"/>
    <x v="2"/>
    <s v="Sub-task"/>
    <s v="MOBL-522"/>
    <s v="MOBL-473&gt; new checkout issues"/>
    <s v="Sub-task"/>
    <x v="0"/>
    <d v="2015-07-17T10:40:00"/>
    <x v="2"/>
    <x v="0"/>
    <x v="11"/>
    <n v="4"/>
    <m/>
    <n v="147.9"/>
    <n v="26.100000000000005"/>
  </r>
  <r>
    <s v="SBG - Mobile"/>
    <x v="2"/>
    <s v="Sub-task"/>
    <s v="MOBL-522"/>
    <s v="MOBL-473&gt; new checkout issues"/>
    <s v="Sub-task"/>
    <x v="0"/>
    <d v="2015-07-20T09:41:00"/>
    <x v="2"/>
    <x v="0"/>
    <x v="11"/>
    <n v="6"/>
    <m/>
    <n v="147.9"/>
    <n v="26.100000000000005"/>
  </r>
  <r>
    <s v="SBG - Mobile"/>
    <x v="2"/>
    <s v="Sub-task"/>
    <s v="MOBL-522"/>
    <s v="MOBL-473&gt; new checkout issues"/>
    <s v="Sub-task"/>
    <x v="0"/>
    <d v="2015-07-21T09:41:00"/>
    <x v="2"/>
    <x v="0"/>
    <x v="11"/>
    <n v="6"/>
    <m/>
    <n v="147.9"/>
    <n v="26.100000000000005"/>
  </r>
  <r>
    <s v="SBG - Mobile"/>
    <x v="1"/>
    <s v="Sub-task"/>
    <s v="MOBL-522"/>
    <s v="MOBL-473&gt; new checkout issues"/>
    <s v="Sub-task"/>
    <x v="0"/>
    <d v="2015-07-21T18:32:00"/>
    <x v="2"/>
    <x v="0"/>
    <x v="8"/>
    <n v="2"/>
    <m/>
    <n v="147.9"/>
    <n v="26.100000000000005"/>
  </r>
  <r>
    <s v="SBG - Mobile"/>
    <x v="3"/>
    <s v="Sub-task"/>
    <s v="MOBL-522"/>
    <s v="MOBL-473&gt; new checkout issues"/>
    <s v="Sub-task"/>
    <x v="0"/>
    <d v="2015-07-24T11:06:00"/>
    <x v="2"/>
    <x v="0"/>
    <x v="3"/>
    <n v="1"/>
    <m/>
    <n v="87"/>
    <n v="87"/>
  </r>
  <r>
    <s v="SBG - Mobile"/>
    <x v="3"/>
    <s v="Sub-task"/>
    <s v="MOBL-523"/>
    <s v="MOBL-473&gt; in checkout page, entering country and state can process to next step"/>
    <s v="Sub-task"/>
    <x v="0"/>
    <d v="2015-07-24T11:06:00"/>
    <x v="2"/>
    <x v="0"/>
    <x v="3"/>
    <n v="1"/>
    <m/>
    <n v="87"/>
    <n v="87"/>
  </r>
  <r>
    <s v="SBG - Mobile"/>
    <x v="0"/>
    <s v="Bug"/>
    <s v="MOBL-525"/>
    <s v="Checkout quick fixes"/>
    <s v="Bug"/>
    <x v="1"/>
    <d v="2015-07-17T17:56:00"/>
    <x v="2"/>
    <x v="0"/>
    <x v="19"/>
    <n v="2"/>
    <m/>
    <n v="87"/>
    <n v="87"/>
  </r>
  <r>
    <s v="SBG - Mobile"/>
    <x v="1"/>
    <s v="Bug"/>
    <s v="MOBL-525"/>
    <s v="Checkout quick fixes"/>
    <s v="Bug"/>
    <x v="1"/>
    <d v="2015-07-17T21:13:00"/>
    <x v="2"/>
    <x v="0"/>
    <x v="8"/>
    <n v="4"/>
    <m/>
    <n v="147.9"/>
    <n v="26.100000000000005"/>
  </r>
  <r>
    <s v="SBG - Mobile"/>
    <x v="1"/>
    <s v="Bug"/>
    <s v="MOBL-525"/>
    <s v="Checkout quick fixes"/>
    <s v="Bug"/>
    <x v="1"/>
    <d v="2015-07-21T17:40:00"/>
    <x v="2"/>
    <x v="0"/>
    <x v="8"/>
    <n v="2"/>
    <m/>
    <n v="147.9"/>
    <n v="26.100000000000005"/>
  </r>
  <r>
    <s v="SBG - Mobile"/>
    <x v="3"/>
    <s v="Bug"/>
    <s v="MOBL-525"/>
    <s v="Checkout quick fixes"/>
    <s v="Bug"/>
    <x v="1"/>
    <d v="2015-07-24T11:07:00"/>
    <x v="2"/>
    <x v="0"/>
    <x v="3"/>
    <n v="1"/>
    <m/>
    <n v="87"/>
    <n v="87"/>
  </r>
  <r>
    <s v="SBG - Mobile"/>
    <x v="2"/>
    <s v="Bug"/>
    <s v="MOBL-525"/>
    <s v="Checkout quick fixes"/>
    <s v="Bug"/>
    <x v="1"/>
    <d v="2015-07-29T19:51:00"/>
    <x v="2"/>
    <x v="0"/>
    <x v="2"/>
    <n v="4"/>
    <m/>
    <n v="147.9"/>
    <n v="26.100000000000005"/>
  </r>
  <r>
    <s v="SBG - Mobile"/>
    <x v="1"/>
    <s v="Bug"/>
    <s v="MOBL-525"/>
    <s v="Checkout quick fixes"/>
    <s v="Bug"/>
    <x v="1"/>
    <d v="2015-07-29T19:53:00"/>
    <x v="2"/>
    <x v="0"/>
    <x v="8"/>
    <n v="1.5"/>
    <m/>
    <n v="147.9"/>
    <n v="26.100000000000005"/>
  </r>
  <r>
    <s v="SBG - Mobile"/>
    <x v="0"/>
    <s v="Sub-task"/>
    <s v="MOBL-526"/>
    <s v="MOBL-308&gt; CSS issue on cart page."/>
    <s v="Sub-task"/>
    <x v="0"/>
    <d v="2015-07-17T16:50:00"/>
    <x v="2"/>
    <x v="0"/>
    <x v="0"/>
    <n v="1"/>
    <m/>
    <n v="87"/>
    <n v="87"/>
  </r>
  <r>
    <s v="SBG - Mobile"/>
    <x v="0"/>
    <s v="Sub-task"/>
    <s v="MOBL-528"/>
    <s v="MOBL-473&gt; CA Cart Page--fast checkout can not work only on safari browser"/>
    <s v="Sub-task"/>
    <x v="0"/>
    <d v="2015-07-21T10:14:00"/>
    <x v="2"/>
    <x v="0"/>
    <x v="19"/>
    <n v="1.5"/>
    <m/>
    <n v="87"/>
    <n v="87"/>
  </r>
  <r>
    <s v="SBG - Mobile"/>
    <x v="2"/>
    <s v="Sub-task"/>
    <s v="MOBL-528"/>
    <s v="MOBL-473&gt; CA Cart Page--fast checkout can not work only on safari browser"/>
    <s v="Sub-task"/>
    <x v="0"/>
    <d v="2015-07-21T15:39:00"/>
    <x v="2"/>
    <x v="0"/>
    <x v="11"/>
    <n v="1.5"/>
    <m/>
    <n v="147.9"/>
    <n v="26.100000000000005"/>
  </r>
  <r>
    <s v="SBG - Mobile"/>
    <x v="1"/>
    <s v="Sub-task"/>
    <s v="MOBL-529"/>
    <s v="MOBL-473&gt; placeholder missing in checkout page"/>
    <s v="Sub-task"/>
    <x v="0"/>
    <d v="2015-07-28T18:45:00"/>
    <x v="2"/>
    <x v="0"/>
    <x v="8"/>
    <n v="1"/>
    <m/>
    <n v="147.9"/>
    <n v="26.100000000000005"/>
  </r>
  <r>
    <s v="SBG - Mobile"/>
    <x v="2"/>
    <s v="New Feature"/>
    <s v="MOBL-530"/>
    <s v="Email field validation"/>
    <s v="New Feature"/>
    <x v="0"/>
    <d v="2015-07-21T14:17:00"/>
    <x v="2"/>
    <x v="0"/>
    <x v="11"/>
    <n v="4"/>
    <m/>
    <n v="147.9"/>
    <n v="26.100000000000005"/>
  </r>
  <r>
    <s v="SBG - Mobile"/>
    <x v="3"/>
    <s v="Technical task"/>
    <s v="MOBL-531"/>
    <s v="MOBL-308&gt; FREE SHIPPING have been removed on CL product page"/>
    <s v="Technical task"/>
    <x v="0"/>
    <d v="2015-07-24T11:11:00"/>
    <x v="2"/>
    <x v="0"/>
    <x v="3"/>
    <n v="1"/>
    <m/>
    <n v="87"/>
    <n v="87"/>
  </r>
  <r>
    <s v="SBG - Mobile"/>
    <x v="0"/>
    <s v="Bug"/>
    <s v="MOBL-532"/>
    <s v="[Checkout Improvements] Missing Edit button / Panels order"/>
    <s v="Bug"/>
    <x v="1"/>
    <d v="2015-07-14T10:27:00"/>
    <x v="2"/>
    <x v="0"/>
    <x v="19"/>
    <n v="6.5"/>
    <m/>
    <n v="87"/>
    <n v="87"/>
  </r>
  <r>
    <s v="SBG - Mobile"/>
    <x v="0"/>
    <s v="Bug"/>
    <s v="MOBL-532"/>
    <s v="[Checkout Improvements] Missing Edit button / Panels order"/>
    <s v="Bug"/>
    <x v="1"/>
    <d v="2015-07-16T08:58:00"/>
    <x v="2"/>
    <x v="0"/>
    <x v="19"/>
    <n v="8"/>
    <m/>
    <n v="87"/>
    <n v="87"/>
  </r>
  <r>
    <s v="SBG - Mobile"/>
    <x v="0"/>
    <s v="Bug"/>
    <s v="MOBL-532"/>
    <s v="[Checkout Improvements] Missing Edit button / Panels order"/>
    <s v="Bug"/>
    <x v="1"/>
    <d v="2015-07-24T16:36:00"/>
    <x v="2"/>
    <x v="0"/>
    <x v="19"/>
    <n v="1.5"/>
    <m/>
    <n v="87"/>
    <n v="87"/>
  </r>
  <r>
    <s v="SBG - Mobile"/>
    <x v="0"/>
    <s v="Technical task"/>
    <s v="MOBL-533"/>
    <s v="MOBL-473&gt; UK-GC Payment CheckOut Page layout is broken on iphone6"/>
    <s v="Technical task"/>
    <x v="0"/>
    <d v="2015-07-20T08:58:00"/>
    <x v="2"/>
    <x v="0"/>
    <x v="19"/>
    <n v="8"/>
    <m/>
    <n v="87"/>
    <n v="87"/>
  </r>
  <r>
    <s v="SBG - Mobile"/>
    <x v="0"/>
    <s v="Technical task"/>
    <s v="MOBL-533"/>
    <s v="MOBL-473&gt; UK-GC Payment CheckOut Page layout is broken on iphone6"/>
    <s v="Technical task"/>
    <x v="0"/>
    <d v="2015-07-27T12:00:00"/>
    <x v="2"/>
    <x v="0"/>
    <x v="19"/>
    <n v="0.33300000000000002"/>
    <m/>
    <n v="87"/>
    <n v="87"/>
  </r>
  <r>
    <s v="SBG - Mobile"/>
    <x v="1"/>
    <s v="Technical task"/>
    <s v="MOBL-533"/>
    <s v="MOBL-473&gt; UK-GC Payment CheckOut Page layout is broken on iphone6"/>
    <s v="Technical task"/>
    <x v="0"/>
    <d v="2015-07-27T18:36:00"/>
    <x v="2"/>
    <x v="0"/>
    <x v="8"/>
    <n v="0.5"/>
    <m/>
    <n v="147.9"/>
    <n v="26.100000000000005"/>
  </r>
  <r>
    <s v="SBG - Mobile"/>
    <x v="1"/>
    <s v="Technical task"/>
    <s v="MOBL-535"/>
    <s v="MOBL-308&gt; Edit icon do not show on checkout page when buy contact lences"/>
    <s v="Technical task"/>
    <x v="0"/>
    <d v="2015-07-27T19:09:00"/>
    <x v="2"/>
    <x v="0"/>
    <x v="8"/>
    <n v="1"/>
    <m/>
    <n v="147.9"/>
    <n v="26.100000000000005"/>
  </r>
  <r>
    <s v="SBG - Mobile"/>
    <x v="0"/>
    <s v="Technical task"/>
    <s v="MOBL-535"/>
    <s v="MOBL-308&gt; Edit icon do not show on checkout page when buy contact lences"/>
    <s v="Technical task"/>
    <x v="0"/>
    <d v="2015-07-28T11:25:00"/>
    <x v="2"/>
    <x v="0"/>
    <x v="19"/>
    <n v="0.5"/>
    <m/>
    <n v="87"/>
    <n v="87"/>
  </r>
  <r>
    <s v="SBG - Mobile"/>
    <x v="1"/>
    <s v="Technical task"/>
    <s v="MOBL-535"/>
    <s v="MOBL-308&gt; Edit icon do not show on checkout page when buy contact lences"/>
    <s v="Technical task"/>
    <x v="0"/>
    <d v="2015-07-28T18:46:00"/>
    <x v="2"/>
    <x v="0"/>
    <x v="8"/>
    <n v="0.5"/>
    <m/>
    <n v="147.9"/>
    <n v="26.100000000000005"/>
  </r>
  <r>
    <s v="SBG - Mobile"/>
    <x v="0"/>
    <s v="Bug"/>
    <s v="MOBL-536"/>
    <s v="Payment Method on STEP 2"/>
    <s v="Bug"/>
    <x v="1"/>
    <d v="2015-07-23T08:57:00"/>
    <x v="2"/>
    <x v="0"/>
    <x v="19"/>
    <n v="8"/>
    <m/>
    <n v="87"/>
    <n v="87"/>
  </r>
  <r>
    <s v="SBG - Mobile"/>
    <x v="0"/>
    <s v="Bug"/>
    <s v="MOBL-536"/>
    <s v="Payment Method on STEP 2"/>
    <s v="Bug"/>
    <x v="1"/>
    <d v="2015-07-24T10:02:00"/>
    <x v="2"/>
    <x v="0"/>
    <x v="19"/>
    <n v="7"/>
    <m/>
    <n v="87"/>
    <n v="87"/>
  </r>
  <r>
    <s v="SBG - Mobile"/>
    <x v="0"/>
    <s v="Bug"/>
    <s v="MOBL-536"/>
    <s v="Payment Method on STEP 2"/>
    <s v="Bug"/>
    <x v="1"/>
    <d v="2015-07-27T14:30:00"/>
    <x v="2"/>
    <x v="0"/>
    <x v="19"/>
    <n v="1"/>
    <m/>
    <n v="87"/>
    <n v="87"/>
  </r>
  <r>
    <s v="SBG - Mobile"/>
    <x v="1"/>
    <s v="Bug"/>
    <s v="MOBL-536"/>
    <s v="Payment Method on STEP 2"/>
    <s v="Bug"/>
    <x v="1"/>
    <d v="2015-07-27T18:37:00"/>
    <x v="2"/>
    <x v="0"/>
    <x v="8"/>
    <n v="1"/>
    <m/>
    <n v="147.9"/>
    <n v="26.100000000000005"/>
  </r>
  <r>
    <s v="SBG - Mobile"/>
    <x v="1"/>
    <s v="Technical task"/>
    <s v="MOBL-549"/>
    <s v="MOBL-473&gt; click on ORDER DETAIL section, expand nothing (on 219)"/>
    <s v="Technical task"/>
    <x v="0"/>
    <d v="2015-07-27T18:37:00"/>
    <x v="2"/>
    <x v="0"/>
    <x v="8"/>
    <n v="2"/>
    <m/>
    <n v="147.9"/>
    <n v="26.100000000000005"/>
  </r>
  <r>
    <s v="SBG - Mobile"/>
    <x v="0"/>
    <s v="Technical task"/>
    <s v="MOBL-549"/>
    <s v="MOBL-473&gt; click on ORDER DETAIL section, expand nothing (on 219)"/>
    <s v="Technical task"/>
    <x v="0"/>
    <d v="2015-07-28T10:16:00"/>
    <x v="2"/>
    <x v="0"/>
    <x v="19"/>
    <n v="3"/>
    <m/>
    <n v="87"/>
    <n v="87"/>
  </r>
  <r>
    <s v="SBG - Mobile"/>
    <x v="0"/>
    <s v="Bug"/>
    <s v="MOBL-550"/>
    <s v="Move all of the Mobile image/CSS/JS to CDN"/>
    <s v="Bug"/>
    <x v="1"/>
    <d v="2015-07-28T18:34:00"/>
    <x v="2"/>
    <x v="0"/>
    <x v="7"/>
    <n v="8"/>
    <m/>
    <n v="87"/>
    <n v="87"/>
  </r>
  <r>
    <s v="SBG - Mobile"/>
    <x v="2"/>
    <s v="Bug"/>
    <s v="MOBL-550"/>
    <s v="Move all of the Mobile image/CSS/JS to CDN"/>
    <s v="Bug"/>
    <x v="1"/>
    <d v="2015-07-29T18:30:00"/>
    <x v="2"/>
    <x v="0"/>
    <x v="18"/>
    <n v="4"/>
    <m/>
    <n v="147.9"/>
    <n v="26.100000000000005"/>
  </r>
  <r>
    <s v="SBG - Mobile"/>
    <x v="0"/>
    <s v="Bug"/>
    <s v="MOBL-550"/>
    <s v="Move all of the Mobile image/CSS/JS to CDN"/>
    <s v="Bug"/>
    <x v="1"/>
    <d v="2015-07-29T18:38:00"/>
    <x v="2"/>
    <x v="0"/>
    <x v="7"/>
    <n v="5"/>
    <m/>
    <n v="87"/>
    <n v="87"/>
  </r>
  <r>
    <s v="SBG - Mobile"/>
    <x v="1"/>
    <s v="Bug"/>
    <s v="MOBL-550"/>
    <s v="Move all of the Mobile image/CSS/JS to CDN"/>
    <s v="Bug"/>
    <x v="1"/>
    <d v="2015-07-29T19:52:00"/>
    <x v="2"/>
    <x v="0"/>
    <x v="8"/>
    <n v="8"/>
    <m/>
    <n v="147.9"/>
    <n v="26.100000000000005"/>
  </r>
  <r>
    <s v="SBG - Mobile"/>
    <x v="0"/>
    <s v="Bug"/>
    <s v="MOBL-550"/>
    <s v="Move all of the Mobile image/CSS/JS to CDN"/>
    <s v="Bug"/>
    <x v="1"/>
    <d v="2015-07-30T18:30:00"/>
    <x v="2"/>
    <x v="0"/>
    <x v="7"/>
    <n v="6"/>
    <m/>
    <n v="87"/>
    <n v="87"/>
  </r>
  <r>
    <s v="SBG - Mobile"/>
    <x v="0"/>
    <s v="Bug"/>
    <s v="MOBL-550"/>
    <s v="Move all of the Mobile image/CSS/JS to CDN"/>
    <s v="Bug"/>
    <x v="1"/>
    <d v="2015-07-31T18:27:00"/>
    <x v="2"/>
    <x v="0"/>
    <x v="7"/>
    <n v="7"/>
    <m/>
    <n v="87"/>
    <n v="87"/>
  </r>
  <r>
    <s v="SBG - Mobile"/>
    <x v="0"/>
    <s v="Technical task"/>
    <s v="MOBL-551"/>
    <s v="MOBL-473&gt; when editing shipping address, should hide billing address"/>
    <s v="Technical task"/>
    <x v="0"/>
    <d v="2015-07-28T16:05:00"/>
    <x v="2"/>
    <x v="0"/>
    <x v="19"/>
    <n v="1"/>
    <m/>
    <n v="87"/>
    <n v="87"/>
  </r>
  <r>
    <s v="SBG - Mobile"/>
    <x v="1"/>
    <s v="Technical task"/>
    <s v="MOBL-551"/>
    <s v="MOBL-473&gt; when editing shipping address, should hide billing address"/>
    <s v="Technical task"/>
    <x v="0"/>
    <d v="2015-07-28T18:45:00"/>
    <x v="2"/>
    <x v="0"/>
    <x v="8"/>
    <n v="3"/>
    <m/>
    <n v="147.9"/>
    <n v="26.100000000000005"/>
  </r>
  <r>
    <s v="SBG - Mobile"/>
    <x v="0"/>
    <s v="Technical task"/>
    <s v="MOBL-552"/>
    <s v="MOBL-473&gt; make Address 1 align with the title"/>
    <s v="Technical task"/>
    <x v="0"/>
    <d v="2015-07-28T16:21:00"/>
    <x v="2"/>
    <x v="0"/>
    <x v="19"/>
    <n v="0.5"/>
    <m/>
    <n v="87"/>
    <n v="87"/>
  </r>
  <r>
    <s v="SBG - Mobile"/>
    <x v="1"/>
    <s v="Technical task"/>
    <s v="MOBL-552"/>
    <s v="MOBL-473&gt; make Address 1 align with the title"/>
    <s v="Technical task"/>
    <x v="0"/>
    <d v="2015-07-28T18:44:00"/>
    <x v="2"/>
    <x v="0"/>
    <x v="8"/>
    <n v="1"/>
    <m/>
    <n v="147.9"/>
    <n v="26.100000000000005"/>
  </r>
  <r>
    <s v="SBG - Mobile"/>
    <x v="0"/>
    <s v="Bug"/>
    <s v="MOBL-553"/>
    <s v="New mobile homepage - brand logo should not use CSS to control width"/>
    <s v="Bug"/>
    <x v="1"/>
    <d v="2015-07-28T17:46:00"/>
    <x v="2"/>
    <x v="0"/>
    <x v="19"/>
    <n v="0.16700000000000001"/>
    <m/>
    <n v="87"/>
    <n v="87"/>
  </r>
  <r>
    <s v="SBG - Mobile"/>
    <x v="2"/>
    <s v="Bug"/>
    <s v="MOBL-554"/>
    <s v="Filter and hyphen fix new mobile website"/>
    <s v="Bug"/>
    <x v="1"/>
    <d v="2015-07-31T11:47:00"/>
    <x v="2"/>
    <x v="0"/>
    <x v="18"/>
    <n v="1"/>
    <m/>
    <n v="147.9"/>
    <n v="26.100000000000005"/>
  </r>
  <r>
    <s v="SBG - Mobile"/>
    <x v="4"/>
    <s v="Bug"/>
    <s v="MOBL-554"/>
    <s v="Filter and hyphen fix new mobile website"/>
    <s v="Bug"/>
    <x v="1"/>
    <d v="2015-07-31T14:19:00"/>
    <x v="2"/>
    <x v="0"/>
    <x v="13"/>
    <n v="3"/>
    <m/>
    <n v="147.9"/>
    <n v="26.100000000000005"/>
  </r>
  <r>
    <s v="SBG - Mobile"/>
    <x v="2"/>
    <s v="Technical task"/>
    <s v="MOBL-555"/>
    <s v="MOBL-308&gt; Continue button do not change to yellow on check out page step 2"/>
    <s v="Technical task"/>
    <x v="0"/>
    <d v="2015-07-30T11:16:00"/>
    <x v="2"/>
    <x v="0"/>
    <x v="11"/>
    <n v="5"/>
    <m/>
    <n v="147.9"/>
    <n v="26.100000000000005"/>
  </r>
  <r>
    <s v="SBG - Mobile"/>
    <x v="0"/>
    <s v="Technical task"/>
    <s v="MOBL-555"/>
    <s v="MOBL-308&gt; Continue button do not change to yellow on check out page step 2"/>
    <s v="Technical task"/>
    <x v="0"/>
    <d v="2015-07-31T17:50:00"/>
    <x v="2"/>
    <x v="0"/>
    <x v="19"/>
    <n v="1"/>
    <m/>
    <n v="87"/>
    <n v="87"/>
  </r>
  <r>
    <s v="SBG - Mobile"/>
    <x v="0"/>
    <s v="Sub-task"/>
    <s v="MOBL-556"/>
    <s v="MOBL-308&gt; CheckOut Page--gc payment default position need to change modest on mobile"/>
    <s v="Sub-task"/>
    <x v="0"/>
    <d v="2015-07-31T17:49:00"/>
    <x v="2"/>
    <x v="0"/>
    <x v="19"/>
    <n v="1"/>
    <m/>
    <n v="87"/>
    <n v="87"/>
  </r>
  <r>
    <s v="SBG - Mobile"/>
    <x v="0"/>
    <s v="Bug"/>
    <s v="MOBL-662"/>
    <s v="Product Pages Missing H1"/>
    <s v="Bug"/>
    <x v="1"/>
    <d v="2015-07-09T14:57:00"/>
    <x v="2"/>
    <x v="0"/>
    <x v="19"/>
    <n v="0.5"/>
    <m/>
    <n v="87"/>
    <n v="87"/>
  </r>
  <r>
    <s v="SBG - Mobile"/>
    <x v="3"/>
    <s v="Bug"/>
    <s v="MOBL-662"/>
    <s v="Product Pages Missing H1"/>
    <s v="Bug"/>
    <x v="1"/>
    <d v="2015-07-24T10:59:00"/>
    <x v="2"/>
    <x v="0"/>
    <x v="3"/>
    <n v="1"/>
    <m/>
    <n v="87"/>
    <n v="87"/>
  </r>
  <r>
    <s v="SBG - Mobile"/>
    <x v="0"/>
    <s v="Bug"/>
    <s v="MOBL-703"/>
    <s v="Language and Spacing errors on Mobile English pages that can't be fixed on OM"/>
    <s v="Bug"/>
    <x v="1"/>
    <d v="2015-07-17T14:41:00"/>
    <x v="2"/>
    <x v="0"/>
    <x v="19"/>
    <n v="0.66700000000000004"/>
    <m/>
    <n v="87"/>
    <n v="87"/>
  </r>
  <r>
    <s v="SBG - Mobile"/>
    <x v="0"/>
    <s v="Bug"/>
    <s v="MOBL-703"/>
    <s v="Language and Spacing errors on Mobile English pages that can't be fixed on OM"/>
    <s v="Bug"/>
    <x v="1"/>
    <d v="2015-07-20T08:58:00"/>
    <x v="2"/>
    <x v="0"/>
    <x v="19"/>
    <n v="8"/>
    <m/>
    <n v="87"/>
    <n v="87"/>
  </r>
  <r>
    <s v="SBG - Mobile"/>
    <x v="0"/>
    <s v="Bug"/>
    <s v="MOBL-703"/>
    <s v="Language and Spacing errors on Mobile English pages that can't be fixed on OM"/>
    <s v="Bug"/>
    <x v="1"/>
    <d v="2015-07-27T13:01:00"/>
    <x v="2"/>
    <x v="0"/>
    <x v="19"/>
    <n v="4"/>
    <m/>
    <n v="87"/>
    <n v="87"/>
  </r>
  <r>
    <s v="SBG - Mobile"/>
    <x v="0"/>
    <s v="Bug"/>
    <s v="MOBL-704"/>
    <s v="New mobile page H1 in footer"/>
    <s v="Bug"/>
    <x v="1"/>
    <d v="2015-07-09T14:17:00"/>
    <x v="2"/>
    <x v="0"/>
    <x v="19"/>
    <n v="0.33300000000000002"/>
    <m/>
    <n v="87"/>
    <n v="87"/>
  </r>
  <r>
    <s v="SBG - Mobile"/>
    <x v="3"/>
    <s v="Bug"/>
    <s v="MOBL-704"/>
    <s v="New mobile page H1 in footer"/>
    <s v="Bug"/>
    <x v="1"/>
    <d v="2015-07-24T10:59:00"/>
    <x v="2"/>
    <x v="0"/>
    <x v="3"/>
    <n v="1"/>
    <m/>
    <n v="87"/>
    <n v="87"/>
  </r>
  <r>
    <s v="SBG - Mobile"/>
    <x v="3"/>
    <s v="Bug"/>
    <s v="MOBL-712"/>
    <s v="Missing Canonical Tags on new Mobile Website"/>
    <s v="Bug"/>
    <x v="1"/>
    <d v="2015-07-24T10:59:00"/>
    <x v="2"/>
    <x v="0"/>
    <x v="3"/>
    <n v="1"/>
    <m/>
    <n v="87"/>
    <n v="87"/>
  </r>
  <r>
    <s v="SBG - Mobile"/>
    <x v="0"/>
    <s v="Bug"/>
    <s v="MOBL-715"/>
    <s v="Unnecessary H2 Tag New Mobile Page"/>
    <s v="Bug"/>
    <x v="1"/>
    <d v="2015-07-09T14:21:00"/>
    <x v="2"/>
    <x v="0"/>
    <x v="19"/>
    <n v="0.33300000000000002"/>
    <m/>
    <n v="87"/>
    <n v="87"/>
  </r>
  <r>
    <s v="SBG - Mobile"/>
    <x v="3"/>
    <s v="Bug"/>
    <s v="MOBL-715"/>
    <s v="Unnecessary H2 Tag New Mobile Page"/>
    <s v="Bug"/>
    <x v="1"/>
    <d v="2015-07-24T10:59:00"/>
    <x v="2"/>
    <x v="0"/>
    <x v="3"/>
    <n v="1"/>
    <m/>
    <n v="87"/>
    <n v="87"/>
  </r>
  <r>
    <s v="SBG - Mobile"/>
    <x v="3"/>
    <s v="Bug"/>
    <s v="MOBL-764"/>
    <s v="Shorten H1 tag for Grid Pages, New Mobile Page"/>
    <s v="Bug"/>
    <x v="1"/>
    <d v="2015-07-24T10:59:00"/>
    <x v="2"/>
    <x v="0"/>
    <x v="3"/>
    <n v="1"/>
    <m/>
    <n v="87"/>
    <n v="87"/>
  </r>
  <r>
    <s v="SBG - Mobile"/>
    <x v="2"/>
    <s v="Bug"/>
    <s v="MOBL-790"/>
    <s v="H2 tag in footer"/>
    <s v="Bug"/>
    <x v="1"/>
    <d v="2015-07-09T09:26:00"/>
    <x v="2"/>
    <x v="0"/>
    <x v="18"/>
    <n v="1"/>
    <m/>
    <n v="147.9"/>
    <n v="26.100000000000005"/>
  </r>
  <r>
    <s v="SBG - Mobile"/>
    <x v="3"/>
    <s v="Bug"/>
    <s v="MOBL-790"/>
    <s v="H2 tag in footer"/>
    <s v="Bug"/>
    <x v="1"/>
    <d v="2015-07-24T11:00:00"/>
    <x v="2"/>
    <x v="0"/>
    <x v="3"/>
    <n v="1"/>
    <m/>
    <n v="87"/>
    <n v="87"/>
  </r>
  <r>
    <s v="SBG - Mobile"/>
    <x v="2"/>
    <s v="Bug"/>
    <s v="MOBL-808"/>
    <s v="&quot;SBG Referral&quot; code does not work on mobile"/>
    <s v="Bug"/>
    <x v="1"/>
    <d v="2015-07-13T18:36:00"/>
    <x v="2"/>
    <x v="0"/>
    <x v="10"/>
    <n v="5.5"/>
    <m/>
    <n v="147.9"/>
    <n v="26.100000000000005"/>
  </r>
  <r>
    <s v="SBG - Mobile"/>
    <x v="1"/>
    <s v="Bug"/>
    <s v="MOBL-808"/>
    <s v="&quot;SBG Referral&quot; code does not work on mobile"/>
    <s v="Bug"/>
    <x v="1"/>
    <d v="2015-07-22T17:42:00"/>
    <x v="2"/>
    <x v="0"/>
    <x v="1"/>
    <n v="1"/>
    <m/>
    <n v="147.9"/>
    <n v="26.100000000000005"/>
  </r>
  <r>
    <s v="SBG - Mobile"/>
    <x v="2"/>
    <s v="Bug"/>
    <s v="MOBL-808"/>
    <s v="&quot;SBG Referral&quot; code does not work on mobile"/>
    <s v="Bug"/>
    <x v="1"/>
    <d v="2015-07-23T10:30:00"/>
    <x v="2"/>
    <x v="0"/>
    <x v="10"/>
    <n v="1"/>
    <m/>
    <n v="147.9"/>
    <n v="26.100000000000005"/>
  </r>
  <r>
    <s v="SBG - Mobile"/>
    <x v="1"/>
    <s v="Bug"/>
    <s v="MOBL-808"/>
    <s v="&quot;SBG Referral&quot; code does not work on mobile"/>
    <s v="Bug"/>
    <x v="1"/>
    <d v="2015-07-24T17:50:00"/>
    <x v="2"/>
    <x v="0"/>
    <x v="1"/>
    <n v="3"/>
    <m/>
    <n v="147.9"/>
    <n v="26.100000000000005"/>
  </r>
  <r>
    <s v="SBG - Mobile"/>
    <x v="2"/>
    <s v="Bug"/>
    <s v="MOBL-828"/>
    <s v="Shorten H1 Mobile Category Pages"/>
    <s v="Bug"/>
    <x v="1"/>
    <d v="2015-07-09T17:02:00"/>
    <x v="2"/>
    <x v="0"/>
    <x v="10"/>
    <n v="1"/>
    <m/>
    <n v="147.9"/>
    <n v="26.100000000000005"/>
  </r>
  <r>
    <s v="SBG - Mobile"/>
    <x v="3"/>
    <s v="Bug"/>
    <s v="MOBL-828"/>
    <s v="Shorten H1 Mobile Category Pages"/>
    <s v="Bug"/>
    <x v="1"/>
    <d v="2015-07-24T11:00:00"/>
    <x v="2"/>
    <x v="0"/>
    <x v="3"/>
    <n v="1"/>
    <m/>
    <n v="87"/>
    <n v="87"/>
  </r>
  <r>
    <s v="SBG - Mobile"/>
    <x v="2"/>
    <s v="Task"/>
    <s v="MOBL-913"/>
    <s v="Turkey TR - Adding new language and new domain for algolia search"/>
    <s v="Task"/>
    <x v="0"/>
    <d v="2015-07-10T11:51:00"/>
    <x v="2"/>
    <x v="0"/>
    <x v="2"/>
    <n v="3"/>
    <m/>
    <n v="147.9"/>
    <n v="26.100000000000005"/>
  </r>
  <r>
    <s v="SBG - Mobile"/>
    <x v="2"/>
    <s v="Task"/>
    <s v="MOBL-913"/>
    <s v="Turkey TR - Adding new language and new domain for algolia search"/>
    <s v="Task"/>
    <x v="0"/>
    <d v="2015-07-14T11:51:00"/>
    <x v="2"/>
    <x v="0"/>
    <x v="2"/>
    <n v="2"/>
    <m/>
    <n v="147.9"/>
    <n v="26.100000000000005"/>
  </r>
  <r>
    <s v="SBG - Mobile"/>
    <x v="2"/>
    <s v="Task"/>
    <s v="MOBL-913"/>
    <s v="Turkey TR - Adding new language and new domain for algolia search"/>
    <s v="Task"/>
    <x v="0"/>
    <d v="2015-07-17T12:39:00"/>
    <x v="2"/>
    <x v="0"/>
    <x v="2"/>
    <n v="5"/>
    <m/>
    <n v="147.9"/>
    <n v="26.100000000000005"/>
  </r>
  <r>
    <s v="SBG - Mobile"/>
    <x v="2"/>
    <s v="Task"/>
    <s v="MOBL-913"/>
    <s v="Turkey TR - Adding new language and new domain for algolia search"/>
    <s v="Task"/>
    <x v="0"/>
    <d v="2015-07-20T12:02:00"/>
    <x v="2"/>
    <x v="0"/>
    <x v="2"/>
    <n v="5"/>
    <m/>
    <n v="147.9"/>
    <n v="26.100000000000005"/>
  </r>
  <r>
    <s v="SBG - Mobile"/>
    <x v="2"/>
    <s v="Task"/>
    <s v="MOBL-913"/>
    <s v="Turkey TR - Adding new language and new domain for algolia search"/>
    <s v="Task"/>
    <x v="0"/>
    <d v="2015-07-20T12:39:00"/>
    <x v="2"/>
    <x v="0"/>
    <x v="2"/>
    <n v="3"/>
    <m/>
    <n v="147.9"/>
    <n v="26.100000000000005"/>
  </r>
  <r>
    <s v="SBG - Mobile"/>
    <x v="2"/>
    <s v="Task"/>
    <s v="MOBL-913"/>
    <s v="Turkey TR - Adding new language and new domain for algolia search"/>
    <s v="Task"/>
    <x v="0"/>
    <d v="2015-07-27T11:48:00"/>
    <x v="2"/>
    <x v="0"/>
    <x v="2"/>
    <n v="2"/>
    <m/>
    <n v="147.9"/>
    <n v="26.100000000000005"/>
  </r>
  <r>
    <s v="SBG - Mobile"/>
    <x v="2"/>
    <s v="Task"/>
    <s v="MOBL-913"/>
    <s v="Turkey TR - Adding new language and new domain for algolia search"/>
    <s v="Task"/>
    <x v="0"/>
    <d v="2015-07-29T11:48:00"/>
    <x v="2"/>
    <x v="0"/>
    <x v="2"/>
    <n v="4"/>
    <m/>
    <n v="147.9"/>
    <n v="26.100000000000005"/>
  </r>
  <r>
    <s v="SBG - Mobile"/>
    <x v="2"/>
    <s v="Task"/>
    <s v="MOBL-913"/>
    <s v="Turkey TR - Adding new language and new domain for algolia search"/>
    <s v="Task"/>
    <x v="0"/>
    <d v="2015-07-31T11:49:00"/>
    <x v="2"/>
    <x v="0"/>
    <x v="2"/>
    <n v="5"/>
    <m/>
    <n v="147.9"/>
    <n v="26.100000000000005"/>
  </r>
  <r>
    <s v="Backend - OM"/>
    <x v="2"/>
    <s v="New Feature"/>
    <s v="OM-135"/>
    <s v="Move CA orders to HK warehouse"/>
    <s v="New Feature"/>
    <x v="0"/>
    <d v="2015-06-10T17:01:00"/>
    <x v="6"/>
    <x v="0"/>
    <x v="9"/>
    <n v="1"/>
    <m/>
    <n v="141.1"/>
    <n v="24.900000000000002"/>
  </r>
  <r>
    <s v="Backend - OM"/>
    <x v="2"/>
    <s v="New Feature"/>
    <s v="OM-136"/>
    <s v="Shipping Rules in OM"/>
    <s v="New Feature"/>
    <x v="0"/>
    <d v="2015-07-13T17:08:00"/>
    <x v="2"/>
    <x v="0"/>
    <x v="9"/>
    <n v="4"/>
    <m/>
    <n v="147.9"/>
    <n v="26.100000000000005"/>
  </r>
  <r>
    <s v="Backend - OM"/>
    <x v="3"/>
    <s v="New Feature"/>
    <s v="OM-136"/>
    <s v="Shipping Rules in OM"/>
    <s v="New Feature"/>
    <x v="0"/>
    <d v="2015-07-24T11:03:00"/>
    <x v="2"/>
    <x v="0"/>
    <x v="3"/>
    <n v="1"/>
    <m/>
    <n v="87"/>
    <n v="87"/>
  </r>
  <r>
    <s v="Backend - OM"/>
    <x v="3"/>
    <s v="New Feature"/>
    <s v="OM-136"/>
    <s v="Shipping Rules in OM"/>
    <s v="New Feature"/>
    <x v="0"/>
    <d v="2015-07-24T11:04:00"/>
    <x v="2"/>
    <x v="0"/>
    <x v="3"/>
    <n v="1"/>
    <m/>
    <n v="87"/>
    <n v="87"/>
  </r>
  <r>
    <s v="Backend - OM"/>
    <x v="3"/>
    <s v="New Feature"/>
    <s v="OM-136"/>
    <s v="Shipping Rules in OM"/>
    <s v="New Feature"/>
    <x v="0"/>
    <d v="2015-07-24T11:04:00"/>
    <x v="2"/>
    <x v="0"/>
    <x v="3"/>
    <n v="1"/>
    <m/>
    <n v="87"/>
    <n v="87"/>
  </r>
  <r>
    <s v="Backend - OM"/>
    <x v="2"/>
    <s v="New Feature"/>
    <s v="OM-139"/>
    <s v="Courier Rule update"/>
    <s v="New Feature"/>
    <x v="0"/>
    <d v="2015-06-01T18:19:00"/>
    <x v="6"/>
    <x v="0"/>
    <x v="16"/>
    <n v="0.05"/>
    <m/>
    <n v="141.1"/>
    <n v="24.900000000000002"/>
  </r>
  <r>
    <s v="Backend - OM"/>
    <x v="2"/>
    <s v="New Feature"/>
    <s v="OM-141"/>
    <s v="OM Payment-Accounting-Payment ranking improvement"/>
    <s v="New Feature"/>
    <x v="0"/>
    <d v="2015-06-08T17:43:00"/>
    <x v="6"/>
    <x v="0"/>
    <x v="9"/>
    <n v="2"/>
    <s v="GC API error check."/>
    <n v="141.1"/>
    <n v="24.900000000000002"/>
  </r>
  <r>
    <s v="Backend - OM"/>
    <x v="1"/>
    <s v="New Feature"/>
    <s v="OM-141"/>
    <s v="OM Payment-Accounting-Payment ranking improvement"/>
    <s v="New Feature"/>
    <x v="0"/>
    <d v="2015-07-14T17:05:00"/>
    <x v="2"/>
    <x v="0"/>
    <x v="8"/>
    <n v="0.5"/>
    <m/>
    <n v="147.9"/>
    <n v="26.100000000000005"/>
  </r>
  <r>
    <s v="Backend - OM"/>
    <x v="2"/>
    <s v="New Feature"/>
    <s v="OM-141"/>
    <s v="OM Payment-Accounting-Payment ranking improvement"/>
    <s v="New Feature"/>
    <x v="0"/>
    <d v="2015-07-14T18:31:00"/>
    <x v="2"/>
    <x v="0"/>
    <x v="9"/>
    <n v="4"/>
    <m/>
    <n v="147.9"/>
    <n v="26.100000000000005"/>
  </r>
  <r>
    <s v="Backend - OM"/>
    <x v="2"/>
    <s v="New Feature"/>
    <s v="OM-141"/>
    <s v="OM Payment-Accounting-Payment ranking improvement"/>
    <s v="New Feature"/>
    <x v="0"/>
    <d v="2015-07-15T18:25:00"/>
    <x v="2"/>
    <x v="0"/>
    <x v="9"/>
    <n v="5"/>
    <m/>
    <n v="147.9"/>
    <n v="26.100000000000005"/>
  </r>
  <r>
    <s v="Backend - OM"/>
    <x v="2"/>
    <s v="New Feature"/>
    <s v="OM-141"/>
    <s v="OM Payment-Accounting-Payment ranking improvement"/>
    <s v="New Feature"/>
    <x v="0"/>
    <d v="2015-07-16T18:29:00"/>
    <x v="2"/>
    <x v="0"/>
    <x v="9"/>
    <n v="1"/>
    <m/>
    <n v="147.9"/>
    <n v="26.100000000000005"/>
  </r>
  <r>
    <s v="Backend - OM"/>
    <x v="3"/>
    <s v="New Feature"/>
    <s v="OM-141"/>
    <s v="OM Payment-Accounting-Payment ranking improvement"/>
    <s v="New Feature"/>
    <x v="0"/>
    <d v="2015-07-24T11:04:00"/>
    <x v="2"/>
    <x v="0"/>
    <x v="3"/>
    <n v="1"/>
    <m/>
    <n v="87"/>
    <n v="87"/>
  </r>
  <r>
    <s v="Backend - OM"/>
    <x v="3"/>
    <s v="New Feature"/>
    <s v="OM-141"/>
    <s v="OM Payment-Accounting-Payment ranking improvement"/>
    <s v="New Feature"/>
    <x v="0"/>
    <d v="2015-07-24T11:05:00"/>
    <x v="2"/>
    <x v="0"/>
    <x v="3"/>
    <n v="1"/>
    <m/>
    <n v="87"/>
    <n v="87"/>
  </r>
  <r>
    <s v="Backend - OM"/>
    <x v="2"/>
    <s v="New Feature"/>
    <s v="OM-142"/>
    <s v="Data Crawler OM Matching"/>
    <s v="New Feature"/>
    <x v="0"/>
    <d v="2015-06-02T09:59:00"/>
    <x v="6"/>
    <x v="0"/>
    <x v="16"/>
    <n v="8"/>
    <m/>
    <n v="141.1"/>
    <n v="24.900000000000002"/>
  </r>
  <r>
    <s v="Backend - OM"/>
    <x v="2"/>
    <s v="New Feature"/>
    <s v="OM-142"/>
    <s v="Data Crawler OM Matching"/>
    <s v="New Feature"/>
    <x v="0"/>
    <d v="2015-06-03T09:41:00"/>
    <x v="6"/>
    <x v="0"/>
    <x v="16"/>
    <n v="8"/>
    <m/>
    <n v="141.1"/>
    <n v="24.900000000000002"/>
  </r>
  <r>
    <s v="Backend - OM"/>
    <x v="2"/>
    <s v="New Feature"/>
    <s v="OM-142"/>
    <s v="Data Crawler OM Matching"/>
    <s v="New Feature"/>
    <x v="0"/>
    <d v="2015-06-04T12:11:00"/>
    <x v="6"/>
    <x v="0"/>
    <x v="16"/>
    <n v="4"/>
    <s v="new upc list"/>
    <n v="141.1"/>
    <n v="24.900000000000002"/>
  </r>
  <r>
    <s v="Backend - OM"/>
    <x v="2"/>
    <s v="New Feature"/>
    <s v="OM-142"/>
    <s v="Data Crawler OM Matching"/>
    <s v="New Feature"/>
    <x v="0"/>
    <d v="2015-07-14T17:47:00"/>
    <x v="2"/>
    <x v="0"/>
    <x v="16"/>
    <n v="8"/>
    <m/>
    <n v="147.9"/>
    <n v="26.100000000000005"/>
  </r>
  <r>
    <s v="Backend - OM"/>
    <x v="2"/>
    <s v="New Feature"/>
    <s v="OM-142"/>
    <s v="Data Crawler OM Matching"/>
    <s v="New Feature"/>
    <x v="0"/>
    <d v="2015-07-15T17:46:00"/>
    <x v="2"/>
    <x v="0"/>
    <x v="16"/>
    <n v="8"/>
    <m/>
    <n v="147.9"/>
    <n v="26.100000000000005"/>
  </r>
  <r>
    <s v="Backend - OM"/>
    <x v="3"/>
    <s v="New Feature"/>
    <s v="OM-142"/>
    <s v="Data Crawler OM Matching"/>
    <s v="New Feature"/>
    <x v="0"/>
    <d v="2015-07-24T11:05:00"/>
    <x v="2"/>
    <x v="0"/>
    <x v="3"/>
    <n v="1"/>
    <m/>
    <n v="87"/>
    <n v="87"/>
  </r>
  <r>
    <s v="Backend - OM"/>
    <x v="3"/>
    <s v="New Feature"/>
    <s v="OM-142"/>
    <s v="Data Crawler OM Matching"/>
    <s v="New Feature"/>
    <x v="0"/>
    <d v="2015-07-24T11:05:00"/>
    <x v="2"/>
    <x v="0"/>
    <x v="3"/>
    <n v="1"/>
    <m/>
    <n v="87"/>
    <n v="87"/>
  </r>
  <r>
    <s v="Backend - OM"/>
    <x v="1"/>
    <s v="Technical task"/>
    <s v="OM-147"/>
    <s v="OM-138&gt; Prescription process stage 2 - Auto Responder"/>
    <s v="Technical task"/>
    <x v="0"/>
    <d v="2015-06-02T14:13:00"/>
    <x v="6"/>
    <x v="0"/>
    <x v="8"/>
    <n v="0.5"/>
    <m/>
    <n v="141.1"/>
    <n v="24.900000000000002"/>
  </r>
  <r>
    <s v="Backend - OM"/>
    <x v="2"/>
    <s v="Improvement"/>
    <s v="OM-172"/>
    <s v="Add currency in GC API for countries"/>
    <s v="Improvement"/>
    <x v="0"/>
    <d v="2015-06-09T15:44:00"/>
    <x v="6"/>
    <x v="0"/>
    <x v="9"/>
    <n v="4"/>
    <m/>
    <n v="141.1"/>
    <n v="24.900000000000002"/>
  </r>
  <r>
    <s v="Backend - OM"/>
    <x v="1"/>
    <s v="Improvement"/>
    <s v="OM-172"/>
    <s v="Add currency in GC API for countries"/>
    <s v="Improvement"/>
    <x v="0"/>
    <d v="2015-06-10T18:23:00"/>
    <x v="6"/>
    <x v="0"/>
    <x v="8"/>
    <n v="0.5"/>
    <m/>
    <n v="141.1"/>
    <n v="24.900000000000002"/>
  </r>
  <r>
    <s v="Backend - OM"/>
    <x v="2"/>
    <s v="Improvement"/>
    <s v="OM-172"/>
    <s v="Add currency in GC API for countries"/>
    <s v="Improvement"/>
    <x v="0"/>
    <d v="2015-06-11T18:38:00"/>
    <x v="6"/>
    <x v="0"/>
    <x v="9"/>
    <n v="3"/>
    <m/>
    <n v="141.1"/>
    <n v="24.900000000000002"/>
  </r>
  <r>
    <s v="Backend - OM"/>
    <x v="2"/>
    <s v="Improvement"/>
    <s v="OM-172"/>
    <s v="Add currency in GC API for countries"/>
    <s v="Improvement"/>
    <x v="0"/>
    <d v="2015-06-16T12:30:00"/>
    <x v="6"/>
    <x v="0"/>
    <x v="9"/>
    <n v="1"/>
    <m/>
    <n v="141.1"/>
    <n v="24.900000000000002"/>
  </r>
  <r>
    <s v="Backend - OM"/>
    <x v="2"/>
    <s v="Improvement"/>
    <s v="OM-173"/>
    <s v="Fraud + Refund and Cancel +Refund Export function + Other refund reason."/>
    <s v="Improvement"/>
    <x v="0"/>
    <d v="2015-06-01T18:35:00"/>
    <x v="6"/>
    <x v="0"/>
    <x v="9"/>
    <n v="3"/>
    <m/>
    <n v="141.1"/>
    <n v="24.900000000000002"/>
  </r>
  <r>
    <s v="Backend - OM"/>
    <x v="2"/>
    <s v="Improvement"/>
    <s v="OM-173"/>
    <s v="Fraud + Refund and Cancel +Refund Export function + Other refund reason."/>
    <s v="Improvement"/>
    <x v="0"/>
    <d v="2015-06-02T17:27:00"/>
    <x v="6"/>
    <x v="0"/>
    <x v="9"/>
    <n v="5"/>
    <m/>
    <n v="141.1"/>
    <n v="24.900000000000002"/>
  </r>
  <r>
    <s v="Backend - OM"/>
    <x v="2"/>
    <s v="Improvement"/>
    <s v="OM-173"/>
    <s v="Fraud + Refund and Cancel +Refund Export function + Other refund reason."/>
    <s v="Improvement"/>
    <x v="0"/>
    <d v="2015-06-08T17:53:00"/>
    <x v="6"/>
    <x v="0"/>
    <x v="9"/>
    <n v="3"/>
    <s v="refund improve function test. and check this issue : some order paied by GC, but have no payment log, check this issue: US0234259706G (GC log: Paid Amount USD + 185.20 2015-03-13 21:38) DE0230785805G (GC log: Paid Amount EUR + 204.95 2015-04-28 19:19) DE0223560305G US0234760906G BR0226305206GM JP0183132602G SW0227389705G 这些订单应该是通过快捷支付付款的，GC方面的payment log都在这个客人购买的第一个order下. this problem already talk with hank, he will be talk with Micheal and Andy later."/>
    <n v="141.1"/>
    <n v="24.900000000000002"/>
  </r>
  <r>
    <s v="Backend - OM"/>
    <x v="1"/>
    <s v="Improvement"/>
    <s v="OM-173"/>
    <s v="Fraud + Refund and Cancel +Refund Export function + Other refund reason."/>
    <s v="Improvement"/>
    <x v="0"/>
    <d v="2015-06-10T12:49:00"/>
    <x v="6"/>
    <x v="0"/>
    <x v="8"/>
    <n v="0.5"/>
    <m/>
    <n v="141.1"/>
    <n v="24.900000000000002"/>
  </r>
  <r>
    <s v="Backend - OM"/>
    <x v="2"/>
    <s v="Improvement"/>
    <s v="OM-173"/>
    <s v="Fraud + Refund and Cancel +Refund Export function + Other refund reason."/>
    <s v="Improvement"/>
    <x v="0"/>
    <d v="2015-06-10T15:34:00"/>
    <x v="6"/>
    <x v="0"/>
    <x v="9"/>
    <n v="3"/>
    <s v="test， detail complete， release！"/>
    <n v="141.1"/>
    <n v="24.900000000000002"/>
  </r>
  <r>
    <s v="Backend - OM"/>
    <x v="2"/>
    <s v="Improvement"/>
    <s v="OM-173"/>
    <s v="Fraud + Refund and Cancel +Refund Export function + Other refund reason."/>
    <s v="Improvement"/>
    <x v="0"/>
    <d v="2015-06-16T17:41:00"/>
    <x v="6"/>
    <x v="0"/>
    <x v="9"/>
    <n v="1"/>
    <m/>
    <n v="141.1"/>
    <n v="24.900000000000002"/>
  </r>
  <r>
    <s v="Backend - OM"/>
    <x v="2"/>
    <s v="Improvement"/>
    <s v="OM-174"/>
    <s v="Update Order Confirmed/Item Delayed ARs for 3-4 week brands"/>
    <s v="Improvement"/>
    <x v="0"/>
    <d v="2015-06-11T18:39:00"/>
    <x v="6"/>
    <x v="0"/>
    <x v="9"/>
    <n v="1"/>
    <m/>
    <n v="141.1"/>
    <n v="24.900000000000002"/>
  </r>
  <r>
    <s v="Backend - OM"/>
    <x v="2"/>
    <s v="Improvement"/>
    <s v="OM-174"/>
    <s v="Update Order Confirmed/Item Delayed ARs for 3-4 week brands"/>
    <s v="Improvement"/>
    <x v="0"/>
    <d v="2015-06-15T11:51:00"/>
    <x v="6"/>
    <x v="0"/>
    <x v="9"/>
    <n v="6"/>
    <m/>
    <n v="141.1"/>
    <n v="24.900000000000002"/>
  </r>
  <r>
    <s v="Backend - OM"/>
    <x v="2"/>
    <s v="Improvement"/>
    <s v="OM-174"/>
    <s v="Update Order Confirmed/Item Delayed ARs for 3-4 week brands"/>
    <s v="Improvement"/>
    <x v="0"/>
    <d v="2015-06-16T17:34:00"/>
    <x v="6"/>
    <x v="0"/>
    <x v="9"/>
    <n v="1"/>
    <m/>
    <n v="141.1"/>
    <n v="24.900000000000002"/>
  </r>
  <r>
    <s v="Backend - OM"/>
    <x v="2"/>
    <s v="Improvement"/>
    <s v="OM-174"/>
    <s v="Update Order Confirmed/Item Delayed ARs for 3-4 week brands"/>
    <s v="Improvement"/>
    <x v="0"/>
    <d v="2015-06-16T17:42:00"/>
    <x v="6"/>
    <x v="0"/>
    <x v="9"/>
    <n v="3"/>
    <m/>
    <n v="141.1"/>
    <n v="24.900000000000002"/>
  </r>
  <r>
    <s v="Backend - OM"/>
    <x v="2"/>
    <s v="Improvement"/>
    <s v="OM-174"/>
    <s v="Update Order Confirmed/Item Delayed ARs for 3-4 week brands"/>
    <s v="Improvement"/>
    <x v="0"/>
    <d v="2015-06-18T18:17:00"/>
    <x v="6"/>
    <x v="0"/>
    <x v="9"/>
    <n v="7"/>
    <s v="test and release!"/>
    <n v="141.1"/>
    <n v="24.900000000000002"/>
  </r>
  <r>
    <s v="Backend - OM"/>
    <x v="2"/>
    <s v="Bug"/>
    <s v="OM-175"/>
    <s v="health fund function"/>
    <s v="Bug"/>
    <x v="1"/>
    <d v="2015-06-01T15:50:00"/>
    <x v="6"/>
    <x v="0"/>
    <x v="2"/>
    <n v="4"/>
    <m/>
    <n v="141.1"/>
    <n v="24.900000000000002"/>
  </r>
  <r>
    <s v="Backend - OM"/>
    <x v="1"/>
    <s v="Bug"/>
    <s v="OM-175"/>
    <s v="health fund function"/>
    <s v="Bug"/>
    <x v="1"/>
    <d v="2015-06-01T17:13:00"/>
    <x v="6"/>
    <x v="0"/>
    <x v="1"/>
    <n v="3"/>
    <m/>
    <n v="141.1"/>
    <n v="24.900000000000002"/>
  </r>
  <r>
    <s v="Backend - OM"/>
    <x v="1"/>
    <s v="Bug"/>
    <s v="OM-175"/>
    <s v="health fund function"/>
    <s v="Bug"/>
    <x v="1"/>
    <d v="2015-06-08T18:35:00"/>
    <x v="6"/>
    <x v="0"/>
    <x v="1"/>
    <n v="3"/>
    <s v="Find out data issue"/>
    <n v="141.1"/>
    <n v="24.900000000000002"/>
  </r>
  <r>
    <s v="Backend - OM"/>
    <x v="2"/>
    <s v="Bug"/>
    <s v="OM-175"/>
    <s v="health fund function"/>
    <s v="Bug"/>
    <x v="1"/>
    <d v="2015-07-02T18:36:00"/>
    <x v="2"/>
    <x v="0"/>
    <x v="2"/>
    <n v="8"/>
    <m/>
    <n v="147.9"/>
    <n v="26.100000000000005"/>
  </r>
  <r>
    <s v="Backend - OM"/>
    <x v="2"/>
    <s v="Bug"/>
    <s v="OM-176"/>
    <s v="IT Lux stars report"/>
    <s v="Bug"/>
    <x v="1"/>
    <d v="2015-06-15T11:13:00"/>
    <x v="6"/>
    <x v="0"/>
    <x v="9"/>
    <n v="1"/>
    <m/>
    <n v="141.1"/>
    <n v="24.900000000000002"/>
  </r>
  <r>
    <s v="Backend - OM"/>
    <x v="1"/>
    <s v="Improvement"/>
    <s v="OM-181"/>
    <s v="EDM Function Improve"/>
    <s v="Improvement"/>
    <x v="0"/>
    <d v="2015-06-15T18:53:00"/>
    <x v="6"/>
    <x v="0"/>
    <x v="1"/>
    <n v="6"/>
    <m/>
    <n v="141.1"/>
    <n v="24.900000000000002"/>
  </r>
  <r>
    <s v="Backend - OM"/>
    <x v="1"/>
    <s v="Improvement"/>
    <s v="OM-181"/>
    <s v="EDM Function Improve"/>
    <s v="Improvement"/>
    <x v="0"/>
    <d v="2015-06-16T18:54:00"/>
    <x v="6"/>
    <x v="0"/>
    <x v="1"/>
    <n v="3"/>
    <m/>
    <n v="141.1"/>
    <n v="24.900000000000002"/>
  </r>
  <r>
    <s v="Backend - OM"/>
    <x v="1"/>
    <s v="Improvement"/>
    <s v="OM-181"/>
    <s v="EDM Function Improve"/>
    <s v="Improvement"/>
    <x v="0"/>
    <d v="2015-06-17T18:54:00"/>
    <x v="6"/>
    <x v="0"/>
    <x v="1"/>
    <n v="3"/>
    <m/>
    <n v="141.1"/>
    <n v="24.900000000000002"/>
  </r>
  <r>
    <s v="Backend - OM"/>
    <x v="1"/>
    <s v="Improvement"/>
    <s v="OM-181"/>
    <s v="EDM Function Improve"/>
    <s v="Improvement"/>
    <x v="0"/>
    <d v="2015-06-18T18:54:00"/>
    <x v="6"/>
    <x v="0"/>
    <x v="1"/>
    <n v="2"/>
    <m/>
    <n v="141.1"/>
    <n v="24.900000000000002"/>
  </r>
  <r>
    <s v="Backend - OM"/>
    <x v="0"/>
    <s v="Improvement"/>
    <s v="OM-181"/>
    <s v="EDM Function Improve"/>
    <s v="Improvement"/>
    <x v="0"/>
    <d v="2015-06-19T12:51:00"/>
    <x v="6"/>
    <x v="0"/>
    <x v="0"/>
    <n v="2"/>
    <m/>
    <n v="83"/>
    <n v="83"/>
  </r>
  <r>
    <s v="Backend - OM"/>
    <x v="1"/>
    <s v="Improvement"/>
    <s v="OM-181"/>
    <s v="EDM Function Improve"/>
    <s v="Improvement"/>
    <x v="0"/>
    <d v="2015-06-19T18:55:00"/>
    <x v="6"/>
    <x v="0"/>
    <x v="1"/>
    <n v="6"/>
    <m/>
    <n v="141.1"/>
    <n v="24.900000000000002"/>
  </r>
  <r>
    <s v="Backend - OM"/>
    <x v="1"/>
    <s v="Improvement"/>
    <s v="OM-181"/>
    <s v="EDM Function Improve"/>
    <s v="Improvement"/>
    <x v="0"/>
    <d v="2015-06-23T18:52:00"/>
    <x v="6"/>
    <x v="0"/>
    <x v="1"/>
    <n v="4"/>
    <m/>
    <n v="141.1"/>
    <n v="24.900000000000002"/>
  </r>
  <r>
    <s v="Backend - OM"/>
    <x v="1"/>
    <s v="Improvement"/>
    <s v="OM-181"/>
    <s v="EDM Function Improve"/>
    <s v="Improvement"/>
    <x v="0"/>
    <d v="2015-06-24T17:00:00"/>
    <x v="6"/>
    <x v="0"/>
    <x v="1"/>
    <n v="1"/>
    <m/>
    <n v="141.1"/>
    <n v="24.900000000000002"/>
  </r>
  <r>
    <s v="Backend - OM"/>
    <x v="2"/>
    <s v="Improvement"/>
    <s v="OM-181"/>
    <s v="EDM Function Improve"/>
    <s v="Improvement"/>
    <x v="0"/>
    <d v="2015-06-24T18:38:00"/>
    <x v="6"/>
    <x v="0"/>
    <x v="9"/>
    <n v="4.5"/>
    <m/>
    <n v="141.1"/>
    <n v="24.900000000000002"/>
  </r>
  <r>
    <s v="Backend - OM"/>
    <x v="1"/>
    <s v="Improvement"/>
    <s v="OM-181"/>
    <s v="EDM Function Improve"/>
    <s v="Improvement"/>
    <x v="0"/>
    <d v="2015-06-25T18:25:00"/>
    <x v="6"/>
    <x v="0"/>
    <x v="1"/>
    <n v="1"/>
    <m/>
    <n v="141.1"/>
    <n v="24.900000000000002"/>
  </r>
  <r>
    <s v="Backend - OM"/>
    <x v="2"/>
    <s v="Improvement"/>
    <s v="OM-181"/>
    <s v="EDM Function Improve"/>
    <s v="Improvement"/>
    <x v="0"/>
    <d v="2015-06-25T18:36:00"/>
    <x v="6"/>
    <x v="0"/>
    <x v="9"/>
    <n v="8"/>
    <m/>
    <n v="141.1"/>
    <n v="24.900000000000002"/>
  </r>
  <r>
    <s v="Backend - OM"/>
    <x v="1"/>
    <s v="Improvement"/>
    <s v="OM-181"/>
    <s v="EDM Function Improve"/>
    <s v="Improvement"/>
    <x v="0"/>
    <d v="2015-06-26T18:21:00"/>
    <x v="6"/>
    <x v="0"/>
    <x v="1"/>
    <n v="1"/>
    <m/>
    <n v="141.1"/>
    <n v="24.900000000000002"/>
  </r>
  <r>
    <s v="Backend - OM"/>
    <x v="2"/>
    <s v="Improvement"/>
    <s v="OM-181"/>
    <s v="EDM Function Improve"/>
    <s v="Improvement"/>
    <x v="0"/>
    <d v="2015-06-26T18:38:00"/>
    <x v="6"/>
    <x v="0"/>
    <x v="9"/>
    <n v="8"/>
    <m/>
    <n v="141.1"/>
    <n v="24.900000000000002"/>
  </r>
  <r>
    <s v="Backend - OM"/>
    <x v="1"/>
    <s v="Improvement"/>
    <s v="OM-181"/>
    <s v="EDM Function Improve"/>
    <s v="Improvement"/>
    <x v="0"/>
    <d v="2015-06-26T18:50:00"/>
    <x v="6"/>
    <x v="0"/>
    <x v="1"/>
    <n v="5"/>
    <m/>
    <n v="141.1"/>
    <n v="24.900000000000002"/>
  </r>
  <r>
    <s v="Backend - OM"/>
    <x v="1"/>
    <s v="Improvement"/>
    <s v="OM-181"/>
    <s v="EDM Function Improve"/>
    <s v="Improvement"/>
    <x v="0"/>
    <d v="2015-06-29T18:28:00"/>
    <x v="6"/>
    <x v="0"/>
    <x v="1"/>
    <n v="4"/>
    <m/>
    <n v="141.1"/>
    <n v="24.900000000000002"/>
  </r>
  <r>
    <s v="Backend - OM"/>
    <x v="2"/>
    <s v="Improvement"/>
    <s v="OM-181"/>
    <s v="EDM Function Improve"/>
    <s v="Improvement"/>
    <x v="0"/>
    <d v="2015-06-29T18:59:00"/>
    <x v="6"/>
    <x v="0"/>
    <x v="9"/>
    <n v="4.5"/>
    <m/>
    <n v="141.1"/>
    <n v="24.900000000000002"/>
  </r>
  <r>
    <s v="Backend - OM"/>
    <x v="1"/>
    <s v="Improvement"/>
    <s v="OM-181"/>
    <s v="EDM Function Improve"/>
    <s v="Improvement"/>
    <x v="0"/>
    <d v="2015-06-30T18:15:00"/>
    <x v="6"/>
    <x v="0"/>
    <x v="1"/>
    <n v="3"/>
    <m/>
    <n v="141.1"/>
    <n v="24.900000000000002"/>
  </r>
  <r>
    <s v="Backend - OM"/>
    <x v="2"/>
    <s v="Improvement"/>
    <s v="OM-181"/>
    <s v="EDM Function Improve"/>
    <s v="Improvement"/>
    <x v="0"/>
    <d v="2015-06-30T18:26:00"/>
    <x v="6"/>
    <x v="0"/>
    <x v="9"/>
    <n v="4"/>
    <m/>
    <n v="141.1"/>
    <n v="24.900000000000002"/>
  </r>
  <r>
    <s v="Backend - OM"/>
    <x v="1"/>
    <s v="Improvement"/>
    <s v="OM-181"/>
    <s v="EDM Function Improve"/>
    <s v="Improvement"/>
    <x v="0"/>
    <d v="2015-07-01T18:19:00"/>
    <x v="2"/>
    <x v="0"/>
    <x v="1"/>
    <n v="4"/>
    <m/>
    <n v="147.9"/>
    <n v="26.100000000000005"/>
  </r>
  <r>
    <s v="Backend - OM"/>
    <x v="2"/>
    <s v="Improvement"/>
    <s v="OM-181"/>
    <s v="EDM Function Improve"/>
    <s v="Improvement"/>
    <x v="0"/>
    <d v="2015-07-01T18:21:00"/>
    <x v="2"/>
    <x v="0"/>
    <x v="9"/>
    <n v="7"/>
    <s v="add download function add image type function test"/>
    <n v="147.9"/>
    <n v="26.100000000000005"/>
  </r>
  <r>
    <s v="Backend - OM"/>
    <x v="1"/>
    <s v="Improvement"/>
    <s v="OM-181"/>
    <s v="EDM Function Improve"/>
    <s v="Improvement"/>
    <x v="0"/>
    <d v="2015-07-01T18:34:00"/>
    <x v="2"/>
    <x v="0"/>
    <x v="1"/>
    <n v="4"/>
    <m/>
    <n v="147.9"/>
    <n v="26.100000000000005"/>
  </r>
  <r>
    <s v="Backend - OM"/>
    <x v="2"/>
    <s v="Improvement"/>
    <s v="OM-181"/>
    <s v="EDM Function Improve"/>
    <s v="Improvement"/>
    <x v="0"/>
    <d v="2015-07-03T12:15:00"/>
    <x v="2"/>
    <x v="0"/>
    <x v="9"/>
    <n v="4"/>
    <m/>
    <n v="147.9"/>
    <n v="26.100000000000005"/>
  </r>
  <r>
    <s v="Backend - OM"/>
    <x v="1"/>
    <s v="Improvement"/>
    <s v="OM-181"/>
    <s v="EDM Function Improve"/>
    <s v="Improvement"/>
    <x v="0"/>
    <d v="2015-07-08T18:57:00"/>
    <x v="2"/>
    <x v="0"/>
    <x v="1"/>
    <n v="7"/>
    <m/>
    <n v="147.9"/>
    <n v="26.100000000000005"/>
  </r>
  <r>
    <s v="Backend - OM"/>
    <x v="2"/>
    <s v="Improvement"/>
    <s v="OM-181"/>
    <s v="EDM Function Improve"/>
    <s v="Improvement"/>
    <x v="0"/>
    <d v="2015-07-09T16:26:00"/>
    <x v="2"/>
    <x v="0"/>
    <x v="9"/>
    <n v="1"/>
    <m/>
    <n v="147.9"/>
    <n v="26.100000000000005"/>
  </r>
  <r>
    <s v="Backend - OM"/>
    <x v="1"/>
    <s v="Improvement"/>
    <s v="OM-181"/>
    <s v="EDM Function Improve"/>
    <s v="Improvement"/>
    <x v="0"/>
    <d v="2015-07-09T16:31:00"/>
    <x v="2"/>
    <x v="0"/>
    <x v="1"/>
    <n v="0.5"/>
    <m/>
    <n v="147.9"/>
    <n v="26.100000000000005"/>
  </r>
  <r>
    <s v="Backend - OM"/>
    <x v="3"/>
    <s v="Improvement"/>
    <s v="OM-181"/>
    <s v="EDM Function Improve"/>
    <s v="Improvement"/>
    <x v="0"/>
    <d v="2015-07-24T10:58:00"/>
    <x v="2"/>
    <x v="0"/>
    <x v="3"/>
    <n v="1"/>
    <m/>
    <n v="87"/>
    <n v="87"/>
  </r>
  <r>
    <s v="Backend - OM"/>
    <x v="1"/>
    <s v="Improvement"/>
    <s v="OM-181"/>
    <s v="EDM Function Improve"/>
    <s v="Improvement"/>
    <x v="0"/>
    <d v="2015-07-24T18:36:00"/>
    <x v="2"/>
    <x v="0"/>
    <x v="1"/>
    <n v="2"/>
    <m/>
    <n v="147.9"/>
    <n v="26.100000000000005"/>
  </r>
  <r>
    <s v="Backend - OM"/>
    <x v="2"/>
    <s v="Improvement"/>
    <s v="OM-196"/>
    <s v="CL EDM Generation Product ID"/>
    <s v="Improvement"/>
    <x v="0"/>
    <d v="2015-07-16T18:28:00"/>
    <x v="2"/>
    <x v="0"/>
    <x v="9"/>
    <n v="4"/>
    <m/>
    <n v="147.9"/>
    <n v="26.100000000000005"/>
  </r>
  <r>
    <s v="Backend - OM"/>
    <x v="2"/>
    <s v="Improvement"/>
    <s v="OM-196"/>
    <s v="CL EDM Generation Product ID"/>
    <s v="Improvement"/>
    <x v="0"/>
    <d v="2015-07-17T14:42:00"/>
    <x v="2"/>
    <x v="0"/>
    <x v="9"/>
    <n v="2"/>
    <m/>
    <n v="147.9"/>
    <n v="26.100000000000005"/>
  </r>
  <r>
    <s v="Backend - OM"/>
    <x v="1"/>
    <s v="Improvement"/>
    <s v="OM-196"/>
    <s v="CL EDM Generation Product ID"/>
    <s v="Improvement"/>
    <x v="0"/>
    <d v="2015-07-17T15:42:00"/>
    <x v="2"/>
    <x v="0"/>
    <x v="8"/>
    <n v="0.5"/>
    <m/>
    <n v="147.9"/>
    <n v="26.100000000000005"/>
  </r>
  <r>
    <s v="Backend - OM"/>
    <x v="3"/>
    <s v="Improvement"/>
    <s v="OM-196"/>
    <s v="CL EDM Generation Product ID"/>
    <s v="Improvement"/>
    <x v="0"/>
    <d v="2015-07-24T11:06:00"/>
    <x v="2"/>
    <x v="0"/>
    <x v="3"/>
    <n v="1"/>
    <m/>
    <n v="87"/>
    <n v="87"/>
  </r>
  <r>
    <s v="Backend - OM"/>
    <x v="3"/>
    <s v="Improvement"/>
    <s v="OM-196"/>
    <s v="CL EDM Generation Product ID"/>
    <s v="Improvement"/>
    <x v="0"/>
    <d v="2015-07-24T11:07:00"/>
    <x v="2"/>
    <x v="0"/>
    <x v="3"/>
    <n v="1"/>
    <m/>
    <n v="87"/>
    <n v="87"/>
  </r>
  <r>
    <s v="Backend - OM"/>
    <x v="2"/>
    <s v="New Feature"/>
    <s v="OM-290"/>
    <s v="RX Mini Inventory does not remove items"/>
    <s v="New Feature"/>
    <x v="0"/>
    <d v="2015-06-19T18:35:00"/>
    <x v="6"/>
    <x v="0"/>
    <x v="12"/>
    <n v="4"/>
    <m/>
    <n v="141.1"/>
    <n v="24.900000000000002"/>
  </r>
  <r>
    <s v="Backend - OM"/>
    <x v="2"/>
    <s v="New Feature"/>
    <s v="OM-290"/>
    <s v="RX Mini Inventory does not remove items"/>
    <s v="New Feature"/>
    <x v="0"/>
    <d v="2015-06-19T19:29:00"/>
    <x v="6"/>
    <x v="0"/>
    <x v="9"/>
    <n v="7"/>
    <m/>
    <n v="141.1"/>
    <n v="24.900000000000002"/>
  </r>
  <r>
    <s v="Backend - OM"/>
    <x v="2"/>
    <s v="New Feature"/>
    <s v="OM-290"/>
    <s v="RX Mini Inventory does not remove items"/>
    <s v="New Feature"/>
    <x v="0"/>
    <d v="2015-06-20T18:35:00"/>
    <x v="6"/>
    <x v="0"/>
    <x v="12"/>
    <n v="5.5"/>
    <m/>
    <n v="141.1"/>
    <n v="24.900000000000002"/>
  </r>
  <r>
    <s v="Backend - OM"/>
    <x v="3"/>
    <s v="New Feature"/>
    <s v="OM-290"/>
    <s v="RX Mini Inventory does not remove items"/>
    <s v="New Feature"/>
    <x v="0"/>
    <d v="2015-06-20T18:36:00"/>
    <x v="6"/>
    <x v="0"/>
    <x v="15"/>
    <n v="5"/>
    <m/>
    <n v="83"/>
    <n v="83"/>
  </r>
  <r>
    <s v="Backend - OM"/>
    <x v="2"/>
    <s v="New Feature"/>
    <s v="OM-290"/>
    <s v="RX Mini Inventory does not remove items"/>
    <s v="New Feature"/>
    <x v="0"/>
    <d v="2015-06-20T19:29:00"/>
    <x v="6"/>
    <x v="0"/>
    <x v="9"/>
    <n v="5.5"/>
    <m/>
    <n v="141.1"/>
    <n v="24.900000000000002"/>
  </r>
  <r>
    <s v="Backend - OM"/>
    <x v="2"/>
    <s v="New Feature"/>
    <s v="OM-393"/>
    <s v="DHL incorrect sender address"/>
    <s v="New Feature"/>
    <x v="0"/>
    <d v="2015-06-17T18:36:00"/>
    <x v="6"/>
    <x v="0"/>
    <x v="9"/>
    <n v="6"/>
    <m/>
    <n v="141.1"/>
    <n v="24.900000000000002"/>
  </r>
  <r>
    <s v="Backend - OM"/>
    <x v="1"/>
    <s v="New Feature"/>
    <s v="OM-393"/>
    <s v="DHL incorrect sender address"/>
    <s v="New Feature"/>
    <x v="0"/>
    <d v="2015-06-18T15:46:00"/>
    <x v="6"/>
    <x v="0"/>
    <x v="8"/>
    <n v="0.5"/>
    <m/>
    <n v="141.1"/>
    <n v="24.900000000000002"/>
  </r>
  <r>
    <s v="Backend - OM"/>
    <x v="2"/>
    <s v="New Feature"/>
    <s v="OM-393"/>
    <s v="DHL incorrect sender address"/>
    <s v="New Feature"/>
    <x v="0"/>
    <d v="2015-06-18T18:18:00"/>
    <x v="6"/>
    <x v="0"/>
    <x v="9"/>
    <n v="0.5"/>
    <m/>
    <n v="141.1"/>
    <n v="24.900000000000002"/>
  </r>
  <r>
    <s v="Backend - OM"/>
    <x v="2"/>
    <s v="Bug"/>
    <s v="OM-509"/>
    <s v="Rewards Account Issue"/>
    <s v="Bug"/>
    <x v="1"/>
    <d v="2015-06-01T11:11:00"/>
    <x v="6"/>
    <x v="0"/>
    <x v="12"/>
    <n v="0.5"/>
    <m/>
    <n v="141.1"/>
    <n v="24.900000000000002"/>
  </r>
  <r>
    <s v="Backend - OM"/>
    <x v="2"/>
    <s v="Bug"/>
    <s v="OM-514"/>
    <s v="DE0233240005G"/>
    <s v="Bug"/>
    <x v="1"/>
    <d v="2015-07-07T18:33:00"/>
    <x v="2"/>
    <x v="0"/>
    <x v="9"/>
    <n v="0.5"/>
    <m/>
    <n v="147.9"/>
    <n v="26.100000000000005"/>
  </r>
  <r>
    <s v="Backend - OM"/>
    <x v="2"/>
    <s v="Bug"/>
    <s v="OM-531"/>
    <s v="Please check the return page"/>
    <s v="Bug"/>
    <x v="1"/>
    <d v="2015-07-23T16:49:00"/>
    <x v="2"/>
    <x v="0"/>
    <x v="12"/>
    <n v="2"/>
    <m/>
    <n v="147.9"/>
    <n v="26.100000000000005"/>
  </r>
  <r>
    <s v="Backend - OM"/>
    <x v="2"/>
    <s v="Bug"/>
    <s v="OM-640"/>
    <s v="RX processing Date not the same as Italy update"/>
    <s v="Bug"/>
    <x v="1"/>
    <d v="2015-06-17T18:41:00"/>
    <x v="6"/>
    <x v="0"/>
    <x v="9"/>
    <n v="0.5"/>
    <m/>
    <n v="141.1"/>
    <n v="24.900000000000002"/>
  </r>
  <r>
    <s v="Backend - OM"/>
    <x v="2"/>
    <s v="Bug"/>
    <s v="OM-640"/>
    <s v="RX processing Date not the same as Italy update"/>
    <s v="Bug"/>
    <x v="1"/>
    <d v="2015-06-18T18:38:00"/>
    <x v="6"/>
    <x v="0"/>
    <x v="9"/>
    <n v="0.5"/>
    <m/>
    <n v="141.1"/>
    <n v="24.900000000000002"/>
  </r>
  <r>
    <s v="Backend - OM"/>
    <x v="2"/>
    <s v="Bug"/>
    <s v="OM-737"/>
    <s v="Can not email Referral Code to domain with &quot;-&quot;"/>
    <s v="Bug"/>
    <x v="1"/>
    <d v="2015-07-07T15:41:00"/>
    <x v="2"/>
    <x v="0"/>
    <x v="9"/>
    <n v="0.5"/>
    <m/>
    <n v="147.9"/>
    <n v="26.100000000000005"/>
  </r>
  <r>
    <s v="Backend - OM"/>
    <x v="2"/>
    <s v="Bug"/>
    <s v="OM-737"/>
    <s v="Can not email Referral Code to domain with &quot;-&quot;"/>
    <s v="Bug"/>
    <x v="1"/>
    <d v="2015-07-09T11:43:00"/>
    <x v="2"/>
    <x v="0"/>
    <x v="10"/>
    <n v="3"/>
    <m/>
    <n v="147.9"/>
    <n v="26.100000000000005"/>
  </r>
  <r>
    <s v="Backend - OM"/>
    <x v="0"/>
    <s v="Bug"/>
    <s v="OM-737"/>
    <s v="Can not email Referral Code to domain with &quot;-&quot;"/>
    <s v="Bug"/>
    <x v="1"/>
    <d v="2015-07-09T17:47:00"/>
    <x v="2"/>
    <x v="0"/>
    <x v="19"/>
    <n v="2"/>
    <m/>
    <n v="87"/>
    <n v="87"/>
  </r>
  <r>
    <s v="Backend - OM"/>
    <x v="2"/>
    <s v="Bug"/>
    <s v="OM-737"/>
    <s v="Can not email Referral Code to domain with &quot;-&quot;"/>
    <s v="Bug"/>
    <x v="1"/>
    <d v="2015-07-13T12:14:00"/>
    <x v="2"/>
    <x v="0"/>
    <x v="10"/>
    <n v="3"/>
    <m/>
    <n v="147.9"/>
    <n v="26.100000000000005"/>
  </r>
  <r>
    <s v="Backend - OM"/>
    <x v="2"/>
    <s v="Bug"/>
    <s v="OM-753"/>
    <s v="LENS PRICE TABLE DOES NOT SAVE CHANGES"/>
    <s v="Bug"/>
    <x v="1"/>
    <d v="2015-07-13T18:10:00"/>
    <x v="2"/>
    <x v="0"/>
    <x v="16"/>
    <n v="4"/>
    <m/>
    <n v="147.9"/>
    <n v="26.100000000000005"/>
  </r>
  <r>
    <s v="Backend - OM"/>
    <x v="3"/>
    <s v="Bug"/>
    <s v="OM-753"/>
    <s v="LENS PRICE TABLE DOES NOT SAVE CHANGES"/>
    <s v="Bug"/>
    <x v="1"/>
    <d v="2015-07-24T11:04:00"/>
    <x v="2"/>
    <x v="0"/>
    <x v="3"/>
    <n v="1"/>
    <m/>
    <n v="87"/>
    <n v="87"/>
  </r>
  <r>
    <s v="Backend - OM"/>
    <x v="2"/>
    <s v="Improvement"/>
    <s v="OM-892"/>
    <s v="Please help us check the below two orders why can not go into refund list"/>
    <s v="Improvement"/>
    <x v="0"/>
    <d v="2015-07-01T18:32:00"/>
    <x v="2"/>
    <x v="0"/>
    <x v="9"/>
    <n v="1"/>
    <m/>
    <n v="147.9"/>
    <n v="26.100000000000005"/>
  </r>
  <r>
    <s v="Backend - OM"/>
    <x v="2"/>
    <s v="Improvement"/>
    <s v="OM-892"/>
    <s v="Please help us check the below two orders why can not go into refund list"/>
    <s v="Improvement"/>
    <x v="0"/>
    <d v="2015-07-02T12:14:00"/>
    <x v="2"/>
    <x v="0"/>
    <x v="9"/>
    <n v="8"/>
    <m/>
    <n v="147.9"/>
    <n v="26.100000000000005"/>
  </r>
  <r>
    <s v="Backend - OM"/>
    <x v="2"/>
    <s v="Improvement"/>
    <s v="OM-892"/>
    <s v="Please help us check the below two orders why can not go into refund list"/>
    <s v="Improvement"/>
    <x v="0"/>
    <d v="2015-07-03T12:14:00"/>
    <x v="2"/>
    <x v="0"/>
    <x v="9"/>
    <n v="2"/>
    <m/>
    <n v="147.9"/>
    <n v="26.100000000000005"/>
  </r>
  <r>
    <s v="Backend - OM"/>
    <x v="2"/>
    <s v="Improvement"/>
    <s v="OM-892"/>
    <s v="Please help us check the below two orders why can not go into refund list"/>
    <s v="Improvement"/>
    <x v="0"/>
    <d v="2015-07-06T18:40:00"/>
    <x v="2"/>
    <x v="0"/>
    <x v="9"/>
    <n v="3"/>
    <m/>
    <n v="147.9"/>
    <n v="26.100000000000005"/>
  </r>
  <r>
    <s v="Backend - OM"/>
    <x v="2"/>
    <s v="Improvement"/>
    <s v="OM-892"/>
    <s v="Please help us check the below two orders why can not go into refund list"/>
    <s v="Improvement"/>
    <x v="0"/>
    <d v="2015-07-07T18:34:00"/>
    <x v="2"/>
    <x v="0"/>
    <x v="9"/>
    <n v="5"/>
    <m/>
    <n v="147.9"/>
    <n v="26.100000000000005"/>
  </r>
  <r>
    <s v="Backend - OM"/>
    <x v="3"/>
    <s v="Improvement"/>
    <s v="OM-892"/>
    <s v="Please help us check the below two orders why can not go into refund list"/>
    <s v="Improvement"/>
    <x v="0"/>
    <d v="2015-07-24T10:57:00"/>
    <x v="2"/>
    <x v="0"/>
    <x v="3"/>
    <n v="1"/>
    <m/>
    <n v="87"/>
    <n v="87"/>
  </r>
  <r>
    <s v="Backend - OM"/>
    <x v="2"/>
    <s v="Bug"/>
    <s v="OM-1054"/>
    <s v="Crawl Issue"/>
    <s v="Bug"/>
    <x v="1"/>
    <d v="2015-06-08T15:04:00"/>
    <x v="6"/>
    <x v="0"/>
    <x v="16"/>
    <n v="4"/>
    <m/>
    <n v="141.1"/>
    <n v="24.900000000000002"/>
  </r>
  <r>
    <s v="Backend - OM"/>
    <x v="2"/>
    <s v="Improvement"/>
    <s v="OM-1121"/>
    <s v="Daily Supply Chain / Warehouse Issues"/>
    <s v="Improvement"/>
    <x v="0"/>
    <d v="2015-06-01T13:19:00"/>
    <x v="6"/>
    <x v="0"/>
    <x v="12"/>
    <n v="2"/>
    <m/>
    <n v="141.1"/>
    <n v="24.900000000000002"/>
  </r>
  <r>
    <s v="Backend - OM"/>
    <x v="2"/>
    <s v="Improvement"/>
    <s v="OM-1121"/>
    <s v="Daily Supply Chain / Warehouse Issues"/>
    <s v="Improvement"/>
    <x v="0"/>
    <d v="2015-06-01T18:31:00"/>
    <x v="6"/>
    <x v="0"/>
    <x v="12"/>
    <n v="3"/>
    <m/>
    <n v="141.1"/>
    <n v="24.900000000000002"/>
  </r>
  <r>
    <s v="Backend - OM"/>
    <x v="2"/>
    <s v="Improvement"/>
    <s v="OM-1121"/>
    <s v="Daily Supply Chain / Warehouse Issues"/>
    <s v="Improvement"/>
    <x v="0"/>
    <d v="2015-06-02T13:19:00"/>
    <x v="6"/>
    <x v="0"/>
    <x v="12"/>
    <n v="8"/>
    <m/>
    <n v="141.1"/>
    <n v="24.900000000000002"/>
  </r>
  <r>
    <s v="Backend - OM"/>
    <x v="2"/>
    <s v="Improvement"/>
    <s v="OM-1121"/>
    <s v="Daily Supply Chain / Warehouse Issues"/>
    <s v="Improvement"/>
    <x v="0"/>
    <d v="2015-06-03T13:19:00"/>
    <x v="6"/>
    <x v="0"/>
    <x v="12"/>
    <n v="8"/>
    <m/>
    <n v="141.1"/>
    <n v="24.900000000000002"/>
  </r>
  <r>
    <s v="Backend - OM"/>
    <x v="2"/>
    <s v="Improvement"/>
    <s v="OM-1121"/>
    <s v="Daily Supply Chain / Warehouse Issues"/>
    <s v="Improvement"/>
    <x v="0"/>
    <d v="2015-06-15T11:05:00"/>
    <x v="6"/>
    <x v="0"/>
    <x v="12"/>
    <n v="2"/>
    <m/>
    <n v="141.1"/>
    <n v="24.900000000000002"/>
  </r>
  <r>
    <s v="Backend - OM"/>
    <x v="3"/>
    <s v="Improvement"/>
    <s v="OM-1121"/>
    <s v="Daily Supply Chain / Warehouse Issues"/>
    <s v="Improvement"/>
    <x v="0"/>
    <d v="2015-06-22T12:24:00"/>
    <x v="6"/>
    <x v="0"/>
    <x v="17"/>
    <n v="8"/>
    <m/>
    <n v="83"/>
    <n v="83"/>
  </r>
  <r>
    <s v="Backend - OM"/>
    <x v="3"/>
    <s v="Improvement"/>
    <s v="OM-1121"/>
    <s v="Daily Supply Chain / Warehouse Issues"/>
    <s v="Improvement"/>
    <x v="0"/>
    <d v="2015-06-23T12:24:00"/>
    <x v="6"/>
    <x v="0"/>
    <x v="17"/>
    <n v="8"/>
    <m/>
    <n v="83"/>
    <n v="83"/>
  </r>
  <r>
    <s v="Backend - OM"/>
    <x v="2"/>
    <s v="Improvement"/>
    <s v="OM-1121"/>
    <s v="Daily Supply Chain / Warehouse Issues"/>
    <s v="Improvement"/>
    <x v="0"/>
    <d v="2015-07-03T12:16:00"/>
    <x v="2"/>
    <x v="0"/>
    <x v="9"/>
    <n v="2"/>
    <m/>
    <n v="147.9"/>
    <n v="26.100000000000005"/>
  </r>
  <r>
    <s v="Backend - OM"/>
    <x v="2"/>
    <s v="Improvement"/>
    <s v="OM-1121"/>
    <s v="Daily Supply Chain / Warehouse Issues"/>
    <s v="Improvement"/>
    <x v="0"/>
    <d v="2015-07-06T18:40:00"/>
    <x v="2"/>
    <x v="0"/>
    <x v="9"/>
    <n v="2"/>
    <m/>
    <n v="147.9"/>
    <n v="26.100000000000005"/>
  </r>
  <r>
    <s v="Backend - OM"/>
    <x v="2"/>
    <s v="Improvement"/>
    <s v="OM-1121"/>
    <s v="Daily Supply Chain / Warehouse Issues"/>
    <s v="Improvement"/>
    <x v="0"/>
    <d v="2015-07-07T17:16:00"/>
    <x v="2"/>
    <x v="0"/>
    <x v="12"/>
    <n v="1"/>
    <m/>
    <n v="147.9"/>
    <n v="26.100000000000005"/>
  </r>
  <r>
    <s v="Backend - OM"/>
    <x v="2"/>
    <s v="Improvement"/>
    <s v="OM-1121"/>
    <s v="Daily Supply Chain / Warehouse Issues"/>
    <s v="Improvement"/>
    <x v="0"/>
    <d v="2015-07-07T18:32:00"/>
    <x v="2"/>
    <x v="0"/>
    <x v="9"/>
    <n v="0.5"/>
    <m/>
    <n v="147.9"/>
    <n v="26.100000000000005"/>
  </r>
  <r>
    <s v="Backend - OM"/>
    <x v="2"/>
    <s v="Improvement"/>
    <s v="OM-1121"/>
    <s v="Daily Supply Chain / Warehouse Issues"/>
    <s v="Improvement"/>
    <x v="0"/>
    <d v="2015-07-10T18:44:00"/>
    <x v="2"/>
    <x v="0"/>
    <x v="9"/>
    <n v="2"/>
    <m/>
    <n v="147.9"/>
    <n v="26.100000000000005"/>
  </r>
  <r>
    <s v="Backend - OM"/>
    <x v="3"/>
    <s v="Improvement"/>
    <s v="OM-1121"/>
    <s v="Daily Supply Chain / Warehouse Issues"/>
    <s v="Improvement"/>
    <x v="0"/>
    <d v="2015-07-24T10:57:00"/>
    <x v="2"/>
    <x v="0"/>
    <x v="3"/>
    <n v="1"/>
    <m/>
    <n v="87"/>
    <n v="87"/>
  </r>
  <r>
    <s v="Backend - OM"/>
    <x v="2"/>
    <s v="Bug"/>
    <s v="OM-1204"/>
    <s v="plx change to shipped"/>
    <s v="Bug"/>
    <x v="1"/>
    <d v="2015-06-04T18:39:00"/>
    <x v="6"/>
    <x v="0"/>
    <x v="9"/>
    <n v="2"/>
    <m/>
    <n v="141.1"/>
    <n v="24.900000000000002"/>
  </r>
  <r>
    <s v="Backend - OM"/>
    <x v="2"/>
    <s v="Bug"/>
    <s v="OM-1204"/>
    <s v="plx change to shipped"/>
    <s v="Bug"/>
    <x v="1"/>
    <d v="2015-06-29T10:45:00"/>
    <x v="6"/>
    <x v="0"/>
    <x v="12"/>
    <n v="1"/>
    <m/>
    <n v="141.1"/>
    <n v="24.900000000000002"/>
  </r>
  <r>
    <s v="Backend - OM"/>
    <x v="2"/>
    <s v="Bug"/>
    <s v="OM-1204"/>
    <s v="plx change to shipped"/>
    <s v="Bug"/>
    <x v="1"/>
    <d v="2015-07-15T18:33:00"/>
    <x v="2"/>
    <x v="0"/>
    <x v="12"/>
    <n v="1"/>
    <m/>
    <n v="147.9"/>
    <n v="26.100000000000005"/>
  </r>
  <r>
    <s v="Backend - OM"/>
    <x v="3"/>
    <s v="Bug"/>
    <s v="OM-1214"/>
    <s v="OM Active Lenses / Tints"/>
    <s v="Bug"/>
    <x v="1"/>
    <d v="2015-07-16T12:01:00"/>
    <x v="2"/>
    <x v="0"/>
    <x v="15"/>
    <n v="1"/>
    <m/>
    <n v="87"/>
    <n v="87"/>
  </r>
  <r>
    <s v="Backend - OM"/>
    <x v="3"/>
    <s v="Bug"/>
    <s v="OM-1214"/>
    <s v="OM Active Lenses / Tints"/>
    <s v="Bug"/>
    <x v="1"/>
    <d v="2015-07-16T12:22:00"/>
    <x v="2"/>
    <x v="0"/>
    <x v="15"/>
    <n v="1"/>
    <m/>
    <n v="87"/>
    <n v="87"/>
  </r>
  <r>
    <s v="Backend - OM"/>
    <x v="2"/>
    <s v="Task"/>
    <s v="OM-1316"/>
    <s v="Data Crawl Update"/>
    <s v="Task"/>
    <x v="0"/>
    <d v="2015-07-23T10:23:00"/>
    <x v="2"/>
    <x v="0"/>
    <x v="16"/>
    <n v="2"/>
    <m/>
    <n v="147.9"/>
    <n v="26.100000000000005"/>
  </r>
  <r>
    <s v="Backend - OM"/>
    <x v="2"/>
    <s v="Task"/>
    <s v="OM-1374"/>
    <s v="Luxottica IT Issue"/>
    <s v="Task"/>
    <x v="0"/>
    <d v="2015-06-01T16:36:00"/>
    <x v="6"/>
    <x v="0"/>
    <x v="16"/>
    <n v="0.05"/>
    <s v="password change and project release."/>
    <n v="141.1"/>
    <n v="24.900000000000002"/>
  </r>
  <r>
    <s v="Backend - OM"/>
    <x v="2"/>
    <s v="Improvement"/>
    <s v="OM-1563"/>
    <s v="Daily tasks"/>
    <s v="Improvement"/>
    <x v="0"/>
    <d v="2015-06-03T18:43:00"/>
    <x v="6"/>
    <x v="0"/>
    <x v="9"/>
    <n v="1.5"/>
    <s v="Algolia 分享会"/>
    <n v="141.1"/>
    <n v="24.900000000000002"/>
  </r>
  <r>
    <s v="Backend - OM"/>
    <x v="2"/>
    <s v="Improvement"/>
    <s v="OM-1563"/>
    <s v="Daily tasks"/>
    <s v="Improvement"/>
    <x v="0"/>
    <d v="2015-06-04T18:40:00"/>
    <x v="6"/>
    <x v="0"/>
    <x v="9"/>
    <n v="2"/>
    <s v="调试186的 courier API 环境"/>
    <n v="141.1"/>
    <n v="24.900000000000002"/>
  </r>
  <r>
    <s v="Backend - OM"/>
    <x v="2"/>
    <s v="Improvement"/>
    <s v="OM-1563"/>
    <s v="Daily tasks"/>
    <s v="Improvement"/>
    <x v="0"/>
    <d v="2015-06-05T18:33:00"/>
    <x v="6"/>
    <x v="0"/>
    <x v="9"/>
    <n v="1.5"/>
    <s v="调试 omtest185.motionglobal.com scan125.motionglobal.com scanIT125.motionglobal.com"/>
    <n v="141.1"/>
    <n v="24.900000000000002"/>
  </r>
  <r>
    <s v="Backend - OM"/>
    <x v="2"/>
    <s v="Improvement"/>
    <s v="OM-1563"/>
    <s v="Daily tasks"/>
    <s v="Improvement"/>
    <x v="0"/>
    <d v="2015-06-08T17:45:00"/>
    <x v="6"/>
    <x v="0"/>
    <x v="9"/>
    <n v="1"/>
    <s v="team meeting..."/>
    <n v="141.1"/>
    <n v="24.900000000000002"/>
  </r>
  <r>
    <s v="Backend - OM"/>
    <x v="2"/>
    <s v="Improvement"/>
    <s v="OM-1563"/>
    <s v="Daily tasks"/>
    <s v="Improvement"/>
    <x v="0"/>
    <d v="2015-06-09T10:02:00"/>
    <x v="6"/>
    <x v="0"/>
    <x v="9"/>
    <n v="2"/>
    <s v="NL0231319608G NL0231309008G the 2 orders already Shipped， but have no tracking number. the reason is the order's carrier is &quot;DHLIT&quot;, so the system not get tracking number, (now just DHL and UPS will call the API to get tracking number)."/>
    <n v="141.1"/>
    <n v="24.900000000000002"/>
  </r>
  <r>
    <s v="Backend - OM"/>
    <x v="2"/>
    <s v="Improvement"/>
    <s v="OM-1563"/>
    <s v="Daily tasks"/>
    <s v="Improvement"/>
    <x v="0"/>
    <d v="2015-06-09T10:04:00"/>
    <x v="6"/>
    <x v="0"/>
    <x v="9"/>
    <n v="1"/>
    <s v="toastmaster share meetting."/>
    <n v="141.1"/>
    <n v="24.900000000000002"/>
  </r>
  <r>
    <s v="Backend - OM"/>
    <x v="2"/>
    <s v="Improvement"/>
    <s v="OM-1563"/>
    <s v="Daily tasks"/>
    <s v="Improvement"/>
    <x v="0"/>
    <d v="2015-06-10T15:33:00"/>
    <x v="6"/>
    <x v="0"/>
    <x v="9"/>
    <n v="1"/>
    <s v="DK0233283605G DK0233310205G DK0233313105GM [2:30:55 PM] Tracy: 没有进今天的WHIT PO 检查这个问题, 但是后面发现没有问题。"/>
    <n v="141.1"/>
    <n v="24.900000000000002"/>
  </r>
  <r>
    <s v="Backend - OM"/>
    <x v="2"/>
    <s v="Improvement"/>
    <s v="OM-1563"/>
    <s v="Daily tasks"/>
    <s v="Improvement"/>
    <x v="0"/>
    <d v="2015-06-17T18:37:00"/>
    <x v="6"/>
    <x v="0"/>
    <x v="9"/>
    <n v="1.5"/>
    <s v="debug 185/93 DHL environment"/>
    <n v="141.1"/>
    <n v="24.900000000000002"/>
  </r>
  <r>
    <s v="Backend - OM"/>
    <x v="2"/>
    <s v="Improvement"/>
    <s v="OM-1563"/>
    <s v="Daily tasks"/>
    <s v="Improvement"/>
    <x v="0"/>
    <d v="2015-07-14T18:09:00"/>
    <x v="2"/>
    <x v="0"/>
    <x v="9"/>
    <n v="2"/>
    <s v="UPDATE `scan2012_it`.`s_rx_po_item` SET `exp_qty` = '0' ,`rev_qty` = '0' ,`status` = '1' WHERE `id` = '10606' AND cart_id=1354295917731502; UPDATE `scan2012_it`.`s_log` SET `data` = '(IT)STRX00257995bak' WHERE `id` = '505998'; UPDATE `sbg2012`.`om_rx_po_item` SET `exp_qty` = '0' ,`rev_qty` = '0' ,`status` = '1' WHERE `id` = '138164' AND cart_id=1354295917731502; UPDATE `sbg2012`.`sbg_order_item` SET `item_status` = '15' WHERE `order_item_id` = '1354295917731502'; order EN0234794105G has to be processed again...in OM is RX lens received....is it possible to change status in Wait for RX Confirmation? [7/13/2015 6:06:37 PM] irene rao: I see the current status is &quot;RX Lens Received in WH&quot;, you mean Scan system processed the item again? can you delete the second process item? [7/13/2015 6:07:22 PM] irene rao: no, just keep it please, let me see... [7/13/2015 6:08:05 PM | Edited 6:08:24 PM] Mariagrazia Clericuzio: I mean: we scanned RX processed for shipment, but we were asked to change prescription [7/13/2015 6:08:11 PM] Mariagrazia Clericuzio: so item is not ready for shipment [7/13/2015 6:11:46 PM] irene rao: I checked the log, you process the RX at 2015-07-07, and change prescription at 2015-07-10, today you receive the RX, and you need process the RX again use the new prescription? [7/13/2015 6:12:59 PM] Mariagrazia Clericuzio: yes [7/13/2015 6:14:38 PM] irene rao: I read it wrong, 2015-07-10 changed the address.. [7/13/2015 6:15:35 PM] irene rao: And, how can we do? change the data, then you can process again? [7/13/2015 6:16:20 PM] Mariagrazia Clericuzio: CSR opened a ticket JIRA for prescription changing.... [7/13/2015 6:16:27 PM] Mariagrazia Clericuzio: yes please, change data [7/13/2015 6:19:52 PM] irene rao: you need rescan at &quot;Pick &amp; Ship(Stock)&quot; right? [7/13/2015 6:21:47 PM] Mariagrazia Clericuzio: no need for that....just to scan again at &quot;RX PO Entry&quot; once processed"/>
    <n v="147.9"/>
    <n v="26.100000000000005"/>
  </r>
  <r>
    <s v="Backend - OM"/>
    <x v="2"/>
    <s v="Improvement"/>
    <s v="OM-1563"/>
    <s v="Daily tasks"/>
    <s v="Improvement"/>
    <x v="0"/>
    <d v="2015-07-21T18:17:00"/>
    <x v="2"/>
    <x v="0"/>
    <x v="9"/>
    <n v="1"/>
    <s v="[4:32:50 PM] Tracy: We found that still have too many orders without status update: WHIT_20150720_2 1 WHIT_20150720_3 96 you can check on Scan System that's almost all confirmed, except the Not Found items I mentioned yesterday WHIT_20150720_2: operate_user not record to database WHIT_20150720_3: some order processed by admin, maybe not submit to OM."/>
    <n v="147.9"/>
    <n v="26.100000000000005"/>
  </r>
  <r>
    <s v="Backend - OM"/>
    <x v="2"/>
    <s v="Improvement"/>
    <s v="OM-1563"/>
    <s v="Daily tasks"/>
    <s v="Improvement"/>
    <x v="0"/>
    <d v="2015-07-21T18:20:00"/>
    <x v="2"/>
    <x v="0"/>
    <x v="9"/>
    <n v="1"/>
    <s v="Is it a bug to have 0 for Earned Rewards always. rewards create by crontab, so have some time difference. it's not a bug..."/>
    <n v="147.9"/>
    <n v="26.100000000000005"/>
  </r>
  <r>
    <s v="Backend - OM"/>
    <x v="2"/>
    <s v="Task"/>
    <s v="OM-1568"/>
    <s v="Data Crawl Issue"/>
    <s v="Task"/>
    <x v="0"/>
    <d v="2015-06-11T17:53:00"/>
    <x v="6"/>
    <x v="0"/>
    <x v="16"/>
    <n v="4"/>
    <m/>
    <n v="141.1"/>
    <n v="24.900000000000002"/>
  </r>
  <r>
    <s v="Backend - OM"/>
    <x v="2"/>
    <s v="Task"/>
    <s v="OM-1667"/>
    <s v="Please help us add color for each PID"/>
    <s v="Task"/>
    <x v="0"/>
    <d v="2015-06-29T18:59:00"/>
    <x v="6"/>
    <x v="0"/>
    <x v="9"/>
    <n v="2"/>
    <m/>
    <n v="141.1"/>
    <n v="24.900000000000002"/>
  </r>
  <r>
    <s v="Backend - OM"/>
    <x v="2"/>
    <s v="Task"/>
    <s v="OM-1667"/>
    <s v="Please help us add color for each PID"/>
    <s v="Task"/>
    <x v="0"/>
    <d v="2015-06-30T14:34:00"/>
    <x v="6"/>
    <x v="0"/>
    <x v="9"/>
    <n v="0.5"/>
    <m/>
    <n v="141.1"/>
    <n v="24.900000000000002"/>
  </r>
  <r>
    <s v="Backend - OM"/>
    <x v="2"/>
    <s v="Task"/>
    <s v="OM-1774"/>
    <s v="DE0268248801GE change status to shipped with the tracking No. in OM tks"/>
    <s v="Task"/>
    <x v="0"/>
    <d v="2015-06-09T14:48:00"/>
    <x v="6"/>
    <x v="0"/>
    <x v="9"/>
    <n v="1"/>
    <m/>
    <n v="141.1"/>
    <n v="24.900000000000002"/>
  </r>
  <r>
    <s v="SBG Quality Assurance"/>
    <x v="2"/>
    <s v="Task"/>
    <s v="QA-178"/>
    <s v="DE0240032901GE please update order status to &quot;shipped&quot; with the tracking in OM"/>
    <s v="Task"/>
    <x v="0"/>
    <d v="2015-07-07T18:33:00"/>
    <x v="2"/>
    <x v="0"/>
    <x v="9"/>
    <n v="0.5"/>
    <m/>
    <n v="147.9"/>
    <n v="26.100000000000005"/>
  </r>
  <r>
    <s v="SBG Quality Assurance"/>
    <x v="1"/>
    <s v="Task"/>
    <s v="QA-180"/>
    <s v="Work Log 2015 Candy Gan"/>
    <s v="Task"/>
    <x v="0"/>
    <d v="2015-06-01T10:12:00"/>
    <x v="6"/>
    <x v="0"/>
    <x v="1"/>
    <n v="1"/>
    <s v="6.1 Meeting 1h"/>
    <n v="141.1"/>
    <n v="24.900000000000002"/>
  </r>
  <r>
    <s v="SBG Quality Assurance"/>
    <x v="1"/>
    <s v="Task"/>
    <s v="QA-180"/>
    <s v="Work Log 2015 Candy Gan"/>
    <s v="Task"/>
    <x v="0"/>
    <d v="2015-06-05T17:38:00"/>
    <x v="6"/>
    <x v="0"/>
    <x v="1"/>
    <n v="2.5"/>
    <m/>
    <n v="141.1"/>
    <n v="24.900000000000002"/>
  </r>
  <r>
    <s v="SBG Quality Assurance"/>
    <x v="1"/>
    <s v="Task"/>
    <s v="QA-180"/>
    <s v="Work Log 2015 Candy Gan"/>
    <s v="Task"/>
    <x v="0"/>
    <d v="2015-06-08T18:36:00"/>
    <x v="6"/>
    <x v="0"/>
    <x v="1"/>
    <n v="3"/>
    <s v="Self study"/>
    <n v="141.1"/>
    <n v="24.900000000000002"/>
  </r>
  <r>
    <s v="SBG Quality Assurance"/>
    <x v="1"/>
    <s v="Task"/>
    <s v="QA-180"/>
    <s v="Work Log 2015 Candy Gan"/>
    <s v="Task"/>
    <x v="0"/>
    <d v="2015-06-09T18:32:00"/>
    <x v="6"/>
    <x v="0"/>
    <x v="1"/>
    <n v="3"/>
    <m/>
    <n v="141.1"/>
    <n v="24.900000000000002"/>
  </r>
  <r>
    <s v="SBG Quality Assurance"/>
    <x v="1"/>
    <s v="Task"/>
    <s v="QA-180"/>
    <s v="Work Log 2015 Candy Gan"/>
    <s v="Task"/>
    <x v="0"/>
    <d v="2015-06-10T18:29:00"/>
    <x v="6"/>
    <x v="0"/>
    <x v="1"/>
    <n v="8"/>
    <m/>
    <n v="141.1"/>
    <n v="24.900000000000002"/>
  </r>
  <r>
    <s v="SBG Quality Assurance"/>
    <x v="1"/>
    <s v="Task"/>
    <s v="QA-180"/>
    <s v="Work Log 2015 Candy Gan"/>
    <s v="Task"/>
    <x v="0"/>
    <d v="2015-06-11T18:28:00"/>
    <x v="6"/>
    <x v="0"/>
    <x v="1"/>
    <n v="5"/>
    <m/>
    <n v="141.1"/>
    <n v="24.900000000000002"/>
  </r>
  <r>
    <s v="SBG Quality Assurance"/>
    <x v="1"/>
    <s v="Task"/>
    <s v="QA-180"/>
    <s v="Work Log 2015 Candy Gan"/>
    <s v="Task"/>
    <x v="0"/>
    <d v="2015-06-12T18:19:00"/>
    <x v="6"/>
    <x v="0"/>
    <x v="1"/>
    <n v="8"/>
    <m/>
    <n v="141.1"/>
    <n v="24.900000000000002"/>
  </r>
  <r>
    <s v="SBG Quality Assurance"/>
    <x v="1"/>
    <s v="Task"/>
    <s v="QA-180"/>
    <s v="Work Log 2015 Candy Gan"/>
    <s v="Task"/>
    <x v="0"/>
    <d v="2015-06-15T17:43:00"/>
    <x v="6"/>
    <x v="0"/>
    <x v="1"/>
    <n v="2"/>
    <m/>
    <n v="141.1"/>
    <n v="24.900000000000002"/>
  </r>
  <r>
    <s v="SBG Quality Assurance"/>
    <x v="1"/>
    <s v="Task"/>
    <s v="QA-180"/>
    <s v="Work Log 2015 Candy Gan"/>
    <s v="Task"/>
    <x v="0"/>
    <d v="2015-06-15T17:44:00"/>
    <x v="6"/>
    <x v="0"/>
    <x v="1"/>
    <n v="0.5"/>
    <m/>
    <n v="141.1"/>
    <n v="24.900000000000002"/>
  </r>
  <r>
    <s v="SBG Quality Assurance"/>
    <x v="1"/>
    <s v="Task"/>
    <s v="QA-180"/>
    <s v="Work Log 2015 Candy Gan"/>
    <s v="Task"/>
    <x v="0"/>
    <d v="2015-06-16T12:25:00"/>
    <x v="6"/>
    <x v="0"/>
    <x v="1"/>
    <n v="5"/>
    <m/>
    <n v="141.1"/>
    <n v="24.900000000000002"/>
  </r>
  <r>
    <s v="SBG Quality Assurance"/>
    <x v="1"/>
    <s v="Task"/>
    <s v="QA-180"/>
    <s v="Work Log 2015 Candy Gan"/>
    <s v="Task"/>
    <x v="0"/>
    <d v="2015-06-17T17:07:00"/>
    <x v="6"/>
    <x v="0"/>
    <x v="1"/>
    <n v="2"/>
    <m/>
    <n v="141.1"/>
    <n v="24.900000000000002"/>
  </r>
  <r>
    <s v="SBG Quality Assurance"/>
    <x v="1"/>
    <s v="Task"/>
    <s v="QA-180"/>
    <s v="Work Log 2015 Candy Gan"/>
    <s v="Task"/>
    <x v="0"/>
    <d v="2015-06-18T17:10:00"/>
    <x v="6"/>
    <x v="0"/>
    <x v="1"/>
    <n v="2"/>
    <m/>
    <n v="141.1"/>
    <n v="24.900000000000002"/>
  </r>
  <r>
    <s v="SBG Quality Assurance"/>
    <x v="1"/>
    <s v="Task"/>
    <s v="QA-180"/>
    <s v="Work Log 2015 Candy Gan"/>
    <s v="Task"/>
    <x v="0"/>
    <d v="2015-06-19T18:29:00"/>
    <x v="6"/>
    <x v="0"/>
    <x v="1"/>
    <n v="1.5"/>
    <s v="Team meeting 1.5h"/>
    <n v="141.1"/>
    <n v="24.900000000000002"/>
  </r>
  <r>
    <s v="SBG Quality Assurance"/>
    <x v="1"/>
    <s v="Task"/>
    <s v="QA-180"/>
    <s v="Work Log 2015 Candy Gan"/>
    <s v="Task"/>
    <x v="0"/>
    <d v="2015-06-23T18:51:00"/>
    <x v="6"/>
    <x v="0"/>
    <x v="1"/>
    <n v="1"/>
    <s v="Meeting"/>
    <n v="141.1"/>
    <n v="24.900000000000002"/>
  </r>
  <r>
    <s v="SBG Quality Assurance"/>
    <x v="1"/>
    <s v="Task"/>
    <s v="QA-180"/>
    <s v="Work Log 2015 Candy Gan"/>
    <s v="Task"/>
    <x v="0"/>
    <d v="2015-06-25T18:39:00"/>
    <x v="6"/>
    <x v="0"/>
    <x v="1"/>
    <n v="4"/>
    <m/>
    <n v="141.1"/>
    <n v="24.900000000000002"/>
  </r>
  <r>
    <s v="SBG Quality Assurance"/>
    <x v="1"/>
    <s v="Task"/>
    <s v="QA-180"/>
    <s v="Work Log 2015 Candy Gan"/>
    <s v="Task"/>
    <x v="0"/>
    <d v="2015-06-30T18:18:00"/>
    <x v="6"/>
    <x v="0"/>
    <x v="1"/>
    <n v="1"/>
    <s v="Meeting 1h"/>
    <n v="141.1"/>
    <n v="24.900000000000002"/>
  </r>
  <r>
    <s v="SBG Quality Assurance"/>
    <x v="1"/>
    <s v="Task"/>
    <s v="QA-180"/>
    <s v="Work Log 2015 Candy Gan"/>
    <s v="Task"/>
    <x v="0"/>
    <d v="2015-07-07T17:52:00"/>
    <x v="2"/>
    <x v="0"/>
    <x v="1"/>
    <n v="1.5"/>
    <s v="Meeting 1.5h"/>
    <n v="147.9"/>
    <n v="26.100000000000005"/>
  </r>
  <r>
    <s v="SBG Quality Assurance"/>
    <x v="1"/>
    <s v="Task"/>
    <s v="QA-180"/>
    <s v="Work Log 2015 Candy Gan"/>
    <s v="Task"/>
    <x v="0"/>
    <d v="2015-07-28T18:42:00"/>
    <x v="2"/>
    <x v="0"/>
    <x v="1"/>
    <n v="3"/>
    <s v="3 meetings 3h"/>
    <n v="147.9"/>
    <n v="26.100000000000005"/>
  </r>
  <r>
    <s v="SBG Quality Assurance"/>
    <x v="2"/>
    <s v="Task"/>
    <s v="QA-193"/>
    <s v="DE0225257005G Cx did not receive any &quot;earned rewards&quot;, please help"/>
    <s v="Task"/>
    <x v="0"/>
    <d v="2015-07-13T18:41:00"/>
    <x v="2"/>
    <x v="0"/>
    <x v="12"/>
    <n v="1"/>
    <m/>
    <n v="147.9"/>
    <n v="26.100000000000005"/>
  </r>
  <r>
    <s v="SBG Quality Assurance"/>
    <x v="1"/>
    <s v="Task"/>
    <s v="QA-196"/>
    <s v="work log 2015"/>
    <s v="Task"/>
    <x v="0"/>
    <d v="2015-06-02T18:33:00"/>
    <x v="6"/>
    <x v="0"/>
    <x v="8"/>
    <n v="7"/>
    <s v="1. insurance thing (0.5h) 2. 219 environment training 3. mobile test case writing"/>
    <n v="141.1"/>
    <n v="24.900000000000002"/>
  </r>
  <r>
    <s v="SBG Quality Assurance"/>
    <x v="1"/>
    <s v="Task"/>
    <s v="QA-196"/>
    <s v="work log 2015"/>
    <s v="Task"/>
    <x v="0"/>
    <d v="2015-06-03T18:40:00"/>
    <x v="6"/>
    <x v="0"/>
    <x v="8"/>
    <n v="8"/>
    <s v="1. QA meeting (0.5h) 2. Algolia training (1.5h) 3. Mobile requirement reading and test cases writing 4. other things"/>
    <n v="141.1"/>
    <n v="24.900000000000002"/>
  </r>
  <r>
    <s v="SBG Quality Assurance"/>
    <x v="1"/>
    <s v="Task"/>
    <s v="QA-196"/>
    <s v="work log 2015"/>
    <s v="Task"/>
    <x v="0"/>
    <d v="2015-06-04T18:31:00"/>
    <x v="6"/>
    <x v="0"/>
    <x v="8"/>
    <n v="8"/>
    <s v="1. mobile review (3.5h) 2. test cases writing 3. other thing"/>
    <n v="141.1"/>
    <n v="24.900000000000002"/>
  </r>
  <r>
    <s v="SBG Quality Assurance"/>
    <x v="1"/>
    <s v="Task"/>
    <s v="QA-196"/>
    <s v="work log 2015"/>
    <s v="Task"/>
    <x v="0"/>
    <d v="2015-06-05T18:30:00"/>
    <x v="6"/>
    <x v="0"/>
    <x v="8"/>
    <n v="7.5"/>
    <s v="1. QA meeting 2. FTP, DB maintenance 3. mobile requirement reading and test case writing"/>
    <n v="141.1"/>
    <n v="24.900000000000002"/>
  </r>
  <r>
    <s v="SBG Quality Assurance"/>
    <x v="1"/>
    <s v="Task"/>
    <s v="QA-196"/>
    <s v="work log 2015"/>
    <s v="Task"/>
    <x v="0"/>
    <d v="2015-06-08T18:31:00"/>
    <x v="6"/>
    <x v="0"/>
    <x v="8"/>
    <n v="7.5"/>
    <s v="1. IT meeting (1h) 2. 181 test environment building (1h) 3. meeting minutes writing 4. test case writing"/>
    <n v="141.1"/>
    <n v="24.900000000000002"/>
  </r>
  <r>
    <s v="SBG Quality Assurance"/>
    <x v="1"/>
    <s v="Task"/>
    <s v="QA-196"/>
    <s v="work log 2015"/>
    <s v="Task"/>
    <x v="0"/>
    <d v="2015-06-09T18:32:00"/>
    <x v="6"/>
    <x v="0"/>
    <x v="8"/>
    <n v="3"/>
    <s v="1. Mobile review meeting 2. toast master training"/>
    <n v="141.1"/>
    <n v="24.900000000000002"/>
  </r>
  <r>
    <s v="SBG Quality Assurance"/>
    <x v="1"/>
    <s v="Task"/>
    <s v="QA-196"/>
    <s v="work log 2015"/>
    <s v="Task"/>
    <x v="0"/>
    <d v="2015-06-10T19:07:00"/>
    <x v="6"/>
    <x v="0"/>
    <x v="8"/>
    <n v="7.5"/>
    <s v="MOBILE 5.0"/>
    <n v="141.1"/>
    <n v="24.900000000000002"/>
  </r>
  <r>
    <s v="SBG Quality Assurance"/>
    <x v="1"/>
    <s v="Task"/>
    <s v="QA-196"/>
    <s v="work log 2015"/>
    <s v="Task"/>
    <x v="0"/>
    <d v="2015-06-15T18:40:00"/>
    <x v="6"/>
    <x v="0"/>
    <x v="8"/>
    <n v="4.5"/>
    <s v="1. IT meeting 2. mobile testing 3. QA meeting 4. other things"/>
    <n v="141.1"/>
    <n v="24.900000000000002"/>
  </r>
  <r>
    <s v="SBG Quality Assurance"/>
    <x v="1"/>
    <s v="Task"/>
    <s v="QA-196"/>
    <s v="work log 2015"/>
    <s v="Task"/>
    <x v="0"/>
    <d v="2015-06-16T18:32:00"/>
    <x v="6"/>
    <x v="0"/>
    <x v="8"/>
    <n v="8"/>
    <s v="Mobile 5.0 testing"/>
    <n v="141.1"/>
    <n v="24.900000000000002"/>
  </r>
  <r>
    <s v="SBG Quality Assurance"/>
    <x v="1"/>
    <s v="Task"/>
    <s v="QA-196"/>
    <s v="work log 2015"/>
    <s v="Task"/>
    <x v="0"/>
    <d v="2015-06-17T18:32:00"/>
    <x v="6"/>
    <x v="0"/>
    <x v="8"/>
    <n v="8"/>
    <s v="rearrange test cases for MOBILE"/>
    <n v="141.1"/>
    <n v="24.900000000000002"/>
  </r>
  <r>
    <s v="SBG Quality Assurance"/>
    <x v="1"/>
    <s v="Task"/>
    <s v="QA-196"/>
    <s v="work log 2015"/>
    <s v="Task"/>
    <x v="0"/>
    <d v="2015-06-18T18:32:00"/>
    <x v="6"/>
    <x v="0"/>
    <x v="8"/>
    <n v="7.5"/>
    <s v="1. test case writing 2. mobile 5.0 testing"/>
    <n v="141.1"/>
    <n v="24.900000000000002"/>
  </r>
  <r>
    <s v="SBG Quality Assurance"/>
    <x v="1"/>
    <s v="Task"/>
    <s v="QA-196"/>
    <s v="work log 2015"/>
    <s v="Task"/>
    <x v="0"/>
    <d v="2015-06-19T18:33:00"/>
    <x v="6"/>
    <x v="0"/>
    <x v="8"/>
    <n v="8"/>
    <s v="1. MOBILE meeting (2h) 2. test case rearrange (2h) 3. computer maintenance (2h) 4. MOBILE testing"/>
    <n v="141.1"/>
    <n v="24.900000000000002"/>
  </r>
  <r>
    <s v="SBG Quality Assurance"/>
    <x v="1"/>
    <s v="Task"/>
    <s v="QA-196"/>
    <s v="work log 2015"/>
    <s v="Task"/>
    <x v="0"/>
    <d v="2015-06-27T18:32:00"/>
    <x v="6"/>
    <x v="0"/>
    <x v="8"/>
    <n v="8"/>
    <s v="mobile 5.0 testing"/>
    <n v="141.1"/>
    <n v="24.900000000000002"/>
  </r>
  <r>
    <s v="SBG Quality Assurance"/>
    <x v="1"/>
    <s v="Task"/>
    <s v="QA-196"/>
    <s v="work log 2015"/>
    <s v="Task"/>
    <x v="0"/>
    <d v="2015-06-29T14:56:00"/>
    <x v="6"/>
    <x v="0"/>
    <x v="8"/>
    <n v="8"/>
    <s v="mobile 5.0 testing"/>
    <n v="141.1"/>
    <n v="24.900000000000002"/>
  </r>
  <r>
    <s v="SBG Quality Assurance"/>
    <x v="1"/>
    <s v="Task"/>
    <s v="QA-196"/>
    <s v="work log 2015"/>
    <s v="Task"/>
    <x v="0"/>
    <d v="2015-06-30T14:56:00"/>
    <x v="6"/>
    <x v="0"/>
    <x v="8"/>
    <n v="8"/>
    <s v="mobile 5.0 testing"/>
    <n v="141.1"/>
    <n v="24.900000000000002"/>
  </r>
  <r>
    <s v="SBG Quality Assurance"/>
    <x v="1"/>
    <s v="Task"/>
    <s v="QA-196"/>
    <s v="work log 2015"/>
    <s v="Task"/>
    <x v="0"/>
    <d v="2015-07-01T14:56:00"/>
    <x v="2"/>
    <x v="0"/>
    <x v="8"/>
    <n v="8"/>
    <s v="mobile 5.0 testing"/>
    <n v="147.9"/>
    <n v="26.100000000000005"/>
  </r>
  <r>
    <s v="SBG Quality Assurance"/>
    <x v="1"/>
    <s v="Task"/>
    <s v="QA-196"/>
    <s v="work log 2015"/>
    <s v="Task"/>
    <x v="0"/>
    <d v="2015-07-02T14:57:00"/>
    <x v="2"/>
    <x v="0"/>
    <x v="8"/>
    <n v="8"/>
    <s v="mobile 5.0 testing"/>
    <n v="147.9"/>
    <n v="26.100000000000005"/>
  </r>
  <r>
    <s v="SBG Quality Assurance"/>
    <x v="1"/>
    <s v="Task"/>
    <s v="QA-196"/>
    <s v="work log 2015"/>
    <s v="Task"/>
    <x v="0"/>
    <d v="2015-07-03T15:02:00"/>
    <x v="2"/>
    <x v="0"/>
    <x v="8"/>
    <n v="8"/>
    <s v="mobile 5.0 testing"/>
    <n v="147.9"/>
    <n v="26.100000000000005"/>
  </r>
  <r>
    <s v="SBG Quality Assurance"/>
    <x v="1"/>
    <s v="Task"/>
    <s v="QA-196"/>
    <s v="work log 2015"/>
    <s v="Task"/>
    <x v="0"/>
    <d v="2015-07-06T14:55:00"/>
    <x v="2"/>
    <x v="0"/>
    <x v="8"/>
    <n v="8"/>
    <s v="mobile 5.0 testing"/>
    <n v="147.9"/>
    <n v="26.100000000000005"/>
  </r>
  <r>
    <s v="SBG Quality Assurance"/>
    <x v="1"/>
    <s v="Task"/>
    <s v="QA-196"/>
    <s v="work log 2015"/>
    <s v="Task"/>
    <x v="0"/>
    <d v="2015-07-07T14:55:00"/>
    <x v="2"/>
    <x v="0"/>
    <x v="8"/>
    <n v="8"/>
    <s v="mobile 5.0 testing"/>
    <n v="147.9"/>
    <n v="26.100000000000005"/>
  </r>
  <r>
    <s v="SBG Quality Assurance"/>
    <x v="1"/>
    <s v="Task"/>
    <s v="QA-196"/>
    <s v="work log 2015"/>
    <s v="Task"/>
    <x v="0"/>
    <d v="2015-07-13T18:41:00"/>
    <x v="2"/>
    <x v="0"/>
    <x v="8"/>
    <n v="8"/>
    <s v="1. IT meeting 2. QA meeting 3. computer softwares re-installation 4. other things"/>
    <n v="147.9"/>
    <n v="26.100000000000005"/>
  </r>
  <r>
    <s v="SBG Quality Assurance"/>
    <x v="1"/>
    <s v="Task"/>
    <s v="QA-196"/>
    <s v="work log 2015"/>
    <s v="Task"/>
    <x v="0"/>
    <d v="2015-07-16T12:03:00"/>
    <x v="2"/>
    <x v="0"/>
    <x v="8"/>
    <n v="4"/>
    <s v="online server down"/>
    <n v="147.9"/>
    <n v="26.100000000000005"/>
  </r>
  <r>
    <s v="SBG Quality Assurance"/>
    <x v="1"/>
    <s v="Task"/>
    <s v="QA-196"/>
    <s v="work log 2015"/>
    <s v="Task"/>
    <x v="0"/>
    <d v="2015-07-16T18:52:00"/>
    <x v="2"/>
    <x v="0"/>
    <x v="8"/>
    <n v="1"/>
    <s v="big data training"/>
    <n v="147.9"/>
    <n v="26.100000000000005"/>
  </r>
  <r>
    <s v="SBG Quality Assurance"/>
    <x v="1"/>
    <s v="Task"/>
    <s v="QA-196"/>
    <s v="work log 2015"/>
    <s v="Task"/>
    <x v="0"/>
    <d v="2015-07-20T18:35:00"/>
    <x v="2"/>
    <x v="0"/>
    <x v="8"/>
    <n v="1.5"/>
    <s v="1. IT meeting 2. other things"/>
    <n v="147.9"/>
    <n v="26.100000000000005"/>
  </r>
  <r>
    <s v="SBG Quality Assurance"/>
    <x v="1"/>
    <s v="Task"/>
    <s v="QA-196"/>
    <s v="work log 2015"/>
    <s v="Task"/>
    <x v="0"/>
    <d v="2015-07-22T09:54:00"/>
    <x v="2"/>
    <x v="0"/>
    <x v="8"/>
    <n v="8"/>
    <m/>
    <n v="147.9"/>
    <n v="26.100000000000005"/>
  </r>
  <r>
    <s v="SBG Quality Assurance"/>
    <x v="1"/>
    <s v="Task"/>
    <s v="QA-196"/>
    <s v="work log 2015"/>
    <s v="Task"/>
    <x v="0"/>
    <d v="2015-07-23T18:44:00"/>
    <x v="2"/>
    <x v="0"/>
    <x v="8"/>
    <n v="6"/>
    <s v="1. GA training 2. help supply chain check online orders 3. help to check contact lens product page shipping time 4. other things"/>
    <n v="147.9"/>
    <n v="26.100000000000005"/>
  </r>
  <r>
    <s v="SBG Quality Assurance"/>
    <x v="1"/>
    <s v="Task"/>
    <s v="QA-196"/>
    <s v="work log 2015"/>
    <s v="Task"/>
    <x v="0"/>
    <d v="2015-07-24T18:34:00"/>
    <x v="2"/>
    <x v="0"/>
    <x v="8"/>
    <n v="8"/>
    <s v="cl meeting mobile checkout issues"/>
    <n v="147.9"/>
    <n v="26.100000000000005"/>
  </r>
  <r>
    <s v="SBG Quality Assurance"/>
    <x v="1"/>
    <s v="Task"/>
    <s v="QA-196"/>
    <s v="work log 2015"/>
    <s v="Task"/>
    <x v="0"/>
    <d v="2015-07-28T18:44:00"/>
    <x v="2"/>
    <x v="0"/>
    <x v="8"/>
    <n v="2.5"/>
    <s v="1. IT meeting 2. QA meeting"/>
    <n v="147.9"/>
    <n v="26.100000000000005"/>
  </r>
  <r>
    <s v="SBG Quality Assurance"/>
    <x v="1"/>
    <s v="Task"/>
    <s v="QA-196"/>
    <s v="work log 2015"/>
    <s v="Task"/>
    <x v="0"/>
    <d v="2015-07-30T18:46:00"/>
    <x v="2"/>
    <x v="0"/>
    <x v="8"/>
    <n v="1.5"/>
    <s v="discuss with Samuel and Emily on the CL spec"/>
    <n v="147.9"/>
    <n v="26.100000000000005"/>
  </r>
  <r>
    <s v="SBG Quality Assurance"/>
    <x v="1"/>
    <s v="Task"/>
    <s v="QA-198"/>
    <s v="Regression test every Monday."/>
    <s v="Task"/>
    <x v="0"/>
    <d v="2015-06-15T16:29:00"/>
    <x v="6"/>
    <x v="0"/>
    <x v="8"/>
    <n v="2"/>
    <m/>
    <n v="141.1"/>
    <n v="24.900000000000002"/>
  </r>
  <r>
    <s v="SBG Quality Assurance"/>
    <x v="1"/>
    <s v="Task"/>
    <s v="QA-198"/>
    <s v="Regression test every Monday."/>
    <s v="Task"/>
    <x v="0"/>
    <d v="2015-07-20T15:40:00"/>
    <x v="2"/>
    <x v="0"/>
    <x v="8"/>
    <n v="2"/>
    <m/>
    <n v="147.9"/>
    <n v="26.100000000000005"/>
  </r>
  <r>
    <s v="SBG Quality Assurance"/>
    <x v="4"/>
    <s v="Improvement"/>
    <s v="QA-210"/>
    <s v="[Referral] Add automated test scenario for monitoring on a daily basis"/>
    <s v="Improvement"/>
    <x v="0"/>
    <d v="2015-06-15T11:39:00"/>
    <x v="6"/>
    <x v="0"/>
    <x v="13"/>
    <n v="2"/>
    <m/>
    <n v="141.1"/>
    <n v="24.900000000000002"/>
  </r>
  <r>
    <s v="Backend - Scan"/>
    <x v="2"/>
    <s v="Bug"/>
    <s v="SCAN-399"/>
    <s v="Change courier from DHLIT to DHL"/>
    <s v="Bug"/>
    <x v="1"/>
    <d v="2015-06-10T15:48:00"/>
    <x v="6"/>
    <x v="0"/>
    <x v="9"/>
    <n v="1"/>
    <m/>
    <n v="141.1"/>
    <n v="24.900000000000002"/>
  </r>
  <r>
    <s v="Backend - Scan"/>
    <x v="2"/>
    <s v="Improvement"/>
    <s v="SCAN-401"/>
    <s v="US shipment (Invoice and Drop Ball Cert adjustment)"/>
    <s v="Improvement"/>
    <x v="0"/>
    <d v="2015-06-01T18:35:00"/>
    <x v="6"/>
    <x v="0"/>
    <x v="9"/>
    <n v="4"/>
    <m/>
    <n v="141.1"/>
    <n v="24.900000000000002"/>
  </r>
  <r>
    <s v="Backend - Scan"/>
    <x v="2"/>
    <s v="Improvement"/>
    <s v="SCAN-401"/>
    <s v="US shipment (Invoice and Drop Ball Cert adjustment)"/>
    <s v="Improvement"/>
    <x v="0"/>
    <d v="2015-06-02T17:26:00"/>
    <x v="6"/>
    <x v="0"/>
    <x v="9"/>
    <n v="2"/>
    <s v="test and tidy files. ready for release!"/>
    <n v="141.1"/>
    <n v="24.900000000000002"/>
  </r>
  <r>
    <s v="Backend - Scan"/>
    <x v="2"/>
    <s v="Improvement"/>
    <s v="SCAN-401"/>
    <s v="US shipment (Invoice and Drop Ball Cert adjustment)"/>
    <s v="Improvement"/>
    <x v="0"/>
    <d v="2015-06-03T18:41:00"/>
    <x v="6"/>
    <x v="0"/>
    <x v="9"/>
    <n v="3"/>
    <s v="test"/>
    <n v="141.1"/>
    <n v="24.900000000000002"/>
  </r>
  <r>
    <s v="Backend - Scan"/>
    <x v="1"/>
    <s v="Improvement"/>
    <s v="SCAN-401"/>
    <s v="US shipment (Invoice and Drop Ball Cert adjustment)"/>
    <s v="Improvement"/>
    <x v="0"/>
    <d v="2015-06-08T15:38:00"/>
    <x v="6"/>
    <x v="0"/>
    <x v="8"/>
    <n v="0.5"/>
    <m/>
    <n v="141.1"/>
    <n v="24.900000000000002"/>
  </r>
  <r>
    <s v="Backend - Scan"/>
    <x v="2"/>
    <s v="Improvement"/>
    <s v="SCAN-401"/>
    <s v="US shipment (Invoice and Drop Ball Cert adjustment)"/>
    <s v="Improvement"/>
    <x v="0"/>
    <d v="2015-06-08T17:43:00"/>
    <x v="6"/>
    <x v="0"/>
    <x v="9"/>
    <n v="2"/>
    <s v="test at 185 and release...."/>
    <n v="141.1"/>
    <n v="24.900000000000002"/>
  </r>
  <r>
    <s v="Backend - Scan"/>
    <x v="2"/>
    <s v="Improvement"/>
    <s v="SCAN-402"/>
    <s v="Change courier shipping rules (Fedex) for Switzerland and Sweden"/>
    <s v="Improvement"/>
    <x v="0"/>
    <d v="2015-06-11T18:39:00"/>
    <x v="6"/>
    <x v="0"/>
    <x v="9"/>
    <n v="3"/>
    <s v="test DHL on 185."/>
    <n v="141.1"/>
    <n v="24.900000000000002"/>
  </r>
  <r>
    <s v="Backend - Scan"/>
    <x v="2"/>
    <s v="Improvement"/>
    <s v="SCAN-402"/>
    <s v="Change courier shipping rules (Fedex) for Switzerland and Sweden"/>
    <s v="Improvement"/>
    <x v="0"/>
    <d v="2015-06-16T17:44:00"/>
    <x v="6"/>
    <x v="0"/>
    <x v="9"/>
    <n v="2"/>
    <m/>
    <n v="141.1"/>
    <n v="24.900000000000002"/>
  </r>
  <r>
    <s v="Backend - Scan"/>
    <x v="2"/>
    <s v="Improvement"/>
    <s v="SCAN-402"/>
    <s v="Change courier shipping rules (Fedex) for Switzerland and Sweden"/>
    <s v="Improvement"/>
    <x v="0"/>
    <d v="2015-06-24T12:52:00"/>
    <x v="6"/>
    <x v="0"/>
    <x v="9"/>
    <n v="3.5"/>
    <m/>
    <n v="141.1"/>
    <n v="24.900000000000002"/>
  </r>
  <r>
    <s v="Backend - Scan"/>
    <x v="2"/>
    <s v="New Feature"/>
    <s v="SCAN-409"/>
    <s v="Contact Lens Improvement (HK)"/>
    <s v="New Feature"/>
    <x v="0"/>
    <d v="2015-07-09T15:24:00"/>
    <x v="2"/>
    <x v="0"/>
    <x v="12"/>
    <n v="120"/>
    <m/>
    <n v="147.9"/>
    <n v="26.100000000000005"/>
  </r>
  <r>
    <s v="Backend - Scan"/>
    <x v="2"/>
    <s v="New Feature"/>
    <s v="SCAN-409"/>
    <s v="Contact Lens Improvement (HK)"/>
    <s v="New Feature"/>
    <x v="0"/>
    <d v="2015-07-15T18:26:00"/>
    <x v="2"/>
    <x v="0"/>
    <x v="9"/>
    <n v="2"/>
    <s v="discuss the requirment"/>
    <n v="147.9"/>
    <n v="26.100000000000005"/>
  </r>
  <r>
    <s v="Backend - Scan"/>
    <x v="2"/>
    <s v="New Feature"/>
    <s v="SCAN-409"/>
    <s v="Contact Lens Improvement (HK)"/>
    <s v="New Feature"/>
    <x v="0"/>
    <d v="2015-07-23T19:17:00"/>
    <x v="2"/>
    <x v="0"/>
    <x v="9"/>
    <n v="8"/>
    <m/>
    <n v="147.9"/>
    <n v="26.100000000000005"/>
  </r>
  <r>
    <s v="Backend - Scan"/>
    <x v="2"/>
    <s v="New Feature"/>
    <s v="SCAN-409"/>
    <s v="Contact Lens Improvement (HK)"/>
    <s v="New Feature"/>
    <x v="0"/>
    <d v="2015-07-24T19:17:00"/>
    <x v="2"/>
    <x v="0"/>
    <x v="9"/>
    <n v="8"/>
    <m/>
    <n v="147.9"/>
    <n v="26.100000000000005"/>
  </r>
  <r>
    <s v="Backend - Scan"/>
    <x v="2"/>
    <s v="New Feature"/>
    <s v="SCAN-409"/>
    <s v="Contact Lens Improvement (HK)"/>
    <s v="New Feature"/>
    <x v="0"/>
    <d v="2015-07-27T19:35:00"/>
    <x v="2"/>
    <x v="0"/>
    <x v="9"/>
    <n v="9"/>
    <m/>
    <n v="147.9"/>
    <n v="26.100000000000005"/>
  </r>
  <r>
    <s v="Backend - Scan"/>
    <x v="2"/>
    <s v="New Feature"/>
    <s v="SCAN-409"/>
    <s v="Contact Lens Improvement (HK)"/>
    <s v="New Feature"/>
    <x v="0"/>
    <d v="2015-07-27T22:02:00"/>
    <x v="2"/>
    <x v="0"/>
    <x v="12"/>
    <n v="8"/>
    <m/>
    <n v="147.9"/>
    <n v="26.100000000000005"/>
  </r>
  <r>
    <s v="Backend - Scan"/>
    <x v="2"/>
    <s v="New Feature"/>
    <s v="SCAN-409"/>
    <s v="Contact Lens Improvement (HK)"/>
    <s v="New Feature"/>
    <x v="0"/>
    <d v="2015-07-28T19:36:00"/>
    <x v="2"/>
    <x v="0"/>
    <x v="9"/>
    <n v="9"/>
    <m/>
    <n v="147.9"/>
    <n v="26.100000000000005"/>
  </r>
  <r>
    <s v="Backend - Scan"/>
    <x v="2"/>
    <s v="New Feature"/>
    <s v="SCAN-409"/>
    <s v="Contact Lens Improvement (HK)"/>
    <s v="New Feature"/>
    <x v="0"/>
    <d v="2015-07-28T21:56:00"/>
    <x v="2"/>
    <x v="0"/>
    <x v="12"/>
    <n v="6"/>
    <m/>
    <n v="147.9"/>
    <n v="26.100000000000005"/>
  </r>
  <r>
    <s v="Backend - Scan"/>
    <x v="2"/>
    <s v="New Feature"/>
    <s v="SCAN-409"/>
    <s v="Contact Lens Improvement (HK)"/>
    <s v="New Feature"/>
    <x v="0"/>
    <d v="2015-07-29T19:36:00"/>
    <x v="2"/>
    <x v="0"/>
    <x v="9"/>
    <n v="9"/>
    <m/>
    <n v="147.9"/>
    <n v="26.100000000000005"/>
  </r>
  <r>
    <s v="Backend - Scan"/>
    <x v="1"/>
    <s v="New Feature"/>
    <s v="SCAN-409"/>
    <s v="Contact Lens Improvement (HK)"/>
    <s v="New Feature"/>
    <x v="0"/>
    <d v="2015-07-30T18:46:00"/>
    <x v="2"/>
    <x v="0"/>
    <x v="8"/>
    <n v="6"/>
    <m/>
    <n v="147.9"/>
    <n v="26.100000000000005"/>
  </r>
  <r>
    <s v="Backend - Scan"/>
    <x v="2"/>
    <s v="New Feature"/>
    <s v="SCAN-409"/>
    <s v="Contact Lens Improvement (HK)"/>
    <s v="New Feature"/>
    <x v="0"/>
    <d v="2015-07-30T19:36:00"/>
    <x v="2"/>
    <x v="0"/>
    <x v="9"/>
    <n v="9"/>
    <m/>
    <n v="147.9"/>
    <n v="26.100000000000005"/>
  </r>
  <r>
    <s v="Backend - Scan"/>
    <x v="1"/>
    <s v="New Feature"/>
    <s v="SCAN-409"/>
    <s v="Contact Lens Improvement (HK)"/>
    <s v="New Feature"/>
    <x v="0"/>
    <d v="2015-07-31T18:31:00"/>
    <x v="2"/>
    <x v="0"/>
    <x v="8"/>
    <n v="8"/>
    <m/>
    <n v="147.9"/>
    <n v="26.100000000000005"/>
  </r>
  <r>
    <s v="Backend - Scan"/>
    <x v="2"/>
    <s v="Technical task"/>
    <s v="SCAN-412"/>
    <s v="SCAN-409&gt; Print items list"/>
    <s v="Technical task"/>
    <x v="0"/>
    <d v="2015-07-23T18:16:00"/>
    <x v="2"/>
    <x v="0"/>
    <x v="16"/>
    <n v="8"/>
    <m/>
    <n v="147.9"/>
    <n v="26.100000000000005"/>
  </r>
  <r>
    <s v="Backend - Scan"/>
    <x v="2"/>
    <s v="Technical task"/>
    <s v="SCAN-412"/>
    <s v="SCAN-409&gt; Print items list"/>
    <s v="Technical task"/>
    <x v="0"/>
    <d v="2015-07-24T18:40:00"/>
    <x v="2"/>
    <x v="0"/>
    <x v="16"/>
    <n v="8"/>
    <m/>
    <n v="147.9"/>
    <n v="26.100000000000005"/>
  </r>
  <r>
    <s v="Backend - Scan"/>
    <x v="2"/>
    <s v="Technical task"/>
    <s v="SCAN-412"/>
    <s v="SCAN-409&gt; Print items list"/>
    <s v="Technical task"/>
    <x v="0"/>
    <d v="2015-07-27T18:41:00"/>
    <x v="2"/>
    <x v="0"/>
    <x v="16"/>
    <n v="10"/>
    <m/>
    <n v="147.9"/>
    <n v="26.100000000000005"/>
  </r>
  <r>
    <s v="Backend - Scan"/>
    <x v="2"/>
    <s v="Technical task"/>
    <s v="SCAN-412"/>
    <s v="SCAN-409&gt; Print items list"/>
    <s v="Technical task"/>
    <x v="0"/>
    <d v="2015-07-28T18:41:00"/>
    <x v="2"/>
    <x v="0"/>
    <x v="16"/>
    <n v="10"/>
    <m/>
    <n v="147.9"/>
    <n v="26.100000000000005"/>
  </r>
  <r>
    <s v="Backend - Scan"/>
    <x v="2"/>
    <s v="Technical task"/>
    <s v="SCAN-412"/>
    <s v="SCAN-409&gt; Print items list"/>
    <s v="Technical task"/>
    <x v="0"/>
    <d v="2015-07-29T10:11:00"/>
    <x v="2"/>
    <x v="0"/>
    <x v="16"/>
    <n v="10"/>
    <m/>
    <n v="147.9"/>
    <n v="26.100000000000005"/>
  </r>
  <r>
    <s v="Backend - Scan"/>
    <x v="2"/>
    <s v="Technical task"/>
    <s v="SCAN-412"/>
    <s v="SCAN-409&gt; Print items list"/>
    <s v="Technical task"/>
    <x v="0"/>
    <d v="2015-07-30T10:10:00"/>
    <x v="2"/>
    <x v="0"/>
    <x v="16"/>
    <n v="8"/>
    <m/>
    <n v="147.9"/>
    <n v="26.100000000000005"/>
  </r>
  <r>
    <s v="Backend - Scan"/>
    <x v="2"/>
    <s v="Technical task"/>
    <s v="SCAN-412"/>
    <s v="SCAN-409&gt; Print items list"/>
    <s v="Technical task"/>
    <x v="0"/>
    <d v="2015-07-31T10:51:00"/>
    <x v="2"/>
    <x v="0"/>
    <x v="16"/>
    <n v="8"/>
    <m/>
    <n v="147.9"/>
    <n v="26.100000000000005"/>
  </r>
  <r>
    <s v="Backend - Scan"/>
    <x v="2"/>
    <s v="Technical task"/>
    <s v="SCAN-413"/>
    <s v="SCAN-409&gt; JIT Module"/>
    <s v="Technical task"/>
    <x v="0"/>
    <d v="2015-07-20T18:38:00"/>
    <x v="2"/>
    <x v="0"/>
    <x v="9"/>
    <n v="5"/>
    <m/>
    <n v="147.9"/>
    <n v="26.100000000000005"/>
  </r>
  <r>
    <s v="Backend - Scan"/>
    <x v="2"/>
    <s v="Technical task"/>
    <s v="SCAN-413"/>
    <s v="SCAN-409&gt; JIT Module"/>
    <s v="Technical task"/>
    <x v="0"/>
    <d v="2015-07-21T18:38:00"/>
    <x v="2"/>
    <x v="0"/>
    <x v="9"/>
    <n v="4"/>
    <m/>
    <n v="147.9"/>
    <n v="26.100000000000005"/>
  </r>
  <r>
    <s v="Backend - Scan"/>
    <x v="2"/>
    <s v="Technical task"/>
    <s v="SCAN-413"/>
    <s v="SCAN-409&gt; JIT Module"/>
    <s v="Technical task"/>
    <x v="0"/>
    <d v="2015-07-22T19:00:00"/>
    <x v="2"/>
    <x v="0"/>
    <x v="9"/>
    <n v="3"/>
    <m/>
    <n v="147.9"/>
    <n v="26.100000000000005"/>
  </r>
  <r>
    <s v="Backend - Scan"/>
    <x v="0"/>
    <s v="Sub-task"/>
    <s v="SCAN-417"/>
    <s v="SCAN-409&gt; Design"/>
    <s v="Sub-task"/>
    <x v="0"/>
    <d v="2015-07-30T16:31:00"/>
    <x v="2"/>
    <x v="0"/>
    <x v="19"/>
    <n v="1"/>
    <m/>
    <n v="87"/>
    <n v="87"/>
  </r>
  <r>
    <s v="Backend - Scan"/>
    <x v="2"/>
    <s v="Improvement"/>
    <s v="SCAN-432"/>
    <s v="Create Rewards"/>
    <s v="Improvement"/>
    <x v="0"/>
    <d v="2015-07-09T15:28:00"/>
    <x v="2"/>
    <x v="0"/>
    <x v="12"/>
    <n v="40"/>
    <m/>
    <n v="147.9"/>
    <n v="26.100000000000005"/>
  </r>
  <r>
    <s v="Backend - Scan"/>
    <x v="2"/>
    <s v="Bug"/>
    <s v="SCAN-505"/>
    <s v="Submit info from Scan to OM"/>
    <s v="Bug"/>
    <x v="1"/>
    <d v="2015-06-03T18:45:00"/>
    <x v="6"/>
    <x v="0"/>
    <x v="9"/>
    <n v="3"/>
    <m/>
    <n v="141.1"/>
    <n v="24.900000000000002"/>
  </r>
  <r>
    <s v="Backend - Scan"/>
    <x v="2"/>
    <s v="Bug"/>
    <s v="SCAN-505"/>
    <s v="Submit info from Scan to OM"/>
    <s v="Bug"/>
    <x v="1"/>
    <d v="2015-06-05T18:32:00"/>
    <x v="6"/>
    <x v="0"/>
    <x v="9"/>
    <n v="4.5"/>
    <s v="test ..."/>
    <n v="141.1"/>
    <n v="24.900000000000002"/>
  </r>
  <r>
    <s v="Backend - Scan"/>
    <x v="2"/>
    <s v="Bug"/>
    <s v="SCAN-508"/>
    <s v="Rx JIT shipment cannot change the proper status ."/>
    <s v="Bug"/>
    <x v="1"/>
    <d v="2015-07-20T10:35:00"/>
    <x v="2"/>
    <x v="0"/>
    <x v="9"/>
    <n v="2"/>
    <m/>
    <n v="147.9"/>
    <n v="26.100000000000005"/>
  </r>
  <r>
    <s v="Backend - Scan"/>
    <x v="2"/>
    <s v="Bug"/>
    <s v="SCAN-508"/>
    <s v="Rx JIT shipment cannot change the proper status ."/>
    <s v="Bug"/>
    <x v="1"/>
    <d v="2015-07-21T10:35:00"/>
    <x v="2"/>
    <x v="0"/>
    <x v="9"/>
    <n v="1"/>
    <m/>
    <n v="147.9"/>
    <n v="26.100000000000005"/>
  </r>
  <r>
    <s v="Backend - Scan"/>
    <x v="2"/>
    <s v="Bug"/>
    <s v="SCAN-508"/>
    <s v="Rx JIT shipment cannot change the proper status ."/>
    <s v="Bug"/>
    <x v="1"/>
    <d v="2015-07-27T11:28:00"/>
    <x v="2"/>
    <x v="0"/>
    <x v="9"/>
    <n v="1"/>
    <m/>
    <n v="147.9"/>
    <n v="26.100000000000005"/>
  </r>
  <r>
    <s v="Backend - Scan"/>
    <x v="2"/>
    <s v="Improvement"/>
    <s v="SCAN-530"/>
    <s v="Order already shipped but still appear on the new WHPO"/>
    <s v="Improvement"/>
    <x v="0"/>
    <d v="2015-07-07T18:33:00"/>
    <x v="2"/>
    <x v="0"/>
    <x v="9"/>
    <n v="3"/>
    <m/>
    <n v="147.9"/>
    <n v="26.100000000000005"/>
  </r>
  <r>
    <s v="Backend - Scan"/>
    <x v="2"/>
    <s v="Improvement"/>
    <s v="SCAN-530"/>
    <s v="Order already shipped but still appear on the new WHPO"/>
    <s v="Improvement"/>
    <x v="0"/>
    <d v="2015-07-08T13:06:00"/>
    <x v="2"/>
    <x v="0"/>
    <x v="9"/>
    <n v="8"/>
    <m/>
    <n v="147.9"/>
    <n v="26.100000000000005"/>
  </r>
  <r>
    <s v="Backend - Scan"/>
    <x v="2"/>
    <s v="Improvement"/>
    <s v="SCAN-530"/>
    <s v="Order already shipped but still appear on the new WHPO"/>
    <s v="Improvement"/>
    <x v="0"/>
    <d v="2015-07-09T17:17:00"/>
    <x v="2"/>
    <x v="0"/>
    <x v="9"/>
    <n v="4"/>
    <m/>
    <n v="147.9"/>
    <n v="26.100000000000005"/>
  </r>
  <r>
    <s v="Backend - Scan"/>
    <x v="2"/>
    <s v="Improvement"/>
    <s v="SCAN-530"/>
    <s v="Order already shipped but still appear on the new WHPO"/>
    <s v="Improvement"/>
    <x v="0"/>
    <d v="2015-07-10T18:41:00"/>
    <x v="2"/>
    <x v="0"/>
    <x v="9"/>
    <n v="5"/>
    <m/>
    <n v="147.9"/>
    <n v="26.100000000000005"/>
  </r>
  <r>
    <s v="Backend - Scan"/>
    <x v="2"/>
    <s v="Improvement"/>
    <s v="SCAN-530"/>
    <s v="Order already shipped but still appear on the new WHPO"/>
    <s v="Improvement"/>
    <x v="0"/>
    <d v="2015-07-13T17:07:00"/>
    <x v="2"/>
    <x v="0"/>
    <x v="9"/>
    <n v="3"/>
    <s v="test and release!"/>
    <n v="147.9"/>
    <n v="26.100000000000005"/>
  </r>
  <r>
    <s v="Backend - Scan"/>
    <x v="3"/>
    <s v="Improvement"/>
    <s v="SCAN-530"/>
    <s v="Order already shipped but still appear on the new WHPO"/>
    <s v="Improvement"/>
    <x v="0"/>
    <d v="2015-07-24T11:04:00"/>
    <x v="2"/>
    <x v="0"/>
    <x v="3"/>
    <n v="1"/>
    <m/>
    <n v="87"/>
    <n v="87"/>
  </r>
  <r>
    <s v="Backend - Scan"/>
    <x v="1"/>
    <s v="Bug"/>
    <s v="SCAN-537"/>
    <s v="Reprint issue"/>
    <s v="Bug"/>
    <x v="1"/>
    <d v="2015-06-05T16:19:00"/>
    <x v="6"/>
    <x v="0"/>
    <x v="8"/>
    <n v="0.5"/>
    <m/>
    <n v="141.1"/>
    <n v="24.900000000000002"/>
  </r>
  <r>
    <s v="Backend - Scan"/>
    <x v="2"/>
    <s v="Bug"/>
    <s v="SCAN-537"/>
    <s v="Reprint issue"/>
    <s v="Bug"/>
    <x v="1"/>
    <d v="2015-06-05T18:32:00"/>
    <x v="6"/>
    <x v="0"/>
    <x v="9"/>
    <n v="2"/>
    <m/>
    <n v="141.1"/>
    <n v="24.900000000000002"/>
  </r>
  <r>
    <s v="Backend - Scan"/>
    <x v="2"/>
    <s v="Bug"/>
    <s v="SCAN-547"/>
    <s v="GE order issue"/>
    <s v="Bug"/>
    <x v="1"/>
    <d v="2015-07-07T18:33:00"/>
    <x v="2"/>
    <x v="0"/>
    <x v="9"/>
    <n v="1"/>
    <m/>
    <n v="147.9"/>
    <n v="26.100000000000005"/>
  </r>
  <r>
    <s v="Backend - Scan"/>
    <x v="2"/>
    <s v="Bug"/>
    <s v="SCAN-552"/>
    <s v="Wrong item processed in scanning"/>
    <s v="Bug"/>
    <x v="1"/>
    <d v="2015-07-14T18:08:00"/>
    <x v="2"/>
    <x v="0"/>
    <x v="9"/>
    <n v="2"/>
    <m/>
    <n v="147.9"/>
    <n v="26.100000000000005"/>
  </r>
  <r>
    <s v="Backend - Scan"/>
    <x v="2"/>
    <s v="Task"/>
    <s v="SCAN-558"/>
    <s v="Netherlands - Shipping Rules (DHL)"/>
    <s v="Task"/>
    <x v="0"/>
    <d v="2015-06-29T18:38:00"/>
    <x v="6"/>
    <x v="0"/>
    <x v="9"/>
    <n v="2"/>
    <m/>
    <n v="141.1"/>
    <n v="24.900000000000002"/>
  </r>
  <r>
    <s v="Backend - Scan"/>
    <x v="2"/>
    <s v="Task"/>
    <s v="SCAN-558"/>
    <s v="Netherlands - Shipping Rules (DHL)"/>
    <s v="Task"/>
    <x v="0"/>
    <d v="2015-06-30T14:34:00"/>
    <x v="6"/>
    <x v="0"/>
    <x v="9"/>
    <n v="3"/>
    <m/>
    <n v="141.1"/>
    <n v="24.900000000000002"/>
  </r>
  <r>
    <s v="Backend - Scan"/>
    <x v="2"/>
    <s v="Task"/>
    <s v="SCAN-582"/>
    <s v="Investigate API errors"/>
    <s v="Task"/>
    <x v="0"/>
    <d v="2015-07-09T16:25:00"/>
    <x v="2"/>
    <x v="0"/>
    <x v="9"/>
    <n v="2"/>
    <m/>
    <n v="147.9"/>
    <n v="26.100000000000005"/>
  </r>
  <r>
    <s v="Backend - Scan"/>
    <x v="2"/>
    <s v="Task"/>
    <s v="SCAN-582"/>
    <s v="Investigate API errors"/>
    <s v="Task"/>
    <x v="0"/>
    <d v="2015-07-09T17:40:00"/>
    <x v="2"/>
    <x v="0"/>
    <x v="9"/>
    <n v="1"/>
    <m/>
    <n v="147.9"/>
    <n v="26.100000000000005"/>
  </r>
  <r>
    <s v="Operation Team Task"/>
    <x v="3"/>
    <s v="Maintenance"/>
    <s v="TASK-104"/>
    <s v="scan download and code check"/>
    <s v="Maintenance"/>
    <x v="1"/>
    <d v="2015-07-08T08:39:00"/>
    <x v="2"/>
    <x v="0"/>
    <x v="17"/>
    <n v="4"/>
    <m/>
    <n v="87"/>
    <n v="87"/>
  </r>
  <r>
    <s v="Operation Team Task"/>
    <x v="3"/>
    <s v="Maintenance"/>
    <s v="TASK-104"/>
    <s v="scan download and code check"/>
    <s v="Maintenance"/>
    <x v="1"/>
    <d v="2015-07-08T15:38:00"/>
    <x v="2"/>
    <x v="0"/>
    <x v="17"/>
    <n v="4"/>
    <m/>
    <n v="87"/>
    <n v="87"/>
  </r>
  <r>
    <s v="Operation Team Task"/>
    <x v="3"/>
    <s v="Maintenance"/>
    <s v="TASK-127"/>
    <s v="HK internet issue"/>
    <s v="Maintenance"/>
    <x v="1"/>
    <d v="2015-06-03T13:07:00"/>
    <x v="6"/>
    <x v="0"/>
    <x v="17"/>
    <n v="8"/>
    <m/>
    <n v="83"/>
    <n v="83"/>
  </r>
  <r>
    <s v="Operation Team Task"/>
    <x v="3"/>
    <s v="Maintenance"/>
    <s v="TASK-127"/>
    <s v="HK internet issue"/>
    <s v="Maintenance"/>
    <x v="1"/>
    <d v="2015-06-10T13:00:00"/>
    <x v="6"/>
    <x v="0"/>
    <x v="17"/>
    <n v="8"/>
    <m/>
    <n v="83"/>
    <n v="83"/>
  </r>
  <r>
    <s v="Operation Team Task"/>
    <x v="3"/>
    <s v="Maintenance"/>
    <s v="TASK-127"/>
    <s v="HK internet issue"/>
    <s v="Maintenance"/>
    <x v="1"/>
    <d v="2015-06-11T13:00:00"/>
    <x v="6"/>
    <x v="0"/>
    <x v="17"/>
    <n v="8"/>
    <m/>
    <n v="83"/>
    <n v="83"/>
  </r>
  <r>
    <s v="Operation Team Task"/>
    <x v="3"/>
    <s v="Maintenance"/>
    <s v="TASK-127"/>
    <s v="HK internet issue"/>
    <s v="Maintenance"/>
    <x v="1"/>
    <d v="2015-06-13T13:12:00"/>
    <x v="6"/>
    <x v="0"/>
    <x v="17"/>
    <n v="8"/>
    <m/>
    <n v="83"/>
    <n v="83"/>
  </r>
  <r>
    <s v="Operation Team Task"/>
    <x v="3"/>
    <s v="Maintenance"/>
    <s v="TASK-127"/>
    <s v="HK internet issue"/>
    <s v="Maintenance"/>
    <x v="1"/>
    <d v="2015-06-18T13:07:00"/>
    <x v="6"/>
    <x v="0"/>
    <x v="17"/>
    <n v="8"/>
    <m/>
    <n v="83"/>
    <n v="83"/>
  </r>
  <r>
    <s v="Operation Team Task"/>
    <x v="3"/>
    <s v="Maintenance"/>
    <s v="TASK-131"/>
    <s v="delicate cable deploy"/>
    <s v="Maintenance"/>
    <x v="1"/>
    <d v="2015-07-09T08:40:00"/>
    <x v="2"/>
    <x v="0"/>
    <x v="17"/>
    <n v="4"/>
    <m/>
    <n v="87"/>
    <n v="87"/>
  </r>
  <r>
    <s v="Operation Team Task"/>
    <x v="3"/>
    <s v="Maintenance"/>
    <s v="TASK-131"/>
    <s v="delicate cable deploy"/>
    <s v="Maintenance"/>
    <x v="1"/>
    <d v="2015-07-29T16:49:00"/>
    <x v="2"/>
    <x v="0"/>
    <x v="17"/>
    <n v="8"/>
    <m/>
    <n v="87"/>
    <n v="87"/>
  </r>
  <r>
    <s v="Operation Team Task"/>
    <x v="3"/>
    <s v="Maintenance"/>
    <s v="TASK-131"/>
    <s v="delicate cable deploy"/>
    <s v="Maintenance"/>
    <x v="1"/>
    <d v="2015-07-30T16:49:00"/>
    <x v="2"/>
    <x v="0"/>
    <x v="17"/>
    <n v="8"/>
    <m/>
    <n v="87"/>
    <n v="87"/>
  </r>
  <r>
    <s v="Operation Team Task"/>
    <x v="3"/>
    <s v="Maintenance"/>
    <s v="TASK-131"/>
    <s v="delicate cable deploy"/>
    <s v="Maintenance"/>
    <x v="1"/>
    <d v="2015-07-31T16:50:00"/>
    <x v="2"/>
    <x v="0"/>
    <x v="17"/>
    <n v="8"/>
    <m/>
    <n v="87"/>
    <n v="87"/>
  </r>
  <r>
    <s v="Operation Team Task"/>
    <x v="3"/>
    <s v="Maintenance"/>
    <s v="TASK-142"/>
    <s v="CN server deploy"/>
    <s v="Maintenance"/>
    <x v="1"/>
    <d v="2015-07-22T15:42:00"/>
    <x v="2"/>
    <x v="0"/>
    <x v="17"/>
    <n v="8"/>
    <m/>
    <n v="87"/>
    <n v="87"/>
  </r>
  <r>
    <s v="Operation Team Task"/>
    <x v="3"/>
    <s v="Maintenance"/>
    <s v="TASK-146"/>
    <s v="ssl replace"/>
    <s v="Maintenance"/>
    <x v="1"/>
    <d v="2015-07-15T15:39:00"/>
    <x v="2"/>
    <x v="0"/>
    <x v="17"/>
    <n v="4"/>
    <m/>
    <n v="87"/>
    <n v="87"/>
  </r>
  <r>
    <s v="Operation Team Task"/>
    <x v="3"/>
    <s v="Maintenance"/>
    <s v="TASK-146"/>
    <s v="ssl replace"/>
    <s v="Maintenance"/>
    <x v="1"/>
    <d v="2015-07-16T15:41:00"/>
    <x v="2"/>
    <x v="0"/>
    <x v="17"/>
    <n v="8"/>
    <m/>
    <n v="87"/>
    <n v="87"/>
  </r>
  <r>
    <s v="Operation Team Task"/>
    <x v="3"/>
    <s v="Maintenance"/>
    <s v="TASK-154"/>
    <s v="linux SSL issue and Luxottica ftp issue"/>
    <s v="Maintenance"/>
    <x v="1"/>
    <d v="2015-07-14T15:38:00"/>
    <x v="2"/>
    <x v="0"/>
    <x v="17"/>
    <n v="8"/>
    <m/>
    <n v="87"/>
    <n v="87"/>
  </r>
  <r>
    <s v="Operation Team Task"/>
    <x v="3"/>
    <s v="Technical task"/>
    <s v="TASK-1502"/>
    <s v="TASK-120&gt; develop handover"/>
    <s v="Technical task"/>
    <x v="0"/>
    <d v="2015-06-16T15:07:00"/>
    <x v="6"/>
    <x v="0"/>
    <x v="17"/>
    <n v="4"/>
    <m/>
    <n v="83"/>
    <n v="83"/>
  </r>
  <r>
    <s v="Operation Team Task"/>
    <x v="3"/>
    <s v="Technical task"/>
    <s v="TASK-1504"/>
    <s v="TASK-120&gt; maintenance support"/>
    <s v="Technical task"/>
    <x v="0"/>
    <d v="2015-07-27T15:43:00"/>
    <x v="2"/>
    <x v="0"/>
    <x v="17"/>
    <n v="8"/>
    <m/>
    <n v="87"/>
    <n v="87"/>
  </r>
  <r>
    <s v="Operation Team Task"/>
    <x v="3"/>
    <s v="Technical task"/>
    <s v="TASK-1504"/>
    <s v="TASK-120&gt; maintenance support"/>
    <s v="Technical task"/>
    <x v="0"/>
    <d v="2015-07-28T15:43:00"/>
    <x v="2"/>
    <x v="0"/>
    <x v="17"/>
    <n v="8"/>
    <m/>
    <n v="87"/>
    <n v="87"/>
  </r>
  <r>
    <s v="Operation Team Task"/>
    <x v="3"/>
    <s v="Technical task"/>
    <s v="TASK-1533"/>
    <s v="TASK-120&gt; for jira's codeing review's tools"/>
    <s v="Technical task"/>
    <x v="0"/>
    <d v="2015-06-05T15:07:00"/>
    <x v="6"/>
    <x v="0"/>
    <x v="17"/>
    <n v="2"/>
    <m/>
    <n v="83"/>
    <n v="83"/>
  </r>
  <r>
    <s v="Operation Team Task"/>
    <x v="3"/>
    <s v="Technical task"/>
    <s v="TASK-1534"/>
    <s v="TASK-120&gt; share meeting"/>
    <s v="Technical task"/>
    <x v="0"/>
    <d v="2015-06-09T10:59:00"/>
    <x v="6"/>
    <x v="0"/>
    <x v="17"/>
    <n v="1"/>
    <m/>
    <n v="83"/>
    <n v="83"/>
  </r>
  <r>
    <s v="Operation Team Task"/>
    <x v="3"/>
    <s v="Technical task"/>
    <s v="TASK-1535"/>
    <s v="TASK-120&gt; weekly meeting"/>
    <s v="Technical task"/>
    <x v="0"/>
    <d v="2015-06-08T11:01:00"/>
    <x v="6"/>
    <x v="0"/>
    <x v="17"/>
    <n v="1"/>
    <m/>
    <n v="83"/>
    <n v="83"/>
  </r>
  <r>
    <s v="Operation Team Task"/>
    <x v="3"/>
    <s v="Technical task"/>
    <s v="TASK-1536"/>
    <s v="TASK-120&gt; HK internet new repair"/>
    <s v="Technical task"/>
    <x v="0"/>
    <d v="2015-06-09T12:34:00"/>
    <x v="6"/>
    <x v="0"/>
    <x v="17"/>
    <n v="3"/>
    <m/>
    <n v="83"/>
    <n v="83"/>
  </r>
  <r>
    <s v="Operation Team Task"/>
    <x v="3"/>
    <s v="Technical task"/>
    <s v="TASK-1536"/>
    <s v="TASK-120&gt; HK internet new repair"/>
    <s v="Technical task"/>
    <x v="0"/>
    <d v="2015-06-12T12:35:00"/>
    <x v="6"/>
    <x v="0"/>
    <x v="17"/>
    <n v="3"/>
    <m/>
    <n v="83"/>
    <n v="83"/>
  </r>
  <r>
    <s v="Operation Team Task"/>
    <x v="3"/>
    <s v="Technical task"/>
    <s v="TASK-1537"/>
    <s v="TASK-120&gt; BI issue"/>
    <s v="Technical task"/>
    <x v="0"/>
    <d v="2015-06-15T12:37:00"/>
    <x v="6"/>
    <x v="0"/>
    <x v="17"/>
    <n v="8"/>
    <m/>
    <n v="83"/>
    <n v="83"/>
  </r>
  <r>
    <s v="Operation Team Task"/>
    <x v="3"/>
    <s v="Technical task"/>
    <s v="TASK-1538"/>
    <s v="TASK-120&gt; HK new route install"/>
    <s v="Technical task"/>
    <x v="0"/>
    <d v="2015-06-16T12:38:00"/>
    <x v="6"/>
    <x v="0"/>
    <x v="17"/>
    <n v="4"/>
    <m/>
    <n v="83"/>
    <n v="83"/>
  </r>
  <r>
    <s v="Operation Team Task"/>
    <x v="3"/>
    <s v="Technical task"/>
    <s v="TASK-1538"/>
    <s v="TASK-120&gt; HK new route install"/>
    <s v="Technical task"/>
    <x v="0"/>
    <d v="2015-07-13T15:37:00"/>
    <x v="2"/>
    <x v="0"/>
    <x v="17"/>
    <n v="8"/>
    <m/>
    <n v="87"/>
    <n v="87"/>
  </r>
  <r>
    <s v="Operation Team Task"/>
    <x v="3"/>
    <s v="Technical task"/>
    <s v="TASK-1539"/>
    <s v="TASK-120&gt; weekly meeting for lifesize"/>
    <s v="Technical task"/>
    <x v="0"/>
    <d v="2015-06-12T12:36:00"/>
    <x v="6"/>
    <x v="0"/>
    <x v="17"/>
    <n v="4"/>
    <m/>
    <n v="83"/>
    <n v="83"/>
  </r>
  <r>
    <s v="Operation Team Task"/>
    <x v="3"/>
    <s v="Technical task"/>
    <s v="TASK-1540"/>
    <s v="TASK-120&gt; maintenance support for linux server"/>
    <s v="Technical task"/>
    <x v="0"/>
    <d v="2015-06-17T12:53:00"/>
    <x v="6"/>
    <x v="0"/>
    <x v="17"/>
    <n v="8"/>
    <s v="check new server's issue"/>
    <n v="83"/>
    <n v="83"/>
  </r>
  <r>
    <s v="Operation Team Task"/>
    <x v="3"/>
    <s v="Technical task"/>
    <s v="TASK-1540"/>
    <s v="TASK-120&gt; maintenance support for linux server"/>
    <s v="Technical task"/>
    <x v="0"/>
    <d v="2015-07-10T15:37:00"/>
    <x v="2"/>
    <x v="0"/>
    <x v="17"/>
    <n v="8"/>
    <m/>
    <n v="87"/>
    <n v="87"/>
  </r>
  <r>
    <s v="Operation Team Task"/>
    <x v="3"/>
    <s v="Develop"/>
    <s v="TASK-1560"/>
    <s v="Manifest Report Issue"/>
    <s v="Develop"/>
    <x v="0"/>
    <d v="2015-07-01T09:52:00"/>
    <x v="2"/>
    <x v="0"/>
    <x v="17"/>
    <n v="8"/>
    <m/>
    <n v="87"/>
    <n v="87"/>
  </r>
  <r>
    <s v="Operation Team Task"/>
    <x v="3"/>
    <s v="Develop"/>
    <s v="TASK-1560"/>
    <s v="Manifest Report Issue"/>
    <s v="Develop"/>
    <x v="0"/>
    <d v="2015-07-02T04:34:00"/>
    <x v="2"/>
    <x v="0"/>
    <x v="17"/>
    <n v="8"/>
    <m/>
    <n v="87"/>
    <n v="87"/>
  </r>
  <r>
    <s v="Operation Team Task"/>
    <x v="3"/>
    <s v="Develop"/>
    <s v="TASK-1560"/>
    <s v="Manifest Report Issue"/>
    <s v="Develop"/>
    <x v="0"/>
    <d v="2015-07-03T04:34:00"/>
    <x v="2"/>
    <x v="0"/>
    <x v="17"/>
    <n v="8"/>
    <m/>
    <n v="87"/>
    <n v="87"/>
  </r>
  <r>
    <s v="Operation Team Task"/>
    <x v="3"/>
    <s v="Develop"/>
    <s v="TASK-1560"/>
    <s v="Manifest Report Issue"/>
    <s v="Develop"/>
    <x v="0"/>
    <d v="2015-07-06T04:35:00"/>
    <x v="2"/>
    <x v="0"/>
    <x v="17"/>
    <n v="8"/>
    <m/>
    <n v="87"/>
    <n v="87"/>
  </r>
  <r>
    <s v="Operation Team Task"/>
    <x v="1"/>
    <s v="Develop"/>
    <s v="TASK-1560"/>
    <s v="Manifest Report Issue"/>
    <s v="Develop"/>
    <x v="0"/>
    <d v="2015-07-14T17:29:00"/>
    <x v="2"/>
    <x v="0"/>
    <x v="8"/>
    <n v="0.5"/>
    <m/>
    <n v="147.9"/>
    <n v="26.100000000000005"/>
  </r>
  <r>
    <s v="Operation Team Task"/>
    <x v="2"/>
    <s v="Develop"/>
    <s v="TASK-1560"/>
    <s v="Manifest Report Issue"/>
    <s v="Develop"/>
    <x v="0"/>
    <d v="2015-07-14T17:49:00"/>
    <x v="2"/>
    <x v="0"/>
    <x v="12"/>
    <n v="0.5"/>
    <m/>
    <n v="147.9"/>
    <n v="26.100000000000005"/>
  </r>
  <r>
    <s v="Operation Team Task"/>
    <x v="3"/>
    <s v="Develop"/>
    <s v="TASK-1560"/>
    <s v="Manifest Report Issue"/>
    <s v="Develop"/>
    <x v="0"/>
    <d v="2015-07-15T08:38:00"/>
    <x v="2"/>
    <x v="0"/>
    <x v="17"/>
    <n v="4"/>
    <m/>
    <n v="87"/>
    <n v="87"/>
  </r>
  <r>
    <s v="Operation Team Task"/>
    <x v="2"/>
    <s v="Develop"/>
    <s v="TASK-1560"/>
    <s v="Manifest Report Issue"/>
    <s v="Develop"/>
    <x v="0"/>
    <d v="2015-07-16T18:29:00"/>
    <x v="2"/>
    <x v="0"/>
    <x v="9"/>
    <n v="2"/>
    <m/>
    <n v="147.9"/>
    <n v="26.100000000000005"/>
  </r>
  <r>
    <s v="Operation Team Task"/>
    <x v="3"/>
    <s v="Develop"/>
    <s v="TASK-1560"/>
    <s v="Manifest Report Issue"/>
    <s v="Develop"/>
    <x v="0"/>
    <d v="2015-07-17T04:38:00"/>
    <x v="2"/>
    <x v="0"/>
    <x v="17"/>
    <n v="8"/>
    <m/>
    <n v="87"/>
    <n v="87"/>
  </r>
  <r>
    <s v="Operation Team Task"/>
    <x v="2"/>
    <s v="Develop"/>
    <s v="TASK-1560"/>
    <s v="Manifest Report Issue"/>
    <s v="Develop"/>
    <x v="0"/>
    <d v="2015-07-17T14:42:00"/>
    <x v="2"/>
    <x v="0"/>
    <x v="9"/>
    <n v="5"/>
    <m/>
    <n v="147.9"/>
    <n v="26.100000000000005"/>
  </r>
  <r>
    <s v="Operation Team Task"/>
    <x v="1"/>
    <s v="Develop"/>
    <s v="TASK-1560"/>
    <s v="Manifest Report Issue"/>
    <s v="Develop"/>
    <x v="0"/>
    <d v="2015-07-17T15:42:00"/>
    <x v="2"/>
    <x v="0"/>
    <x v="8"/>
    <n v="0.5"/>
    <m/>
    <n v="147.9"/>
    <n v="26.100000000000005"/>
  </r>
  <r>
    <s v="Operation Team Task"/>
    <x v="3"/>
    <s v="Develop"/>
    <s v="TASK-1560"/>
    <s v="Manifest Report Issue"/>
    <s v="Develop"/>
    <x v="0"/>
    <d v="2015-07-23T04:39:00"/>
    <x v="2"/>
    <x v="0"/>
    <x v="17"/>
    <n v="8"/>
    <m/>
    <n v="87"/>
    <n v="87"/>
  </r>
  <r>
    <s v="Operation Team Task"/>
    <x v="3"/>
    <s v="Develop"/>
    <s v="TASK-1560"/>
    <s v="Manifest Report Issue"/>
    <s v="Develop"/>
    <x v="0"/>
    <d v="2015-07-24T04:39:00"/>
    <x v="2"/>
    <x v="0"/>
    <x v="17"/>
    <n v="8"/>
    <m/>
    <n v="87"/>
    <n v="87"/>
  </r>
  <r>
    <s v="Operation Team Task"/>
    <x v="3"/>
    <s v="Develop"/>
    <s v="TASK-1560"/>
    <s v="Manifest Report Issue"/>
    <s v="Develop"/>
    <x v="0"/>
    <d v="2015-07-24T11:05:00"/>
    <x v="2"/>
    <x v="0"/>
    <x v="3"/>
    <n v="1"/>
    <m/>
    <n v="87"/>
    <n v="87"/>
  </r>
  <r>
    <s v="Operation Team Task"/>
    <x v="3"/>
    <s v="Develop"/>
    <s v="TASK-1560"/>
    <s v="Manifest Report Issue"/>
    <s v="Develop"/>
    <x v="0"/>
    <d v="2015-07-24T11:06:00"/>
    <x v="2"/>
    <x v="0"/>
    <x v="3"/>
    <n v="1"/>
    <m/>
    <n v="87"/>
    <n v="87"/>
  </r>
  <r>
    <s v="Operation Team Task"/>
    <x v="3"/>
    <s v="Develop"/>
    <s v="TASK-1563"/>
    <s v="Please check the PO export template and change to correct spelling"/>
    <s v="Develop"/>
    <x v="0"/>
    <d v="2015-06-09T12:27:00"/>
    <x v="6"/>
    <x v="0"/>
    <x v="17"/>
    <n v="4"/>
    <m/>
    <n v="83"/>
    <n v="83"/>
  </r>
  <r>
    <s v="Operation Team Task"/>
    <x v="3"/>
    <s v="Develop"/>
    <s v="TASK-1564"/>
    <s v="since om is not update we have cancelled the order but the order shipped."/>
    <s v="Develop"/>
    <x v="0"/>
    <d v="2015-06-08T12:23:00"/>
    <x v="6"/>
    <x v="0"/>
    <x v="17"/>
    <n v="2"/>
    <m/>
    <n v="83"/>
    <n v="83"/>
  </r>
  <r>
    <s v="Operation Team Task"/>
    <x v="2"/>
    <s v="Develop"/>
    <s v="TASK-1570"/>
    <s v="timestamp addition of scan tables"/>
    <s v="Develop"/>
    <x v="0"/>
    <d v="2015-07-06T15:29:00"/>
    <x v="2"/>
    <x v="0"/>
    <x v="9"/>
    <n v="3"/>
    <s v="test scan system."/>
    <n v="147.9"/>
    <n v="26.100000000000005"/>
  </r>
  <r>
    <s v="Operation Team Task"/>
    <x v="3"/>
    <s v="Develop"/>
    <s v="TASK-1570"/>
    <s v="timestamp addition of scan tables"/>
    <s v="Develop"/>
    <x v="0"/>
    <d v="2015-07-07T09:46:00"/>
    <x v="2"/>
    <x v="0"/>
    <x v="17"/>
    <n v="8"/>
    <m/>
    <n v="87"/>
    <n v="87"/>
  </r>
  <r>
    <s v="Operation Team Task"/>
    <x v="3"/>
    <s v="Develop"/>
    <s v="TASK-1570"/>
    <s v="timestamp addition of scan tables"/>
    <s v="Develop"/>
    <x v="0"/>
    <d v="2015-07-09T09:53:00"/>
    <x v="2"/>
    <x v="0"/>
    <x v="17"/>
    <n v="4"/>
    <m/>
    <n v="87"/>
    <n v="87"/>
  </r>
  <r>
    <s v="Operation Team Task"/>
    <x v="3"/>
    <s v="Develop"/>
    <s v="TASK-1570"/>
    <s v="timestamp addition of scan tables"/>
    <s v="Develop"/>
    <x v="0"/>
    <d v="2015-07-20T04:36:00"/>
    <x v="2"/>
    <x v="0"/>
    <x v="17"/>
    <n v="8"/>
    <m/>
    <n v="87"/>
    <n v="87"/>
  </r>
  <r>
    <s v="Operation Team Task"/>
    <x v="3"/>
    <s v="Develop"/>
    <s v="TASK-1570"/>
    <s v="timestamp addition of scan tables"/>
    <s v="Develop"/>
    <x v="0"/>
    <d v="2015-07-21T04:36:00"/>
    <x v="2"/>
    <x v="0"/>
    <x v="17"/>
    <n v="8"/>
    <m/>
    <n v="87"/>
    <n v="87"/>
  </r>
  <r>
    <s v="Operation Team Task"/>
    <x v="3"/>
    <s v="Develop"/>
    <s v="TASK-1570"/>
    <s v="timestamp addition of scan tables"/>
    <s v="Develop"/>
    <x v="0"/>
    <d v="2015-07-24T10:58:00"/>
    <x v="2"/>
    <x v="0"/>
    <x v="3"/>
    <n v="1"/>
    <m/>
    <n v="87"/>
    <n v="87"/>
  </r>
  <r>
    <s v="Operation Team Task"/>
    <x v="3"/>
    <s v="Develop"/>
    <s v="TASK-1570"/>
    <s v="timestamp addition of scan tables"/>
    <s v="Develop"/>
    <x v="0"/>
    <d v="2015-07-24T10:58:00"/>
    <x v="2"/>
    <x v="0"/>
    <x v="3"/>
    <n v="1"/>
    <m/>
    <n v="87"/>
    <n v="87"/>
  </r>
  <r>
    <s v="Operation Team Task"/>
    <x v="3"/>
    <s v="Develop"/>
    <s v="TASK-1571"/>
    <s v="RPX-CN update manifest format"/>
    <s v="Develop"/>
    <x v="0"/>
    <d v="2015-06-19T04:32:00"/>
    <x v="6"/>
    <x v="0"/>
    <x v="17"/>
    <n v="8"/>
    <m/>
    <n v="83"/>
    <n v="83"/>
  </r>
  <r>
    <s v="Operation Team Task"/>
    <x v="3"/>
    <s v="Develop"/>
    <s v="TASK-1571"/>
    <s v="RPX-CN update manifest format"/>
    <s v="Develop"/>
    <x v="0"/>
    <d v="2015-06-24T12:25:00"/>
    <x v="6"/>
    <x v="0"/>
    <x v="17"/>
    <n v="8"/>
    <m/>
    <n v="83"/>
    <n v="83"/>
  </r>
  <r>
    <s v="Operation Team Task"/>
    <x v="3"/>
    <s v="Develop"/>
    <s v="TASK-1571"/>
    <s v="RPX-CN update manifest format"/>
    <s v="Develop"/>
    <x v="0"/>
    <d v="2015-06-25T04:29:00"/>
    <x v="6"/>
    <x v="0"/>
    <x v="17"/>
    <n v="8"/>
    <m/>
    <n v="83"/>
    <n v="83"/>
  </r>
  <r>
    <s v="Operation Team Task"/>
    <x v="3"/>
    <s v="Develop"/>
    <s v="TASK-1571"/>
    <s v="RPX-CN update manifest format"/>
    <s v="Develop"/>
    <x v="0"/>
    <d v="2015-06-26T04:29:00"/>
    <x v="6"/>
    <x v="0"/>
    <x v="17"/>
    <n v="8"/>
    <m/>
    <n v="83"/>
    <n v="83"/>
  </r>
  <r>
    <s v="Operation Team Task"/>
    <x v="3"/>
    <s v="Develop"/>
    <s v="TASK-1571"/>
    <s v="RPX-CN update manifest format"/>
    <s v="Develop"/>
    <x v="0"/>
    <d v="2015-06-29T04:29:00"/>
    <x v="6"/>
    <x v="0"/>
    <x v="17"/>
    <n v="8"/>
    <m/>
    <n v="83"/>
    <n v="83"/>
  </r>
  <r>
    <s v="Operation Team Task"/>
    <x v="3"/>
    <s v="Develop"/>
    <s v="TASK-1571"/>
    <s v="RPX-CN update manifest format"/>
    <s v="Develop"/>
    <x v="0"/>
    <d v="2015-06-30T04:29:00"/>
    <x v="6"/>
    <x v="0"/>
    <x v="17"/>
    <n v="8"/>
    <m/>
    <n v="83"/>
    <n v="83"/>
  </r>
  <r>
    <s v="Operation Team Task"/>
    <x v="3"/>
    <s v="Develop"/>
    <s v="TASK-1575"/>
    <s v="Manifeset format for New courier ''Continental Express '"/>
    <s v="Develop"/>
    <x v="0"/>
    <d v="2015-06-04T14:59:00"/>
    <x v="6"/>
    <x v="0"/>
    <x v="17"/>
    <n v="8"/>
    <m/>
    <n v="83"/>
    <n v="83"/>
  </r>
  <r>
    <s v="Operation Team Task"/>
    <x v="3"/>
    <s v="Develop"/>
    <s v="TASK-1580"/>
    <s v="Please help us to add marker for stock inventory"/>
    <s v="Develop"/>
    <x v="0"/>
    <d v="2015-06-02T10:51:00"/>
    <x v="6"/>
    <x v="0"/>
    <x v="17"/>
    <n v="4"/>
    <m/>
    <n v="83"/>
    <n v="83"/>
  </r>
  <r>
    <s v="Operation Team Task"/>
    <x v="3"/>
    <s v="Develop"/>
    <s v="TASK-1580"/>
    <s v="Please help us to add marker for stock inventory"/>
    <s v="Develop"/>
    <x v="0"/>
    <d v="2015-06-05T10:58:00"/>
    <x v="6"/>
    <x v="0"/>
    <x v="17"/>
    <n v="6"/>
    <m/>
    <n v="83"/>
    <n v="83"/>
  </r>
  <r>
    <s v="Operation Team Task"/>
    <x v="3"/>
    <s v="Develop"/>
    <s v="TASK-1590"/>
    <s v="Add stock out reasons"/>
    <s v="Develop"/>
    <x v="0"/>
    <d v="2015-06-01T10:49:00"/>
    <x v="6"/>
    <x v="0"/>
    <x v="17"/>
    <n v="8"/>
    <m/>
    <n v="83"/>
    <n v="83"/>
  </r>
  <r>
    <s v="Operation Team Task"/>
    <x v="3"/>
    <s v="Develop"/>
    <s v="TASK-1590"/>
    <s v="Add stock out reasons"/>
    <s v="Develop"/>
    <x v="0"/>
    <d v="2015-06-02T10:51:00"/>
    <x v="6"/>
    <x v="0"/>
    <x v="17"/>
    <n v="4"/>
    <m/>
    <n v="83"/>
    <n v="83"/>
  </r>
  <r>
    <s v="Operation Team Task"/>
    <x v="1"/>
    <s v="Develop"/>
    <s v="TASK-1590"/>
    <s v="Add stock out reasons"/>
    <s v="Develop"/>
    <x v="0"/>
    <d v="2015-06-02T15:11:00"/>
    <x v="6"/>
    <x v="0"/>
    <x v="8"/>
    <n v="0.5"/>
    <m/>
    <n v="141.1"/>
    <n v="24.900000000000002"/>
  </r>
  <r>
    <s v="Operation Team Task"/>
    <x v="3"/>
    <s v="Develop"/>
    <s v="TASK-1658"/>
    <s v="Can you please change the status of this order to shipped so that I can process a return for exchange:US0234180006G"/>
    <s v="Develop"/>
    <x v="0"/>
    <d v="2015-06-08T12:19:00"/>
    <x v="6"/>
    <x v="0"/>
    <x v="17"/>
    <n v="4"/>
    <m/>
    <n v="83"/>
    <n v="83"/>
  </r>
  <r>
    <s v="SBG - Desktop"/>
    <x v="0"/>
    <s v="New Feature"/>
    <s v="DESK-2120"/>
    <s v="SBG New Header / Footer / Homepage Banners / Choose your country"/>
    <s v="New Feature"/>
    <x v="0"/>
    <d v="2015-08-04T18:55:00"/>
    <x v="3"/>
    <x v="0"/>
    <x v="7"/>
    <n v="8"/>
    <m/>
    <n v="87"/>
    <n v="87"/>
  </r>
  <r>
    <s v="SBG - Desktop"/>
    <x v="0"/>
    <s v="New Feature"/>
    <s v="DESK-2120"/>
    <s v="SBG New Header / Footer / Homepage Banners / Choose your country"/>
    <s v="New Feature"/>
    <x v="0"/>
    <d v="2015-08-05T18:30:00"/>
    <x v="3"/>
    <x v="0"/>
    <x v="7"/>
    <n v="8"/>
    <m/>
    <n v="87"/>
    <n v="87"/>
  </r>
  <r>
    <s v="SBG - Desktop"/>
    <x v="0"/>
    <s v="New Feature"/>
    <s v="DESK-2120"/>
    <s v="SBG New Header / Footer / Homepage Banners / Choose your country"/>
    <s v="New Feature"/>
    <x v="0"/>
    <d v="2015-08-06T18:32:00"/>
    <x v="3"/>
    <x v="0"/>
    <x v="7"/>
    <n v="8"/>
    <m/>
    <n v="87"/>
    <n v="87"/>
  </r>
  <r>
    <s v="SBG - Desktop"/>
    <x v="0"/>
    <s v="New Feature"/>
    <s v="DESK-2120"/>
    <s v="SBG New Header / Footer / Homepage Banners / Choose your country"/>
    <s v="New Feature"/>
    <x v="0"/>
    <d v="2015-08-07T18:36:00"/>
    <x v="3"/>
    <x v="0"/>
    <x v="7"/>
    <n v="8"/>
    <m/>
    <n v="87"/>
    <n v="87"/>
  </r>
  <r>
    <s v="SBG - Desktop"/>
    <x v="0"/>
    <s v="New Feature"/>
    <s v="DESK-2120"/>
    <s v="SBG New Header / Footer / Homepage Banners / Choose your country"/>
    <s v="New Feature"/>
    <x v="0"/>
    <d v="2015-08-13T18:39:00"/>
    <x v="3"/>
    <x v="0"/>
    <x v="7"/>
    <n v="4.5"/>
    <m/>
    <n v="87"/>
    <n v="87"/>
  </r>
  <r>
    <s v="SBG - Desktop"/>
    <x v="4"/>
    <s v="New Feature"/>
    <s v="DESK-2120"/>
    <s v="SBG New Header / Footer / Homepage Banners / Choose your country"/>
    <s v="New Feature"/>
    <x v="0"/>
    <d v="2015-08-17T12:14:00"/>
    <x v="3"/>
    <x v="0"/>
    <x v="13"/>
    <n v="6"/>
    <m/>
    <n v="147.9"/>
    <n v="26.100000000000005"/>
  </r>
  <r>
    <s v="SBG - Desktop"/>
    <x v="4"/>
    <s v="New Feature"/>
    <s v="DESK-2120"/>
    <s v="SBG New Header / Footer / Homepage Banners / Choose your country"/>
    <s v="New Feature"/>
    <x v="0"/>
    <d v="2015-08-18T12:14:00"/>
    <x v="3"/>
    <x v="0"/>
    <x v="13"/>
    <n v="5"/>
    <m/>
    <n v="147.9"/>
    <n v="26.100000000000005"/>
  </r>
  <r>
    <s v="SBG - Desktop"/>
    <x v="4"/>
    <s v="New Feature"/>
    <s v="DESK-2120"/>
    <s v="SBG New Header / Footer / Homepage Banners / Choose your country"/>
    <s v="New Feature"/>
    <x v="0"/>
    <d v="2015-08-19T12:14:00"/>
    <x v="3"/>
    <x v="0"/>
    <x v="13"/>
    <n v="7"/>
    <m/>
    <n v="147.9"/>
    <n v="26.100000000000005"/>
  </r>
  <r>
    <s v="SBG - Desktop"/>
    <x v="4"/>
    <s v="New Feature"/>
    <s v="DESK-2120"/>
    <s v="SBG New Header / Footer / Homepage Banners / Choose your country"/>
    <s v="New Feature"/>
    <x v="0"/>
    <d v="2015-08-20T12:14:00"/>
    <x v="3"/>
    <x v="0"/>
    <x v="13"/>
    <n v="5"/>
    <m/>
    <n v="147.9"/>
    <n v="26.100000000000005"/>
  </r>
  <r>
    <s v="SBG - Desktop"/>
    <x v="4"/>
    <s v="New Feature"/>
    <s v="DESK-2120"/>
    <s v="SBG New Header / Footer / Homepage Banners / Choose your country"/>
    <s v="New Feature"/>
    <x v="0"/>
    <d v="2015-08-26T11:42:00"/>
    <x v="3"/>
    <x v="0"/>
    <x v="13"/>
    <n v="3"/>
    <m/>
    <n v="147.9"/>
    <n v="26.100000000000005"/>
  </r>
  <r>
    <s v="SBG - Desktop"/>
    <x v="2"/>
    <s v="New Feature"/>
    <s v="DESK-2120"/>
    <s v="SBG New Header / Footer / Homepage Banners / Choose your country"/>
    <s v="New Feature"/>
    <x v="0"/>
    <d v="2015-09-01T09:25:00"/>
    <x v="4"/>
    <x v="0"/>
    <x v="22"/>
    <n v="8"/>
    <m/>
    <n v="134.29999999999998"/>
    <n v="23.700000000000003"/>
  </r>
  <r>
    <s v="SBG - Desktop"/>
    <x v="2"/>
    <s v="New Feature"/>
    <s v="DESK-2120"/>
    <s v="SBG New Header / Footer / Homepage Banners / Choose your country"/>
    <s v="New Feature"/>
    <x v="0"/>
    <d v="2015-09-02T09:25:00"/>
    <x v="4"/>
    <x v="0"/>
    <x v="22"/>
    <n v="8"/>
    <m/>
    <n v="134.29999999999998"/>
    <n v="23.700000000000003"/>
  </r>
  <r>
    <s v="SBG - Desktop"/>
    <x v="2"/>
    <s v="New Feature"/>
    <s v="DESK-2120"/>
    <s v="SBG New Header / Footer / Homepage Banners / Choose your country"/>
    <s v="New Feature"/>
    <x v="0"/>
    <d v="2015-09-03T09:25:00"/>
    <x v="4"/>
    <x v="0"/>
    <x v="22"/>
    <n v="8"/>
    <m/>
    <n v="134.29999999999998"/>
    <n v="23.700000000000003"/>
  </r>
  <r>
    <s v="SBG - Desktop"/>
    <x v="2"/>
    <s v="New Feature"/>
    <s v="DESK-2120"/>
    <s v="SBG New Header / Footer / Homepage Banners / Choose your country"/>
    <s v="New Feature"/>
    <x v="0"/>
    <d v="2015-09-04T16:25:00"/>
    <x v="4"/>
    <x v="0"/>
    <x v="22"/>
    <n v="1"/>
    <m/>
    <n v="134.29999999999998"/>
    <n v="23.700000000000003"/>
  </r>
  <r>
    <s v="SBG - Desktop"/>
    <x v="2"/>
    <s v="New Feature"/>
    <s v="DESK-2120"/>
    <s v="SBG New Header / Footer / Homepage Banners / Choose your country"/>
    <s v="New Feature"/>
    <x v="0"/>
    <d v="2015-09-07T09:25:00"/>
    <x v="4"/>
    <x v="0"/>
    <x v="22"/>
    <n v="8"/>
    <m/>
    <n v="134.29999999999998"/>
    <n v="23.700000000000003"/>
  </r>
  <r>
    <s v="SBG - Desktop"/>
    <x v="2"/>
    <s v="New Feature"/>
    <s v="DESK-2120"/>
    <s v="SBG New Header / Footer / Homepage Banners / Choose your country"/>
    <s v="New Feature"/>
    <x v="0"/>
    <d v="2015-09-08T09:25:00"/>
    <x v="4"/>
    <x v="0"/>
    <x v="22"/>
    <n v="8"/>
    <m/>
    <n v="134.29999999999998"/>
    <n v="23.700000000000003"/>
  </r>
  <r>
    <s v="SBG - Desktop"/>
    <x v="2"/>
    <s v="New Feature"/>
    <s v="DESK-2120"/>
    <s v="SBG New Header / Footer / Homepage Banners / Choose your country"/>
    <s v="New Feature"/>
    <x v="0"/>
    <d v="2015-09-10T17:00:00"/>
    <x v="4"/>
    <x v="0"/>
    <x v="22"/>
    <n v="8"/>
    <m/>
    <n v="134.29999999999998"/>
    <n v="23.700000000000003"/>
  </r>
  <r>
    <s v="SBG - Desktop"/>
    <x v="0"/>
    <s v="New Feature"/>
    <s v="DESK-2120"/>
    <s v="SBG New Header / Footer / Homepage Banners / Choose your country"/>
    <s v="New Feature"/>
    <x v="0"/>
    <d v="2015-09-10T18:09:00"/>
    <x v="4"/>
    <x v="0"/>
    <x v="7"/>
    <n v="6.5"/>
    <m/>
    <n v="79"/>
    <n v="79"/>
  </r>
  <r>
    <s v="SBG - Desktop"/>
    <x v="2"/>
    <s v="New Feature"/>
    <s v="DESK-2120"/>
    <s v="SBG New Header / Footer / Homepage Banners / Choose your country"/>
    <s v="New Feature"/>
    <x v="0"/>
    <d v="2015-09-11T17:00:00"/>
    <x v="4"/>
    <x v="0"/>
    <x v="22"/>
    <n v="8"/>
    <m/>
    <n v="134.29999999999998"/>
    <n v="23.700000000000003"/>
  </r>
  <r>
    <s v="SBG - Desktop"/>
    <x v="2"/>
    <s v="New Feature"/>
    <s v="DESK-2120"/>
    <s v="SBG New Header / Footer / Homepage Banners / Choose your country"/>
    <s v="New Feature"/>
    <x v="0"/>
    <d v="2015-09-14T14:27:00"/>
    <x v="4"/>
    <x v="0"/>
    <x v="22"/>
    <n v="3"/>
    <m/>
    <n v="134.29999999999998"/>
    <n v="23.700000000000003"/>
  </r>
  <r>
    <s v="SBG - Desktop"/>
    <x v="2"/>
    <s v="New Feature"/>
    <s v="DESK-2120"/>
    <s v="SBG New Header / Footer / Homepage Banners / Choose your country"/>
    <s v="New Feature"/>
    <x v="0"/>
    <d v="2015-09-15T09:27:00"/>
    <x v="4"/>
    <x v="0"/>
    <x v="22"/>
    <n v="8"/>
    <m/>
    <n v="134.29999999999998"/>
    <n v="23.700000000000003"/>
  </r>
  <r>
    <s v="SBG - Desktop"/>
    <x v="0"/>
    <s v="New Feature"/>
    <s v="DESK-2120"/>
    <s v="SBG New Header / Footer / Homepage Banners / Choose your country"/>
    <s v="New Feature"/>
    <x v="0"/>
    <d v="2015-09-15T18:28:00"/>
    <x v="4"/>
    <x v="0"/>
    <x v="7"/>
    <n v="6.5"/>
    <m/>
    <n v="79"/>
    <n v="79"/>
  </r>
  <r>
    <s v="SBG - Desktop"/>
    <x v="2"/>
    <s v="New Feature"/>
    <s v="DESK-2120"/>
    <s v="SBG New Header / Footer / Homepage Banners / Choose your country"/>
    <s v="New Feature"/>
    <x v="0"/>
    <d v="2015-09-17T17:01:00"/>
    <x v="4"/>
    <x v="0"/>
    <x v="22"/>
    <n v="8"/>
    <m/>
    <n v="134.29999999999998"/>
    <n v="23.700000000000003"/>
  </r>
  <r>
    <s v="SBG - Desktop"/>
    <x v="0"/>
    <s v="New Feature"/>
    <s v="DESK-2120"/>
    <s v="SBG New Header / Footer / Homepage Banners / Choose your country"/>
    <s v="New Feature"/>
    <x v="0"/>
    <d v="2015-09-17T18:37:00"/>
    <x v="4"/>
    <x v="0"/>
    <x v="7"/>
    <n v="8"/>
    <m/>
    <n v="79"/>
    <n v="79"/>
  </r>
  <r>
    <s v="SBG - Desktop"/>
    <x v="2"/>
    <s v="New Feature"/>
    <s v="DESK-2120"/>
    <s v="SBG New Header / Footer / Homepage Banners / Choose your country"/>
    <s v="New Feature"/>
    <x v="0"/>
    <d v="2015-09-18T17:01:00"/>
    <x v="4"/>
    <x v="0"/>
    <x v="22"/>
    <n v="8"/>
    <m/>
    <n v="134.29999999999998"/>
    <n v="23.700000000000003"/>
  </r>
  <r>
    <s v="SBG - Desktop"/>
    <x v="2"/>
    <s v="New Feature"/>
    <s v="DESK-2120"/>
    <s v="SBG New Header / Footer / Homepage Banners / Choose your country"/>
    <s v="New Feature"/>
    <x v="0"/>
    <d v="2015-09-21T17:03:00"/>
    <x v="4"/>
    <x v="0"/>
    <x v="22"/>
    <n v="8"/>
    <m/>
    <n v="134.29999999999998"/>
    <n v="23.700000000000003"/>
  </r>
  <r>
    <s v="SBG - Desktop"/>
    <x v="2"/>
    <s v="New Feature"/>
    <s v="DESK-2120"/>
    <s v="SBG New Header / Footer / Homepage Banners / Choose your country"/>
    <s v="New Feature"/>
    <x v="0"/>
    <d v="2015-09-22T17:04:00"/>
    <x v="4"/>
    <x v="0"/>
    <x v="22"/>
    <n v="8"/>
    <m/>
    <n v="134.29999999999998"/>
    <n v="23.700000000000003"/>
  </r>
  <r>
    <s v="SBG - Desktop"/>
    <x v="2"/>
    <s v="New Feature"/>
    <s v="DESK-2120"/>
    <s v="SBG New Header / Footer / Homepage Banners / Choose your country"/>
    <s v="New Feature"/>
    <x v="0"/>
    <d v="2015-09-23T17:04:00"/>
    <x v="4"/>
    <x v="0"/>
    <x v="22"/>
    <n v="8"/>
    <m/>
    <n v="134.29999999999998"/>
    <n v="23.700000000000003"/>
  </r>
  <r>
    <s v="SBG - Desktop"/>
    <x v="2"/>
    <s v="New Feature"/>
    <s v="DESK-2120"/>
    <s v="SBG New Header / Footer / Homepage Banners / Choose your country"/>
    <s v="New Feature"/>
    <x v="0"/>
    <d v="2015-09-24T17:04:00"/>
    <x v="4"/>
    <x v="0"/>
    <x v="22"/>
    <n v="8"/>
    <m/>
    <n v="134.29999999999998"/>
    <n v="23.700000000000003"/>
  </r>
  <r>
    <s v="SBG - Desktop"/>
    <x v="4"/>
    <s v="New Feature"/>
    <s v="DESK-2120"/>
    <s v="SBG New Header / Footer / Homepage Banners / Choose your country"/>
    <s v="New Feature"/>
    <x v="0"/>
    <d v="2015-09-25T17:04:00"/>
    <x v="4"/>
    <x v="0"/>
    <x v="13"/>
    <n v="2"/>
    <m/>
    <n v="134.29999999999998"/>
    <n v="23.700000000000003"/>
  </r>
  <r>
    <s v="SBG - Desktop"/>
    <x v="2"/>
    <s v="New Feature"/>
    <s v="DESK-2120"/>
    <s v="SBG New Header / Footer / Homepage Banners / Choose your country"/>
    <s v="New Feature"/>
    <x v="0"/>
    <d v="2015-09-25T17:05:00"/>
    <x v="4"/>
    <x v="0"/>
    <x v="22"/>
    <n v="8"/>
    <m/>
    <n v="134.29999999999998"/>
    <n v="23.700000000000003"/>
  </r>
  <r>
    <s v="SBG - Desktop"/>
    <x v="2"/>
    <s v="New Feature"/>
    <s v="DESK-2120"/>
    <s v="SBG New Header / Footer / Homepage Banners / Choose your country"/>
    <s v="New Feature"/>
    <x v="0"/>
    <d v="2015-09-28T12:45:00"/>
    <x v="4"/>
    <x v="0"/>
    <x v="22"/>
    <n v="2"/>
    <m/>
    <n v="134.29999999999998"/>
    <n v="23.700000000000003"/>
  </r>
  <r>
    <s v="SBG - Desktop"/>
    <x v="2"/>
    <s v="New Feature"/>
    <s v="DESK-2120"/>
    <s v="SBG New Header / Footer / Homepage Banners / Choose your country"/>
    <s v="New Feature"/>
    <x v="0"/>
    <d v="2015-09-28T17:05:00"/>
    <x v="4"/>
    <x v="0"/>
    <x v="22"/>
    <n v="2"/>
    <m/>
    <n v="134.29999999999998"/>
    <n v="23.700000000000003"/>
  </r>
  <r>
    <s v="SBG - Desktop"/>
    <x v="2"/>
    <s v="New Feature"/>
    <s v="DESK-2120"/>
    <s v="SBG New Header / Footer / Homepage Banners / Choose your country"/>
    <s v="New Feature"/>
    <x v="0"/>
    <d v="2015-09-28T17:09:00"/>
    <x v="4"/>
    <x v="0"/>
    <x v="22"/>
    <n v="4"/>
    <m/>
    <n v="134.29999999999998"/>
    <n v="23.700000000000003"/>
  </r>
  <r>
    <s v="SBG - Desktop"/>
    <x v="2"/>
    <s v="New Feature"/>
    <s v="DESK-2120"/>
    <s v="SBG New Header / Footer / Homepage Banners / Choose your country"/>
    <s v="New Feature"/>
    <x v="0"/>
    <d v="2015-09-29T17:05:00"/>
    <x v="4"/>
    <x v="0"/>
    <x v="22"/>
    <n v="2"/>
    <m/>
    <n v="134.29999999999998"/>
    <n v="23.700000000000003"/>
  </r>
  <r>
    <s v="SBG - Desktop"/>
    <x v="2"/>
    <s v="New Feature"/>
    <s v="DESK-2120"/>
    <s v="SBG New Header / Footer / Homepage Banners / Choose your country"/>
    <s v="New Feature"/>
    <x v="0"/>
    <d v="2015-09-30T11:28:00"/>
    <x v="4"/>
    <x v="0"/>
    <x v="22"/>
    <n v="6"/>
    <m/>
    <n v="134.29999999999998"/>
    <n v="23.700000000000003"/>
  </r>
  <r>
    <s v="SBG - Desktop"/>
    <x v="1"/>
    <s v="New Feature"/>
    <s v="DESK-2122"/>
    <s v="Product page - Discontinued logic"/>
    <s v="New Feature"/>
    <x v="0"/>
    <d v="2015-09-18T16:17:00"/>
    <x v="4"/>
    <x v="0"/>
    <x v="5"/>
    <n v="3"/>
    <m/>
    <n v="134.29999999999998"/>
    <n v="23.700000000000003"/>
  </r>
  <r>
    <s v="SBG - Desktop"/>
    <x v="4"/>
    <s v="New Feature"/>
    <s v="DESK-2123"/>
    <s v="Product Page - Layout tweaks"/>
    <s v="New Feature"/>
    <x v="0"/>
    <d v="2015-09-10T13:48:00"/>
    <x v="4"/>
    <x v="0"/>
    <x v="13"/>
    <n v="2"/>
    <m/>
    <n v="134.29999999999998"/>
    <n v="23.700000000000003"/>
  </r>
  <r>
    <s v="SBG - Desktop"/>
    <x v="4"/>
    <s v="New Feature"/>
    <s v="DESK-2123"/>
    <s v="Product Page - Layout tweaks"/>
    <s v="New Feature"/>
    <x v="0"/>
    <d v="2015-09-11T13:48:00"/>
    <x v="4"/>
    <x v="0"/>
    <x v="13"/>
    <n v="2"/>
    <m/>
    <n v="134.29999999999998"/>
    <n v="23.700000000000003"/>
  </r>
  <r>
    <s v="SBG - Desktop"/>
    <x v="4"/>
    <s v="New Feature"/>
    <s v="DESK-2123"/>
    <s v="Product Page - Layout tweaks"/>
    <s v="New Feature"/>
    <x v="0"/>
    <d v="2015-09-14T13:48:00"/>
    <x v="4"/>
    <x v="0"/>
    <x v="13"/>
    <n v="2"/>
    <m/>
    <n v="134.29999999999998"/>
    <n v="23.700000000000003"/>
  </r>
  <r>
    <s v="SBG - Desktop"/>
    <x v="4"/>
    <s v="New Feature"/>
    <s v="DESK-2123"/>
    <s v="Product Page - Layout tweaks"/>
    <s v="New Feature"/>
    <x v="0"/>
    <d v="2015-09-15T14:48:00"/>
    <x v="4"/>
    <x v="0"/>
    <x v="13"/>
    <n v="1"/>
    <m/>
    <n v="134.29999999999998"/>
    <n v="23.700000000000003"/>
  </r>
  <r>
    <s v="SBG - Desktop"/>
    <x v="4"/>
    <s v="New Feature"/>
    <s v="DESK-2123"/>
    <s v="Product Page - Layout tweaks"/>
    <s v="New Feature"/>
    <x v="0"/>
    <d v="2015-09-16T14:49:00"/>
    <x v="4"/>
    <x v="0"/>
    <x v="13"/>
    <n v="1"/>
    <m/>
    <n v="134.29999999999998"/>
    <n v="23.700000000000003"/>
  </r>
  <r>
    <s v="SBG - Desktop"/>
    <x v="4"/>
    <s v="New Feature"/>
    <s v="DESK-2123"/>
    <s v="Product Page - Layout tweaks"/>
    <s v="New Feature"/>
    <x v="0"/>
    <d v="2015-09-18T16:57:00"/>
    <x v="4"/>
    <x v="0"/>
    <x v="13"/>
    <n v="4"/>
    <m/>
    <n v="134.29999999999998"/>
    <n v="23.700000000000003"/>
  </r>
  <r>
    <s v="SBG - Desktop"/>
    <x v="2"/>
    <s v="New Feature"/>
    <s v="DESK-2127"/>
    <s v="Master Feed 2: at SIZE LEVEL"/>
    <s v="New Feature"/>
    <x v="0"/>
    <d v="2015-08-03T11:10:00"/>
    <x v="3"/>
    <x v="0"/>
    <x v="16"/>
    <n v="40"/>
    <m/>
    <n v="147.9"/>
    <n v="26.100000000000005"/>
  </r>
  <r>
    <s v="SBG - Desktop"/>
    <x v="2"/>
    <s v="New Feature"/>
    <s v="DESK-2127"/>
    <s v="Master Feed 2: at SIZE LEVEL"/>
    <s v="New Feature"/>
    <x v="0"/>
    <d v="2015-08-10T12:11:00"/>
    <x v="3"/>
    <x v="0"/>
    <x v="16"/>
    <n v="40"/>
    <m/>
    <n v="147.9"/>
    <n v="26.100000000000005"/>
  </r>
  <r>
    <s v="SBG - Desktop"/>
    <x v="2"/>
    <s v="New Feature"/>
    <s v="DESK-2128"/>
    <s v="us_soquero feed re-coding"/>
    <s v="New Feature"/>
    <x v="0"/>
    <d v="2015-09-16T15:42:00"/>
    <x v="4"/>
    <x v="0"/>
    <x v="16"/>
    <n v="4"/>
    <m/>
    <n v="134.29999999999998"/>
    <n v="23.700000000000003"/>
  </r>
  <r>
    <s v="SBG - Desktop"/>
    <x v="2"/>
    <s v="New Feature"/>
    <s v="DESK-2128"/>
    <s v="us_soquero feed re-coding"/>
    <s v="New Feature"/>
    <x v="0"/>
    <d v="2015-09-25T12:10:00"/>
    <x v="4"/>
    <x v="0"/>
    <x v="16"/>
    <n v="4"/>
    <s v="fix brands missing."/>
    <n v="134.29999999999998"/>
    <n v="23.700000000000003"/>
  </r>
  <r>
    <s v="SBG - Desktop"/>
    <x v="4"/>
    <s v="New Feature"/>
    <s v="DESK-2134"/>
    <s v="RocketFuel Tracking Pixel"/>
    <s v="New Feature"/>
    <x v="0"/>
    <d v="2015-08-03T11:02:00"/>
    <x v="3"/>
    <x v="0"/>
    <x v="13"/>
    <n v="3"/>
    <m/>
    <n v="147.9"/>
    <n v="26.100000000000005"/>
  </r>
  <r>
    <s v="SBG - Desktop"/>
    <x v="1"/>
    <s v="Sub-task"/>
    <s v="DESK-2138"/>
    <s v="DESK-2136&gt; The TR domain still use cdn4.smartbuyglasses.com.tr to get pictures."/>
    <s v="Sub-task"/>
    <x v="0"/>
    <d v="2015-08-10T15:01:00"/>
    <x v="3"/>
    <x v="0"/>
    <x v="21"/>
    <n v="1.5"/>
    <m/>
    <n v="147.9"/>
    <n v="26.100000000000005"/>
  </r>
  <r>
    <s v="SBG - Desktop"/>
    <x v="1"/>
    <s v="Sub-task"/>
    <s v="DESK-2138"/>
    <s v="DESK-2136&gt; The TR domain still use cdn4.smartbuyglasses.com.tr to get pictures."/>
    <s v="Sub-task"/>
    <x v="0"/>
    <d v="2015-08-10T15:02:00"/>
    <x v="3"/>
    <x v="0"/>
    <x v="21"/>
    <n v="1.5"/>
    <m/>
    <n v="147.9"/>
    <n v="26.100000000000005"/>
  </r>
  <r>
    <s v="SBG - Desktop"/>
    <x v="1"/>
    <s v="Sub-task"/>
    <s v="DESK-2221"/>
    <s v="DESK-2244&gt; Send later upload page and thank you page - remove footer"/>
    <s v="Sub-task"/>
    <x v="0"/>
    <d v="2015-08-10T18:39:00"/>
    <x v="3"/>
    <x v="0"/>
    <x v="1"/>
    <n v="1"/>
    <m/>
    <n v="147.9"/>
    <n v="26.100000000000005"/>
  </r>
  <r>
    <s v="SBG - Desktop"/>
    <x v="1"/>
    <s v="Sub-task"/>
    <s v="DESK-2221"/>
    <s v="DESK-2244&gt; Send later upload page and thank you page - remove footer"/>
    <s v="Sub-task"/>
    <x v="0"/>
    <d v="2015-08-14T19:21:00"/>
    <x v="3"/>
    <x v="0"/>
    <x v="1"/>
    <n v="8"/>
    <m/>
    <n v="147.9"/>
    <n v="26.100000000000005"/>
  </r>
  <r>
    <s v="SBG - Desktop"/>
    <x v="1"/>
    <s v="Sub-task"/>
    <s v="DESK-2221"/>
    <s v="DESK-2244&gt; Send later upload page and thank you page - remove footer"/>
    <s v="Sub-task"/>
    <x v="0"/>
    <d v="2015-08-19T19:23:00"/>
    <x v="3"/>
    <x v="0"/>
    <x v="1"/>
    <n v="8"/>
    <m/>
    <n v="147.9"/>
    <n v="26.100000000000005"/>
  </r>
  <r>
    <s v="SBG - Desktop"/>
    <x v="1"/>
    <s v="Sub-task"/>
    <s v="DESK-2221"/>
    <s v="DESK-2244&gt; Send later upload page and thank you page - remove footer"/>
    <s v="Sub-task"/>
    <x v="0"/>
    <d v="2015-08-24T19:25:00"/>
    <x v="3"/>
    <x v="0"/>
    <x v="1"/>
    <n v="8"/>
    <m/>
    <n v="147.9"/>
    <n v="26.100000000000005"/>
  </r>
  <r>
    <s v="SBG - Desktop"/>
    <x v="1"/>
    <s v="Sub-task"/>
    <s v="DESK-2221"/>
    <s v="DESK-2244&gt; Send later upload page and thank you page - remove footer"/>
    <s v="Sub-task"/>
    <x v="0"/>
    <d v="2015-08-27T19:25:00"/>
    <x v="3"/>
    <x v="0"/>
    <x v="1"/>
    <n v="8"/>
    <m/>
    <n v="147.9"/>
    <n v="26.100000000000005"/>
  </r>
  <r>
    <s v="SBG - Desktop"/>
    <x v="1"/>
    <s v="Sub-task"/>
    <s v="DESK-2226"/>
    <s v="DESK-2244&gt; RX CHECK-OUT -- ENTER YOUR PRESCRIPTION NOT CLICKABLE"/>
    <s v="Sub-task"/>
    <x v="0"/>
    <d v="2015-08-10T18:38:00"/>
    <x v="3"/>
    <x v="0"/>
    <x v="1"/>
    <n v="1"/>
    <m/>
    <n v="147.9"/>
    <n v="26.100000000000005"/>
  </r>
  <r>
    <s v="SBG - Desktop"/>
    <x v="1"/>
    <s v="Sub-task"/>
    <s v="DESK-2226"/>
    <s v="DESK-2244&gt; RX CHECK-OUT -- ENTER YOUR PRESCRIPTION NOT CLICKABLE"/>
    <s v="Sub-task"/>
    <x v="0"/>
    <d v="2015-08-12T19:21:00"/>
    <x v="3"/>
    <x v="0"/>
    <x v="1"/>
    <n v="8"/>
    <m/>
    <n v="147.9"/>
    <n v="26.100000000000005"/>
  </r>
  <r>
    <s v="SBG - Desktop"/>
    <x v="1"/>
    <s v="Sub-task"/>
    <s v="DESK-2226"/>
    <s v="DESK-2244&gt; RX CHECK-OUT -- ENTER YOUR PRESCRIPTION NOT CLICKABLE"/>
    <s v="Sub-task"/>
    <x v="0"/>
    <d v="2015-08-18T19:23:00"/>
    <x v="3"/>
    <x v="0"/>
    <x v="1"/>
    <n v="7"/>
    <m/>
    <n v="147.9"/>
    <n v="26.100000000000005"/>
  </r>
  <r>
    <s v="SBG - Desktop"/>
    <x v="1"/>
    <s v="Sub-task"/>
    <s v="DESK-2226"/>
    <s v="DESK-2244&gt; RX CHECK-OUT -- ENTER YOUR PRESCRIPTION NOT CLICKABLE"/>
    <s v="Sub-task"/>
    <x v="0"/>
    <d v="2015-08-20T19:24:00"/>
    <x v="3"/>
    <x v="0"/>
    <x v="1"/>
    <n v="8"/>
    <m/>
    <n v="147.9"/>
    <n v="26.100000000000005"/>
  </r>
  <r>
    <s v="SBG - Desktop"/>
    <x v="1"/>
    <s v="Sub-task"/>
    <s v="DESK-2226"/>
    <s v="DESK-2244&gt; RX CHECK-OUT -- ENTER YOUR PRESCRIPTION NOT CLICKABLE"/>
    <s v="Sub-task"/>
    <x v="0"/>
    <d v="2015-08-25T19:25:00"/>
    <x v="3"/>
    <x v="0"/>
    <x v="1"/>
    <n v="8"/>
    <m/>
    <n v="147.9"/>
    <n v="26.100000000000005"/>
  </r>
  <r>
    <s v="SBG - Desktop"/>
    <x v="1"/>
    <s v="Sub-task"/>
    <s v="DESK-2226"/>
    <s v="DESK-2244&gt; RX CHECK-OUT -- ENTER YOUR PRESCRIPTION NOT CLICKABLE"/>
    <s v="Sub-task"/>
    <x v="0"/>
    <d v="2015-08-26T19:25:00"/>
    <x v="3"/>
    <x v="0"/>
    <x v="1"/>
    <n v="8"/>
    <m/>
    <n v="147.9"/>
    <n v="26.100000000000005"/>
  </r>
  <r>
    <s v="SBG - Desktop"/>
    <x v="1"/>
    <s v="Sub-task"/>
    <s v="DESK-2227"/>
    <s v="DESK-2244&gt; RX PHASE 2 - Send later txt"/>
    <s v="Sub-task"/>
    <x v="0"/>
    <d v="2015-08-10T18:39:00"/>
    <x v="3"/>
    <x v="0"/>
    <x v="1"/>
    <n v="1"/>
    <m/>
    <n v="147.9"/>
    <n v="26.100000000000005"/>
  </r>
  <r>
    <s v="SBG - Desktop"/>
    <x v="1"/>
    <s v="Sub-task"/>
    <s v="DESK-2227"/>
    <s v="DESK-2244&gt; RX PHASE 2 - Send later txt"/>
    <s v="Sub-task"/>
    <x v="0"/>
    <d v="2015-08-21T19:24:00"/>
    <x v="3"/>
    <x v="0"/>
    <x v="1"/>
    <n v="10"/>
    <m/>
    <n v="147.9"/>
    <n v="26.100000000000005"/>
  </r>
  <r>
    <s v="SBG - Desktop"/>
    <x v="2"/>
    <s v="Sub-task"/>
    <s v="DESK-2228"/>
    <s v="DESK-2244&gt; RX PHASE 2 - Log order changes on SBG upload page"/>
    <s v="Sub-task"/>
    <x v="0"/>
    <d v="2015-08-04T17:02:00"/>
    <x v="3"/>
    <x v="0"/>
    <x v="20"/>
    <n v="6"/>
    <m/>
    <n v="147.9"/>
    <n v="26.100000000000005"/>
  </r>
  <r>
    <s v="SBG - Desktop"/>
    <x v="2"/>
    <s v="Sub-task"/>
    <s v="DESK-2228"/>
    <s v="DESK-2244&gt; RX PHASE 2 - Log order changes on SBG upload page"/>
    <s v="Sub-task"/>
    <x v="0"/>
    <d v="2015-08-05T17:02:00"/>
    <x v="3"/>
    <x v="0"/>
    <x v="20"/>
    <n v="8"/>
    <m/>
    <n v="147.9"/>
    <n v="26.100000000000005"/>
  </r>
  <r>
    <s v="SBG - Desktop"/>
    <x v="2"/>
    <s v="Sub-task"/>
    <s v="DESK-2228"/>
    <s v="DESK-2244&gt; RX PHASE 2 - Log order changes on SBG upload page"/>
    <s v="Sub-task"/>
    <x v="0"/>
    <d v="2015-08-06T17:02:00"/>
    <x v="3"/>
    <x v="0"/>
    <x v="20"/>
    <n v="8"/>
    <m/>
    <n v="147.9"/>
    <n v="26.100000000000005"/>
  </r>
  <r>
    <s v="SBG - Desktop"/>
    <x v="2"/>
    <s v="Sub-task"/>
    <s v="DESK-2228"/>
    <s v="DESK-2244&gt; RX PHASE 2 - Log order changes on SBG upload page"/>
    <s v="Sub-task"/>
    <x v="0"/>
    <d v="2015-08-19T17:02:00"/>
    <x v="3"/>
    <x v="0"/>
    <x v="20"/>
    <n v="3"/>
    <m/>
    <n v="147.9"/>
    <n v="26.100000000000005"/>
  </r>
  <r>
    <s v="SBG - Desktop"/>
    <x v="2"/>
    <s v="Sub-task"/>
    <s v="DESK-2228"/>
    <s v="DESK-2244&gt; RX PHASE 2 - Log order changes on SBG upload page"/>
    <s v="Sub-task"/>
    <x v="0"/>
    <d v="2015-08-20T17:02:00"/>
    <x v="3"/>
    <x v="0"/>
    <x v="20"/>
    <n v="4"/>
    <m/>
    <n v="147.9"/>
    <n v="26.100000000000005"/>
  </r>
  <r>
    <s v="SBG - Desktop"/>
    <x v="2"/>
    <s v="Sub-task"/>
    <s v="DESK-2228"/>
    <s v="DESK-2244&gt; RX PHASE 2 - Log order changes on SBG upload page"/>
    <s v="Sub-task"/>
    <x v="0"/>
    <d v="2015-09-01T18:33:00"/>
    <x v="4"/>
    <x v="0"/>
    <x v="20"/>
    <n v="16"/>
    <m/>
    <n v="134.29999999999998"/>
    <n v="23.700000000000003"/>
  </r>
  <r>
    <s v="SBG - Desktop"/>
    <x v="2"/>
    <s v="Sub-task"/>
    <s v="DESK-2228"/>
    <s v="DESK-2244&gt; RX PHASE 2 - Log order changes on SBG upload page"/>
    <s v="Sub-task"/>
    <x v="0"/>
    <d v="2015-09-16T22:10:00"/>
    <x v="4"/>
    <x v="0"/>
    <x v="9"/>
    <n v="5"/>
    <m/>
    <n v="134.29999999999998"/>
    <n v="23.700000000000003"/>
  </r>
  <r>
    <s v="SBG - Desktop"/>
    <x v="2"/>
    <s v="Sub-task"/>
    <s v="DESK-2228"/>
    <s v="DESK-2244&gt; RX PHASE 2 - Log order changes on SBG upload page"/>
    <s v="Sub-task"/>
    <x v="0"/>
    <d v="2015-09-16T22:14:00"/>
    <x v="4"/>
    <x v="0"/>
    <x v="9"/>
    <n v="3"/>
    <m/>
    <n v="134.29999999999998"/>
    <n v="23.700000000000003"/>
  </r>
  <r>
    <s v="SBG - Desktop"/>
    <x v="1"/>
    <s v="Sub-task"/>
    <s v="DESK-2243"/>
    <s v="DESK-2136&gt; Banners cannot be displayed correctly on TR homepage."/>
    <s v="Sub-task"/>
    <x v="0"/>
    <d v="2015-08-10T15:09:00"/>
    <x v="3"/>
    <x v="0"/>
    <x v="21"/>
    <n v="1"/>
    <m/>
    <n v="147.9"/>
    <n v="26.100000000000005"/>
  </r>
  <r>
    <s v="SBG - Desktop"/>
    <x v="1"/>
    <s v="Improvement"/>
    <s v="DESK-2244"/>
    <s v="Release RX Phase 2 to all english domains"/>
    <s v="Improvement"/>
    <x v="0"/>
    <d v="2015-08-10T18:38:00"/>
    <x v="3"/>
    <x v="0"/>
    <x v="1"/>
    <n v="1"/>
    <m/>
    <n v="147.9"/>
    <n v="26.100000000000005"/>
  </r>
  <r>
    <s v="SBG - Desktop"/>
    <x v="2"/>
    <s v="Sub-task"/>
    <s v="DESK-2245"/>
    <s v="DESK-2244&gt; RX Method recording (manual / upload / later)"/>
    <s v="Sub-task"/>
    <x v="0"/>
    <d v="2015-08-24T10:55:00"/>
    <x v="3"/>
    <x v="0"/>
    <x v="18"/>
    <n v="8"/>
    <m/>
    <n v="147.9"/>
    <n v="26.100000000000005"/>
  </r>
  <r>
    <s v="SBG - Desktop"/>
    <x v="2"/>
    <s v="Sub-task"/>
    <s v="DESK-2245"/>
    <s v="DESK-2244&gt; RX Method recording (manual / upload / later)"/>
    <s v="Sub-task"/>
    <x v="0"/>
    <d v="2015-08-31T12:44:00"/>
    <x v="3"/>
    <x v="0"/>
    <x v="18"/>
    <n v="8"/>
    <m/>
    <n v="147.9"/>
    <n v="26.100000000000005"/>
  </r>
  <r>
    <s v="SBG - Desktop"/>
    <x v="1"/>
    <s v="Sub-task"/>
    <s v="DESK-2249"/>
    <s v="DESK-2136&gt; product picture in checkout page cannot be displayed"/>
    <s v="Sub-task"/>
    <x v="0"/>
    <d v="2015-08-10T15:10:00"/>
    <x v="3"/>
    <x v="0"/>
    <x v="21"/>
    <n v="1"/>
    <m/>
    <n v="147.9"/>
    <n v="26.100000000000005"/>
  </r>
  <r>
    <s v="SBG - Desktop"/>
    <x v="1"/>
    <s v="Sub-task"/>
    <s v="DESK-2251"/>
    <s v="DESK-2136&gt; Thank you page issue"/>
    <s v="Sub-task"/>
    <x v="0"/>
    <d v="2015-08-03T08:14:00"/>
    <x v="3"/>
    <x v="0"/>
    <x v="21"/>
    <n v="8"/>
    <m/>
    <n v="147.9"/>
    <n v="26.100000000000005"/>
  </r>
  <r>
    <s v="SBG - Desktop"/>
    <x v="2"/>
    <s v="Sub-task"/>
    <s v="DESK-2251"/>
    <s v="DESK-2136&gt; Thank you page issue"/>
    <s v="Sub-task"/>
    <x v="0"/>
    <d v="2015-08-03T14:00:00"/>
    <x v="3"/>
    <x v="0"/>
    <x v="11"/>
    <n v="2"/>
    <m/>
    <n v="147.9"/>
    <n v="26.100000000000005"/>
  </r>
  <r>
    <s v="SBG - Desktop"/>
    <x v="2"/>
    <s v="Sub-task"/>
    <s v="DESK-2251"/>
    <s v="DESK-2136&gt; Thank you page issue"/>
    <s v="Sub-task"/>
    <x v="0"/>
    <d v="2015-08-10T12:39:00"/>
    <x v="3"/>
    <x v="0"/>
    <x v="11"/>
    <n v="1"/>
    <m/>
    <n v="147.9"/>
    <n v="26.100000000000005"/>
  </r>
  <r>
    <s v="SBG - Desktop"/>
    <x v="2"/>
    <s v="Sub-task"/>
    <s v="DESK-2251"/>
    <s v="DESK-2136&gt; Thank you page issue"/>
    <s v="Sub-task"/>
    <x v="0"/>
    <d v="2015-08-10T14:00:00"/>
    <x v="3"/>
    <x v="0"/>
    <x v="11"/>
    <n v="1"/>
    <m/>
    <n v="147.9"/>
    <n v="26.100000000000005"/>
  </r>
  <r>
    <s v="SBG - Desktop"/>
    <x v="1"/>
    <s v="Sub-task"/>
    <s v="DESK-2251"/>
    <s v="DESK-2136&gt; Thank you page issue"/>
    <s v="Sub-task"/>
    <x v="0"/>
    <d v="2015-08-10T15:11:00"/>
    <x v="3"/>
    <x v="0"/>
    <x v="21"/>
    <n v="4"/>
    <m/>
    <n v="147.9"/>
    <n v="26.100000000000005"/>
  </r>
  <r>
    <s v="SBG - Desktop"/>
    <x v="1"/>
    <s v="Sub-task"/>
    <s v="DESK-2252"/>
    <s v="DESK-2136&gt; On https page, many pictures in header cannot be displayed correctly."/>
    <s v="Sub-task"/>
    <x v="0"/>
    <d v="2015-08-05T08:14:00"/>
    <x v="3"/>
    <x v="0"/>
    <x v="21"/>
    <n v="8"/>
    <m/>
    <n v="147.9"/>
    <n v="26.100000000000005"/>
  </r>
  <r>
    <s v="SBG - Desktop"/>
    <x v="1"/>
    <s v="Sub-task"/>
    <s v="DESK-2252"/>
    <s v="DESK-2136&gt; On https page, many pictures in header cannot be displayed correctly."/>
    <s v="Sub-task"/>
    <x v="0"/>
    <d v="2015-08-07T08:14:00"/>
    <x v="3"/>
    <x v="0"/>
    <x v="21"/>
    <n v="8"/>
    <m/>
    <n v="147.9"/>
    <n v="26.100000000000005"/>
  </r>
  <r>
    <s v="SBG - Desktop"/>
    <x v="1"/>
    <s v="Sub-task"/>
    <s v="DESK-2252"/>
    <s v="DESK-2136&gt; On https page, many pictures in header cannot be displayed correctly."/>
    <s v="Sub-task"/>
    <x v="0"/>
    <d v="2015-08-10T15:31:00"/>
    <x v="3"/>
    <x v="0"/>
    <x v="21"/>
    <n v="1"/>
    <m/>
    <n v="147.9"/>
    <n v="26.100000000000005"/>
  </r>
  <r>
    <s v="SBG - Desktop"/>
    <x v="1"/>
    <s v="Sub-task"/>
    <s v="DESK-2254"/>
    <s v="DESK-2136&gt; Click the paypal button, nothing happened."/>
    <s v="Sub-task"/>
    <x v="0"/>
    <d v="2015-08-10T15:33:00"/>
    <x v="3"/>
    <x v="0"/>
    <x v="21"/>
    <n v="0.5"/>
    <m/>
    <n v="147.9"/>
    <n v="26.100000000000005"/>
  </r>
  <r>
    <s v="SBG - Desktop"/>
    <x v="2"/>
    <s v="Sub-task"/>
    <s v="DESK-2255"/>
    <s v="DESK-2136&gt; 404 page displayed when using the algolia search"/>
    <s v="Sub-task"/>
    <x v="0"/>
    <d v="2015-08-17T12:21:00"/>
    <x v="3"/>
    <x v="0"/>
    <x v="2"/>
    <n v="4"/>
    <m/>
    <n v="147.9"/>
    <n v="26.100000000000005"/>
  </r>
  <r>
    <s v="SBG - Desktop"/>
    <x v="2"/>
    <s v="Sub-task"/>
    <s v="DESK-2255"/>
    <s v="DESK-2136&gt; 404 page displayed when using the algolia search"/>
    <s v="Sub-task"/>
    <x v="0"/>
    <d v="2015-08-20T12:22:00"/>
    <x v="3"/>
    <x v="0"/>
    <x v="2"/>
    <n v="8"/>
    <m/>
    <n v="147.9"/>
    <n v="26.100000000000005"/>
  </r>
  <r>
    <s v="SBG - Desktop"/>
    <x v="2"/>
    <s v="Sub-task"/>
    <s v="DESK-2255"/>
    <s v="DESK-2136&gt; 404 page displayed when using the algolia search"/>
    <s v="Sub-task"/>
    <x v="0"/>
    <d v="2015-08-21T11:35:00"/>
    <x v="3"/>
    <x v="0"/>
    <x v="2"/>
    <n v="8"/>
    <m/>
    <n v="147.9"/>
    <n v="26.100000000000005"/>
  </r>
  <r>
    <s v="SBG - Desktop"/>
    <x v="2"/>
    <s v="Sub-task"/>
    <s v="DESK-2255"/>
    <s v="DESK-2136&gt; 404 page displayed when using the algolia search"/>
    <s v="Sub-task"/>
    <x v="0"/>
    <d v="2015-08-26T12:25:00"/>
    <x v="3"/>
    <x v="0"/>
    <x v="2"/>
    <n v="5"/>
    <m/>
    <n v="147.9"/>
    <n v="26.100000000000005"/>
  </r>
  <r>
    <s v="SBG - Desktop"/>
    <x v="2"/>
    <s v="Sub-task"/>
    <s v="DESK-2255"/>
    <s v="DESK-2136&gt; 404 page displayed when using the algolia search"/>
    <s v="Sub-task"/>
    <x v="0"/>
    <d v="2015-08-27T12:26:00"/>
    <x v="3"/>
    <x v="0"/>
    <x v="2"/>
    <n v="2"/>
    <m/>
    <n v="147.9"/>
    <n v="26.100000000000005"/>
  </r>
  <r>
    <s v="SBG - Desktop"/>
    <x v="2"/>
    <s v="Sub-task"/>
    <s v="DESK-2255"/>
    <s v="DESK-2136&gt; 404 page displayed when using the algolia search"/>
    <s v="Sub-task"/>
    <x v="0"/>
    <d v="2015-08-28T12:23:00"/>
    <x v="3"/>
    <x v="0"/>
    <x v="2"/>
    <n v="8"/>
    <m/>
    <n v="147.9"/>
    <n v="26.100000000000005"/>
  </r>
  <r>
    <s v="SBG - Desktop"/>
    <x v="1"/>
    <s v="Sub-task"/>
    <s v="DESK-2256"/>
    <s v="DESK-2136&gt; Contact lences &quot;ADD to CART&quot; button do not work."/>
    <s v="Sub-task"/>
    <x v="0"/>
    <d v="2015-08-10T15:35:00"/>
    <x v="3"/>
    <x v="0"/>
    <x v="21"/>
    <n v="2"/>
    <m/>
    <n v="147.9"/>
    <n v="26.100000000000005"/>
  </r>
  <r>
    <s v="SBG - Desktop"/>
    <x v="4"/>
    <s v="New Feature"/>
    <s v="DESK-2261"/>
    <s v="Discontinued products - new redirect rule"/>
    <s v="New Feature"/>
    <x v="0"/>
    <d v="2015-09-23T17:09:00"/>
    <x v="4"/>
    <x v="0"/>
    <x v="13"/>
    <n v="2"/>
    <m/>
    <n v="134.29999999999998"/>
    <n v="23.700000000000003"/>
  </r>
  <r>
    <s v="SBG - Desktop"/>
    <x v="1"/>
    <s v="Sub-task"/>
    <s v="DESK-2265"/>
    <s v="DESK-2263&gt; File Upload -- Tweak function"/>
    <s v="Sub-task"/>
    <x v="0"/>
    <d v="2015-08-10T08:05:00"/>
    <x v="3"/>
    <x v="0"/>
    <x v="23"/>
    <n v="8"/>
    <m/>
    <n v="147.9"/>
    <n v="26.100000000000005"/>
  </r>
  <r>
    <s v="SBG - Desktop"/>
    <x v="1"/>
    <s v="Sub-task"/>
    <s v="DESK-2265"/>
    <s v="DESK-2263&gt; File Upload -- Tweak function"/>
    <s v="Sub-task"/>
    <x v="0"/>
    <d v="2015-08-12T08:36:00"/>
    <x v="3"/>
    <x v="0"/>
    <x v="23"/>
    <n v="7.5"/>
    <m/>
    <n v="147.9"/>
    <n v="26.100000000000005"/>
  </r>
  <r>
    <s v="SBG - Desktop"/>
    <x v="1"/>
    <s v="Sub-task"/>
    <s v="DESK-2265"/>
    <s v="DESK-2263&gt; File Upload -- Tweak function"/>
    <s v="Sub-task"/>
    <x v="0"/>
    <d v="2015-08-12T18:24:00"/>
    <x v="3"/>
    <x v="0"/>
    <x v="23"/>
    <n v="0.5"/>
    <m/>
    <n v="147.9"/>
    <n v="26.100000000000005"/>
  </r>
  <r>
    <s v="SBG - Desktop"/>
    <x v="0"/>
    <s v="Sub-task"/>
    <s v="DESK-2265"/>
    <s v="DESK-2263&gt; File Upload -- Tweak function"/>
    <s v="Sub-task"/>
    <x v="0"/>
    <d v="2015-08-13T15:18:00"/>
    <x v="3"/>
    <x v="0"/>
    <x v="19"/>
    <n v="1"/>
    <m/>
    <n v="87"/>
    <n v="87"/>
  </r>
  <r>
    <s v="SBG - Desktop"/>
    <x v="2"/>
    <s v="New Feature"/>
    <s v="DESK-2539"/>
    <s v="Delete 360 Video Function and XML Sitemaps"/>
    <s v="New Feature"/>
    <x v="0"/>
    <d v="2015-09-02T09:30:00"/>
    <x v="4"/>
    <x v="0"/>
    <x v="11"/>
    <n v="2"/>
    <m/>
    <n v="134.29999999999998"/>
    <n v="23.700000000000003"/>
  </r>
  <r>
    <s v="SBG - Desktop"/>
    <x v="2"/>
    <s v="New Feature"/>
    <s v="DESK-2539"/>
    <s v="Delete 360 Video Function and XML Sitemaps"/>
    <s v="New Feature"/>
    <x v="0"/>
    <d v="2015-09-02T13:00:00"/>
    <x v="4"/>
    <x v="0"/>
    <x v="11"/>
    <n v="4"/>
    <m/>
    <n v="134.29999999999998"/>
    <n v="23.700000000000003"/>
  </r>
  <r>
    <s v="SBG - Desktop"/>
    <x v="4"/>
    <s v="New Feature"/>
    <s v="DESK-2539"/>
    <s v="Delete 360 Video Function and XML Sitemaps"/>
    <s v="New Feature"/>
    <x v="0"/>
    <d v="2015-09-21T12:44:00"/>
    <x v="4"/>
    <x v="0"/>
    <x v="13"/>
    <n v="3"/>
    <m/>
    <n v="134.29999999999998"/>
    <n v="23.700000000000003"/>
  </r>
  <r>
    <s v="SBG - Desktop"/>
    <x v="1"/>
    <s v="Sub-task"/>
    <s v="DESK-2550"/>
    <s v="DESK-2561&gt; [Referral] Setup a first time purchase validation logic for referred email field"/>
    <s v="Sub-task"/>
    <x v="0"/>
    <d v="2015-08-03T19:18:00"/>
    <x v="3"/>
    <x v="0"/>
    <x v="1"/>
    <n v="8"/>
    <m/>
    <n v="147.9"/>
    <n v="26.100000000000005"/>
  </r>
  <r>
    <s v="SBG - Desktop"/>
    <x v="1"/>
    <s v="Sub-task"/>
    <s v="DESK-2550"/>
    <s v="DESK-2561&gt; [Referral] Setup a first time purchase validation logic for referred email field"/>
    <s v="Sub-task"/>
    <x v="0"/>
    <d v="2015-08-05T19:19:00"/>
    <x v="3"/>
    <x v="0"/>
    <x v="1"/>
    <n v="8"/>
    <m/>
    <n v="147.9"/>
    <n v="26.100000000000005"/>
  </r>
  <r>
    <s v="SBG - Desktop"/>
    <x v="1"/>
    <s v="Sub-task"/>
    <s v="DESK-2550"/>
    <s v="DESK-2561&gt; [Referral] Setup a first time purchase validation logic for referred email field"/>
    <s v="Sub-task"/>
    <x v="0"/>
    <d v="2015-08-10T19:20:00"/>
    <x v="3"/>
    <x v="0"/>
    <x v="1"/>
    <n v="1"/>
    <m/>
    <n v="147.9"/>
    <n v="26.100000000000005"/>
  </r>
  <r>
    <s v="SBG - Desktop"/>
    <x v="2"/>
    <s v="Sub-task"/>
    <s v="DESK-2555"/>
    <s v="DESK-2554&gt; Missing H1 Contact Lens Category Page"/>
    <s v="Sub-task"/>
    <x v="0"/>
    <d v="2015-08-04T11:59:00"/>
    <x v="3"/>
    <x v="0"/>
    <x v="10"/>
    <n v="2"/>
    <m/>
    <n v="147.9"/>
    <n v="26.100000000000005"/>
  </r>
  <r>
    <s v="SBG - Desktop"/>
    <x v="1"/>
    <s v="Sub-task"/>
    <s v="DESK-2555"/>
    <s v="DESK-2554&gt; Missing H1 Contact Lens Category Page"/>
    <s v="Sub-task"/>
    <x v="0"/>
    <d v="2015-08-25T17:02:00"/>
    <x v="3"/>
    <x v="0"/>
    <x v="21"/>
    <n v="1"/>
    <m/>
    <n v="147.9"/>
    <n v="26.100000000000005"/>
  </r>
  <r>
    <s v="SBG - Desktop"/>
    <x v="2"/>
    <s v="Sub-task"/>
    <s v="DESK-2556"/>
    <s v="DESK-2554&gt; Duplicate H1 Tags general pages"/>
    <s v="Sub-task"/>
    <x v="0"/>
    <d v="2015-08-03T17:21:00"/>
    <x v="3"/>
    <x v="0"/>
    <x v="10"/>
    <n v="3"/>
    <m/>
    <n v="147.9"/>
    <n v="26.100000000000005"/>
  </r>
  <r>
    <s v="SBG - Desktop"/>
    <x v="1"/>
    <s v="Sub-task"/>
    <s v="DESK-2556"/>
    <s v="DESK-2554&gt; Duplicate H1 Tags general pages"/>
    <s v="Sub-task"/>
    <x v="0"/>
    <d v="2015-08-25T16:59:00"/>
    <x v="3"/>
    <x v="0"/>
    <x v="21"/>
    <n v="1"/>
    <m/>
    <n v="147.9"/>
    <n v="26.100000000000005"/>
  </r>
  <r>
    <s v="SBG - Desktop"/>
    <x v="2"/>
    <s v="Sub-task"/>
    <s v="DESK-2557"/>
    <s v="DESK-2554&gt; Duplicate H1 Contact Lens HTML"/>
    <s v="Sub-task"/>
    <x v="0"/>
    <d v="2015-08-03T17:20:00"/>
    <x v="3"/>
    <x v="0"/>
    <x v="10"/>
    <n v="2"/>
    <m/>
    <n v="147.9"/>
    <n v="26.100000000000005"/>
  </r>
  <r>
    <s v="SBG - Desktop"/>
    <x v="1"/>
    <s v="Sub-task"/>
    <s v="DESK-2557"/>
    <s v="DESK-2554&gt; Duplicate H1 Contact Lens HTML"/>
    <s v="Sub-task"/>
    <x v="0"/>
    <d v="2015-08-25T17:05:00"/>
    <x v="3"/>
    <x v="0"/>
    <x v="21"/>
    <n v="1"/>
    <m/>
    <n v="147.9"/>
    <n v="26.100000000000005"/>
  </r>
  <r>
    <s v="SBG - Desktop"/>
    <x v="2"/>
    <s v="Improvement"/>
    <s v="DESK-2558"/>
    <s v="Transform Widget of Trustpilot to DB-based static HTML"/>
    <s v="Improvement"/>
    <x v="0"/>
    <d v="2015-08-24T10:17:00"/>
    <x v="3"/>
    <x v="0"/>
    <x v="10"/>
    <n v="8"/>
    <m/>
    <n v="147.9"/>
    <n v="26.100000000000005"/>
  </r>
  <r>
    <s v="SBG - Desktop"/>
    <x v="2"/>
    <s v="Improvement"/>
    <s v="DESK-2558"/>
    <s v="Transform Widget of Trustpilot to DB-based static HTML"/>
    <s v="Improvement"/>
    <x v="0"/>
    <d v="2015-08-25T10:18:00"/>
    <x v="3"/>
    <x v="0"/>
    <x v="10"/>
    <n v="8"/>
    <m/>
    <n v="147.9"/>
    <n v="26.100000000000005"/>
  </r>
  <r>
    <s v="SBG - Desktop"/>
    <x v="4"/>
    <s v="Improvement"/>
    <s v="DESK-2558"/>
    <s v="Transform Widget of Trustpilot to DB-based static HTML"/>
    <s v="Improvement"/>
    <x v="0"/>
    <d v="2015-09-21T17:11:00"/>
    <x v="4"/>
    <x v="0"/>
    <x v="13"/>
    <n v="3"/>
    <m/>
    <n v="134.29999999999998"/>
    <n v="23.700000000000003"/>
  </r>
  <r>
    <s v="SBG - Desktop"/>
    <x v="2"/>
    <s v="Improvement"/>
    <s v="DESK-2558"/>
    <s v="Transform Widget of Trustpilot to DB-based static HTML"/>
    <s v="Improvement"/>
    <x v="0"/>
    <d v="2015-09-23T10:28:00"/>
    <x v="4"/>
    <x v="0"/>
    <x v="10"/>
    <n v="3"/>
    <m/>
    <n v="134.29999999999998"/>
    <n v="23.700000000000003"/>
  </r>
  <r>
    <s v="SBG - Desktop"/>
    <x v="2"/>
    <s v="Improvement"/>
    <s v="DESK-2558"/>
    <s v="Transform Widget of Trustpilot to DB-based static HTML"/>
    <s v="Improvement"/>
    <x v="0"/>
    <d v="2015-09-25T10:30:00"/>
    <x v="4"/>
    <x v="0"/>
    <x v="10"/>
    <n v="3"/>
    <m/>
    <n v="134.29999999999998"/>
    <n v="23.700000000000003"/>
  </r>
  <r>
    <s v="SBG - Desktop"/>
    <x v="2"/>
    <s v="Improvement"/>
    <s v="DESK-2558"/>
    <s v="Transform Widget of Trustpilot to DB-based static HTML"/>
    <s v="Improvement"/>
    <x v="0"/>
    <d v="2015-09-30T10:30:00"/>
    <x v="4"/>
    <x v="0"/>
    <x v="10"/>
    <n v="3"/>
    <m/>
    <n v="134.29999999999998"/>
    <n v="23.700000000000003"/>
  </r>
  <r>
    <s v="SBG - Desktop"/>
    <x v="2"/>
    <s v="Task"/>
    <s v="DESK-2562"/>
    <s v="Contact Lenses - Call a Doctor function"/>
    <s v="Task"/>
    <x v="0"/>
    <d v="2015-08-07T14:59:00"/>
    <x v="3"/>
    <x v="0"/>
    <x v="10"/>
    <n v="8"/>
    <m/>
    <n v="147.9"/>
    <n v="26.100000000000005"/>
  </r>
  <r>
    <s v="SBG - Desktop"/>
    <x v="1"/>
    <s v="New Feature"/>
    <s v="DESK-2566"/>
    <s v="UX issue - Home page &gt; Contact lenses banner (close button)"/>
    <s v="New Feature"/>
    <x v="0"/>
    <d v="2015-08-13T08:05:00"/>
    <x v="3"/>
    <x v="0"/>
    <x v="23"/>
    <n v="8"/>
    <m/>
    <n v="147.9"/>
    <n v="26.100000000000005"/>
  </r>
  <r>
    <s v="SBG - Desktop"/>
    <x v="1"/>
    <s v="New Feature"/>
    <s v="DESK-2566"/>
    <s v="UX issue - Home page &gt; Contact lenses banner (close button)"/>
    <s v="New Feature"/>
    <x v="0"/>
    <d v="2015-08-17T08:04:00"/>
    <x v="3"/>
    <x v="0"/>
    <x v="23"/>
    <n v="8"/>
    <m/>
    <n v="147.9"/>
    <n v="26.100000000000005"/>
  </r>
  <r>
    <s v="SBG - Desktop"/>
    <x v="1"/>
    <s v="New Feature"/>
    <s v="DESK-2566"/>
    <s v="UX issue - Home page &gt; Contact lenses banner (close button)"/>
    <s v="New Feature"/>
    <x v="0"/>
    <d v="2015-08-20T08:05:00"/>
    <x v="3"/>
    <x v="0"/>
    <x v="23"/>
    <n v="8"/>
    <m/>
    <n v="147.9"/>
    <n v="26.100000000000005"/>
  </r>
  <r>
    <s v="SBG - Desktop"/>
    <x v="1"/>
    <s v="New Feature"/>
    <s v="DESK-2566"/>
    <s v="UX issue - Home page &gt; Contact lenses banner (close button)"/>
    <s v="New Feature"/>
    <x v="0"/>
    <d v="2015-08-24T08:04:00"/>
    <x v="3"/>
    <x v="0"/>
    <x v="23"/>
    <n v="8"/>
    <m/>
    <n v="147.9"/>
    <n v="26.100000000000005"/>
  </r>
  <r>
    <s v="SBG - Desktop"/>
    <x v="1"/>
    <s v="New Feature"/>
    <s v="DESK-2566"/>
    <s v="UX issue - Home page &gt; Contact lenses banner (close button)"/>
    <s v="New Feature"/>
    <x v="0"/>
    <d v="2015-08-31T08:03:00"/>
    <x v="3"/>
    <x v="0"/>
    <x v="23"/>
    <n v="8"/>
    <m/>
    <n v="147.9"/>
    <n v="26.100000000000005"/>
  </r>
  <r>
    <s v="SBG - Desktop"/>
    <x v="1"/>
    <s v="New Feature"/>
    <s v="DESK-2566"/>
    <s v="UX issue - Home page &gt; Contact lenses banner (close button)"/>
    <s v="New Feature"/>
    <x v="0"/>
    <d v="2015-09-03T08:04:00"/>
    <x v="4"/>
    <x v="0"/>
    <x v="23"/>
    <n v="8"/>
    <m/>
    <n v="134.29999999999998"/>
    <n v="23.700000000000003"/>
  </r>
  <r>
    <s v="SBG - Desktop"/>
    <x v="1"/>
    <s v="New Feature"/>
    <s v="DESK-2566"/>
    <s v="UX issue - Home page &gt; Contact lenses banner (close button)"/>
    <s v="New Feature"/>
    <x v="0"/>
    <d v="2015-09-07T13:03:00"/>
    <x v="4"/>
    <x v="0"/>
    <x v="23"/>
    <n v="3"/>
    <m/>
    <n v="134.29999999999998"/>
    <n v="23.700000000000003"/>
  </r>
  <r>
    <s v="SBG - Desktop"/>
    <x v="1"/>
    <s v="New Feature"/>
    <s v="DESK-2566"/>
    <s v="UX issue - Home page &gt; Contact lenses banner (close button)"/>
    <s v="New Feature"/>
    <x v="0"/>
    <d v="2015-09-10T08:03:00"/>
    <x v="4"/>
    <x v="0"/>
    <x v="23"/>
    <n v="8"/>
    <m/>
    <n v="134.29999999999998"/>
    <n v="23.700000000000003"/>
  </r>
  <r>
    <s v="SBG - Desktop"/>
    <x v="1"/>
    <s v="New Feature"/>
    <s v="DESK-2566"/>
    <s v="UX issue - Home page &gt; Contact lenses banner (close button)"/>
    <s v="New Feature"/>
    <x v="0"/>
    <d v="2015-09-16T08:03:00"/>
    <x v="4"/>
    <x v="0"/>
    <x v="23"/>
    <n v="8"/>
    <m/>
    <n v="134.29999999999998"/>
    <n v="23.700000000000003"/>
  </r>
  <r>
    <s v="SBG - Desktop"/>
    <x v="1"/>
    <s v="New Feature"/>
    <s v="DESK-2566"/>
    <s v="UX issue - Home page &gt; Contact lenses banner (close button)"/>
    <s v="New Feature"/>
    <x v="0"/>
    <d v="2015-09-17T08:03:00"/>
    <x v="4"/>
    <x v="0"/>
    <x v="23"/>
    <n v="8"/>
    <m/>
    <n v="134.29999999999998"/>
    <n v="23.700000000000003"/>
  </r>
  <r>
    <s v="SBG - Desktop"/>
    <x v="1"/>
    <s v="New Feature"/>
    <s v="DESK-2566"/>
    <s v="UX issue - Home page &gt; Contact lenses banner (close button)"/>
    <s v="New Feature"/>
    <x v="0"/>
    <d v="2015-09-21T08:02:00"/>
    <x v="4"/>
    <x v="0"/>
    <x v="23"/>
    <n v="8"/>
    <m/>
    <n v="134.29999999999998"/>
    <n v="23.700000000000003"/>
  </r>
  <r>
    <s v="SBG - Desktop"/>
    <x v="1"/>
    <s v="New Feature"/>
    <s v="DESK-2566"/>
    <s v="UX issue - Home page &gt; Contact lenses banner (close button)"/>
    <s v="New Feature"/>
    <x v="0"/>
    <d v="2015-09-28T08:02:00"/>
    <x v="4"/>
    <x v="0"/>
    <x v="23"/>
    <n v="8"/>
    <m/>
    <n v="134.29999999999998"/>
    <n v="23.700000000000003"/>
  </r>
  <r>
    <s v="SBG - Desktop"/>
    <x v="2"/>
    <s v="Task"/>
    <s v="DESK-2580"/>
    <s v="Update Charity Page"/>
    <s v="Task"/>
    <x v="0"/>
    <d v="2015-08-28T14:47:00"/>
    <x v="3"/>
    <x v="0"/>
    <x v="10"/>
    <n v="3"/>
    <m/>
    <n v="147.9"/>
    <n v="26.100000000000005"/>
  </r>
  <r>
    <s v="SBG - Desktop"/>
    <x v="0"/>
    <s v="Task"/>
    <s v="DESK-2580"/>
    <s v="Update Charity Page"/>
    <s v="Task"/>
    <x v="0"/>
    <d v="2015-08-28T15:02:00"/>
    <x v="3"/>
    <x v="0"/>
    <x v="7"/>
    <n v="3"/>
    <m/>
    <n v="87"/>
    <n v="87"/>
  </r>
  <r>
    <s v="SBG - Desktop"/>
    <x v="0"/>
    <s v="Task"/>
    <s v="DESK-2580"/>
    <s v="Update Charity Page"/>
    <s v="Task"/>
    <x v="0"/>
    <d v="2015-08-31T12:04:00"/>
    <x v="3"/>
    <x v="0"/>
    <x v="7"/>
    <n v="1"/>
    <m/>
    <n v="87"/>
    <n v="87"/>
  </r>
  <r>
    <s v="SBG - Desktop"/>
    <x v="1"/>
    <s v="Task"/>
    <s v="DESK-2580"/>
    <s v="Update Charity Page"/>
    <s v="Task"/>
    <x v="0"/>
    <d v="2015-08-31T18:09:00"/>
    <x v="3"/>
    <x v="0"/>
    <x v="1"/>
    <n v="1"/>
    <m/>
    <n v="147.9"/>
    <n v="26.100000000000005"/>
  </r>
  <r>
    <s v="SBG - Desktop"/>
    <x v="4"/>
    <s v="Task"/>
    <s v="DESK-2580"/>
    <s v="Update Charity Page"/>
    <s v="Task"/>
    <x v="0"/>
    <d v="2015-09-01T16:49:00"/>
    <x v="4"/>
    <x v="0"/>
    <x v="13"/>
    <n v="2"/>
    <m/>
    <n v="134.29999999999998"/>
    <n v="23.700000000000003"/>
  </r>
  <r>
    <s v="SBG - Desktop"/>
    <x v="1"/>
    <s v="Task"/>
    <s v="DESK-2580"/>
    <s v="Update Charity Page"/>
    <s v="Task"/>
    <x v="0"/>
    <d v="2015-09-11T19:30:00"/>
    <x v="4"/>
    <x v="0"/>
    <x v="1"/>
    <n v="8"/>
    <m/>
    <n v="134.29999999999998"/>
    <n v="23.700000000000003"/>
  </r>
  <r>
    <s v="SBG - Desktop"/>
    <x v="2"/>
    <s v="Improvement"/>
    <s v="DESK-2602"/>
    <s v="Contact Lenses reorder email Change send delay + not sending to some domains"/>
    <s v="Improvement"/>
    <x v="0"/>
    <d v="2015-08-10T14:32:00"/>
    <x v="3"/>
    <x v="0"/>
    <x v="18"/>
    <n v="16"/>
    <m/>
    <n v="147.9"/>
    <n v="26.100000000000005"/>
  </r>
  <r>
    <s v="SBG - Desktop"/>
    <x v="4"/>
    <s v="Improvement"/>
    <s v="DESK-2602"/>
    <s v="Contact Lenses reorder email Change send delay + not sending to some domains"/>
    <s v="Improvement"/>
    <x v="0"/>
    <d v="2015-08-28T11:17:00"/>
    <x v="3"/>
    <x v="0"/>
    <x v="13"/>
    <n v="3"/>
    <m/>
    <n v="147.9"/>
    <n v="26.100000000000005"/>
  </r>
  <r>
    <s v="SBG - Desktop"/>
    <x v="0"/>
    <s v="Task"/>
    <s v="DESK-2603"/>
    <s v="Packaging Photos- Please add back sentence stating actual package may differ"/>
    <s v="Task"/>
    <x v="0"/>
    <d v="2015-08-10T12:36:00"/>
    <x v="3"/>
    <x v="0"/>
    <x v="19"/>
    <n v="1"/>
    <m/>
    <n v="87"/>
    <n v="87"/>
  </r>
  <r>
    <s v="SBG - Desktop"/>
    <x v="1"/>
    <s v="Task"/>
    <s v="DESK-2603"/>
    <s v="Packaging Photos- Please add back sentence stating actual package may differ"/>
    <s v="Task"/>
    <x v="0"/>
    <d v="2015-08-10T16:41:00"/>
    <x v="3"/>
    <x v="0"/>
    <x v="21"/>
    <n v="4"/>
    <m/>
    <n v="147.9"/>
    <n v="26.100000000000005"/>
  </r>
  <r>
    <s v="SBG - Desktop"/>
    <x v="4"/>
    <s v="New Feature"/>
    <s v="DESK-2605"/>
    <s v="Marketing CMS Solution Pimcore"/>
    <s v="New Feature"/>
    <x v="0"/>
    <d v="2015-08-24T12:23:00"/>
    <x v="3"/>
    <x v="0"/>
    <x v="13"/>
    <n v="2"/>
    <m/>
    <n v="147.9"/>
    <n v="26.100000000000005"/>
  </r>
  <r>
    <s v="SBG - Desktop"/>
    <x v="4"/>
    <s v="New Feature"/>
    <s v="DESK-2605"/>
    <s v="Marketing CMS Solution Pimcore"/>
    <s v="New Feature"/>
    <x v="0"/>
    <d v="2015-08-24T12:23:00"/>
    <x v="3"/>
    <x v="0"/>
    <x v="13"/>
    <n v="2"/>
    <m/>
    <n v="147.9"/>
    <n v="26.100000000000005"/>
  </r>
  <r>
    <s v="SBG - Desktop"/>
    <x v="4"/>
    <s v="New Feature"/>
    <s v="DESK-2605"/>
    <s v="Marketing CMS Solution Pimcore"/>
    <s v="New Feature"/>
    <x v="0"/>
    <d v="2015-08-25T12:23:00"/>
    <x v="3"/>
    <x v="0"/>
    <x v="13"/>
    <n v="2"/>
    <m/>
    <n v="147.9"/>
    <n v="26.100000000000005"/>
  </r>
  <r>
    <s v="SBG - Desktop"/>
    <x v="4"/>
    <s v="New Feature"/>
    <s v="DESK-2605"/>
    <s v="Marketing CMS Solution Pimcore"/>
    <s v="New Feature"/>
    <x v="0"/>
    <d v="2015-08-26T11:25:00"/>
    <x v="3"/>
    <x v="0"/>
    <x v="13"/>
    <n v="3"/>
    <m/>
    <n v="147.9"/>
    <n v="26.100000000000005"/>
  </r>
  <r>
    <s v="SBG - Desktop"/>
    <x v="4"/>
    <s v="New Feature"/>
    <s v="DESK-2605"/>
    <s v="Marketing CMS Solution Pimcore"/>
    <s v="New Feature"/>
    <x v="0"/>
    <d v="2015-08-26T12:23:00"/>
    <x v="3"/>
    <x v="0"/>
    <x v="13"/>
    <n v="2"/>
    <m/>
    <n v="147.9"/>
    <n v="26.100000000000005"/>
  </r>
  <r>
    <s v="SBG - Desktop"/>
    <x v="4"/>
    <s v="New Feature"/>
    <s v="DESK-2605"/>
    <s v="Marketing CMS Solution Pimcore"/>
    <s v="New Feature"/>
    <x v="0"/>
    <d v="2015-08-27T11:26:00"/>
    <x v="3"/>
    <x v="0"/>
    <x v="13"/>
    <n v="3"/>
    <m/>
    <n v="147.9"/>
    <n v="26.100000000000005"/>
  </r>
  <r>
    <s v="SBG - Desktop"/>
    <x v="4"/>
    <s v="New Feature"/>
    <s v="DESK-2605"/>
    <s v="Marketing CMS Solution Pimcore"/>
    <s v="New Feature"/>
    <x v="0"/>
    <d v="2015-08-27T12:23:00"/>
    <x v="3"/>
    <x v="0"/>
    <x v="13"/>
    <n v="3"/>
    <m/>
    <n v="147.9"/>
    <n v="26.100000000000005"/>
  </r>
  <r>
    <s v="SBG - Desktop"/>
    <x v="4"/>
    <s v="New Feature"/>
    <s v="DESK-2605"/>
    <s v="Marketing CMS Solution Pimcore"/>
    <s v="New Feature"/>
    <x v="0"/>
    <d v="2015-09-04T17:34:00"/>
    <x v="4"/>
    <x v="0"/>
    <x v="13"/>
    <n v="3"/>
    <m/>
    <n v="134.29999999999998"/>
    <n v="23.700000000000003"/>
  </r>
  <r>
    <s v="SBG - Desktop"/>
    <x v="4"/>
    <s v="New Feature"/>
    <s v="DESK-2605"/>
    <s v="Marketing CMS Solution Pimcore"/>
    <s v="New Feature"/>
    <x v="0"/>
    <d v="2015-09-07T13:48:00"/>
    <x v="4"/>
    <x v="0"/>
    <x v="13"/>
    <n v="2"/>
    <m/>
    <n v="134.29999999999998"/>
    <n v="23.700000000000003"/>
  </r>
  <r>
    <s v="SBG - Desktop"/>
    <x v="4"/>
    <s v="New Feature"/>
    <s v="DESK-2605"/>
    <s v="Marketing CMS Solution Pimcore"/>
    <s v="New Feature"/>
    <x v="0"/>
    <d v="2015-09-08T12:48:00"/>
    <x v="4"/>
    <x v="0"/>
    <x v="13"/>
    <n v="3"/>
    <m/>
    <n v="134.29999999999998"/>
    <n v="23.700000000000003"/>
  </r>
  <r>
    <s v="SBG - Desktop"/>
    <x v="4"/>
    <s v="New Feature"/>
    <s v="DESK-2605"/>
    <s v="Marketing CMS Solution Pimcore"/>
    <s v="New Feature"/>
    <x v="0"/>
    <d v="2015-09-09T12:48:00"/>
    <x v="4"/>
    <x v="0"/>
    <x v="13"/>
    <n v="3"/>
    <m/>
    <n v="134.29999999999998"/>
    <n v="23.700000000000003"/>
  </r>
  <r>
    <s v="SBG - Desktop"/>
    <x v="4"/>
    <s v="New Feature"/>
    <s v="DESK-2605"/>
    <s v="Marketing CMS Solution Pimcore"/>
    <s v="New Feature"/>
    <x v="0"/>
    <d v="2015-09-14T17:34:00"/>
    <x v="4"/>
    <x v="0"/>
    <x v="13"/>
    <n v="3"/>
    <m/>
    <n v="134.29999999999998"/>
    <n v="23.700000000000003"/>
  </r>
  <r>
    <s v="SBG - Desktop"/>
    <x v="4"/>
    <s v="New Feature"/>
    <s v="DESK-2605"/>
    <s v="Marketing CMS Solution Pimcore"/>
    <s v="New Feature"/>
    <x v="0"/>
    <d v="2015-09-28T13:43:00"/>
    <x v="4"/>
    <x v="0"/>
    <x v="13"/>
    <n v="2"/>
    <m/>
    <n v="134.29999999999998"/>
    <n v="23.700000000000003"/>
  </r>
  <r>
    <s v="SBG - Desktop"/>
    <x v="4"/>
    <s v="New Feature"/>
    <s v="DESK-2605"/>
    <s v="Marketing CMS Solution Pimcore"/>
    <s v="New Feature"/>
    <x v="0"/>
    <d v="2015-09-30T17:35:00"/>
    <x v="4"/>
    <x v="0"/>
    <x v="13"/>
    <n v="3"/>
    <m/>
    <n v="134.29999999999998"/>
    <n v="23.700000000000003"/>
  </r>
  <r>
    <s v="SBG - Desktop"/>
    <x v="2"/>
    <s v="Sub-task"/>
    <s v="DESK-2609"/>
    <s v="DESK-2610&gt; SPH dropdown values range on RX process"/>
    <s v="Sub-task"/>
    <x v="0"/>
    <d v="2015-08-20T10:55:00"/>
    <x v="3"/>
    <x v="0"/>
    <x v="18"/>
    <n v="8"/>
    <m/>
    <n v="147.9"/>
    <n v="26.100000000000005"/>
  </r>
  <r>
    <s v="SBG - Desktop"/>
    <x v="2"/>
    <s v="Sub-task"/>
    <s v="DESK-2609"/>
    <s v="DESK-2610&gt; SPH dropdown values range on RX process"/>
    <s v="Sub-task"/>
    <x v="0"/>
    <d v="2015-09-23T10:54:00"/>
    <x v="4"/>
    <x v="0"/>
    <x v="18"/>
    <n v="2"/>
    <m/>
    <n v="134.29999999999998"/>
    <n v="23.700000000000003"/>
  </r>
  <r>
    <s v="SBG - Desktop"/>
    <x v="2"/>
    <s v="Sub-task"/>
    <s v="DESK-2613"/>
    <s v="DESK-2610&gt; Frame size 62mm or higher --&gt; not Rx-able "/>
    <s v="Sub-task"/>
    <x v="0"/>
    <d v="2015-08-10T17:02:00"/>
    <x v="3"/>
    <x v="0"/>
    <x v="20"/>
    <n v="8"/>
    <m/>
    <n v="147.9"/>
    <n v="26.100000000000005"/>
  </r>
  <r>
    <s v="SBG - Desktop"/>
    <x v="2"/>
    <s v="Sub-task"/>
    <s v="DESK-2613"/>
    <s v="DESK-2610&gt; Frame size 62mm or higher --&gt; not Rx-able "/>
    <s v="Sub-task"/>
    <x v="0"/>
    <d v="2015-08-11T17:02:00"/>
    <x v="3"/>
    <x v="0"/>
    <x v="20"/>
    <n v="8"/>
    <m/>
    <n v="147.9"/>
    <n v="26.100000000000005"/>
  </r>
  <r>
    <s v="SBG - Desktop"/>
    <x v="2"/>
    <s v="Sub-task"/>
    <s v="DESK-2613"/>
    <s v="DESK-2610&gt; Frame size 62mm or higher --&gt; not Rx-able "/>
    <s v="Sub-task"/>
    <x v="0"/>
    <d v="2015-08-25T11:00:00"/>
    <x v="3"/>
    <x v="0"/>
    <x v="20"/>
    <n v="8"/>
    <m/>
    <n v="147.9"/>
    <n v="26.100000000000005"/>
  </r>
  <r>
    <s v="SBG - Desktop"/>
    <x v="2"/>
    <s v="Sub-task"/>
    <s v="DESK-2613"/>
    <s v="DESK-2610&gt; Frame size 62mm or higher --&gt; not Rx-able "/>
    <s v="Sub-task"/>
    <x v="0"/>
    <d v="2015-08-31T11:00:00"/>
    <x v="3"/>
    <x v="0"/>
    <x v="20"/>
    <n v="8"/>
    <m/>
    <n v="147.9"/>
    <n v="26.100000000000005"/>
  </r>
  <r>
    <s v="SBG - Desktop"/>
    <x v="2"/>
    <s v="Bug"/>
    <s v="DESK-2618"/>
    <s v="Special Characters Issue in URL"/>
    <s v="Bug"/>
    <x v="1"/>
    <d v="2015-08-10T16:30:00"/>
    <x v="3"/>
    <x v="0"/>
    <x v="11"/>
    <n v="1.5"/>
    <m/>
    <n v="147.9"/>
    <n v="26.100000000000005"/>
  </r>
  <r>
    <s v="SBG - Desktop"/>
    <x v="2"/>
    <s v="Bug"/>
    <s v="DESK-2618"/>
    <s v="Special Characters Issue in URL"/>
    <s v="Bug"/>
    <x v="1"/>
    <d v="2015-08-10T21:30:00"/>
    <x v="3"/>
    <x v="0"/>
    <x v="11"/>
    <n v="1.5"/>
    <m/>
    <n v="147.9"/>
    <n v="26.100000000000005"/>
  </r>
  <r>
    <s v="SBG - Desktop"/>
    <x v="2"/>
    <s v="Bug"/>
    <s v="DESK-2618"/>
    <s v="Special Characters Issue in URL"/>
    <s v="Bug"/>
    <x v="1"/>
    <d v="2015-08-11T09:30:00"/>
    <x v="3"/>
    <x v="0"/>
    <x v="11"/>
    <n v="2.5"/>
    <m/>
    <n v="147.9"/>
    <n v="26.100000000000005"/>
  </r>
  <r>
    <s v="SBG - Desktop"/>
    <x v="2"/>
    <s v="Bug"/>
    <s v="DESK-2618"/>
    <s v="Special Characters Issue in URL"/>
    <s v="Bug"/>
    <x v="1"/>
    <d v="2015-08-11T14:00:00"/>
    <x v="3"/>
    <x v="0"/>
    <x v="11"/>
    <n v="1.667"/>
    <m/>
    <n v="147.9"/>
    <n v="26.100000000000005"/>
  </r>
  <r>
    <s v="SBG - Desktop"/>
    <x v="2"/>
    <s v="Sub-task"/>
    <s v="DESK-2619"/>
    <s v="DESK-2610&gt; AX Range"/>
    <s v="Sub-task"/>
    <x v="0"/>
    <d v="2015-08-21T10:55:00"/>
    <x v="3"/>
    <x v="0"/>
    <x v="18"/>
    <n v="8"/>
    <m/>
    <n v="147.9"/>
    <n v="26.100000000000005"/>
  </r>
  <r>
    <s v="SBG - Desktop"/>
    <x v="2"/>
    <s v="Sub-task"/>
    <s v="DESK-2619"/>
    <s v="DESK-2610&gt; AX Range"/>
    <s v="Sub-task"/>
    <x v="0"/>
    <d v="2015-09-22T15:36:00"/>
    <x v="4"/>
    <x v="0"/>
    <x v="18"/>
    <n v="1"/>
    <m/>
    <n v="134.29999999999998"/>
    <n v="23.700000000000003"/>
  </r>
  <r>
    <s v="SBG - Desktop"/>
    <x v="4"/>
    <s v="New Feature"/>
    <s v="DESK-2623"/>
    <s v="Disable right click for all images on product page"/>
    <s v="New Feature"/>
    <x v="0"/>
    <d v="2015-08-03T11:01:00"/>
    <x v="3"/>
    <x v="0"/>
    <x v="13"/>
    <n v="4"/>
    <m/>
    <n v="147.9"/>
    <n v="26.100000000000005"/>
  </r>
  <r>
    <s v="SBG - Desktop"/>
    <x v="1"/>
    <s v="New Feature"/>
    <s v="DESK-2623"/>
    <s v="Disable right click for all images on product page"/>
    <s v="New Feature"/>
    <x v="0"/>
    <d v="2015-08-06T19:19:00"/>
    <x v="3"/>
    <x v="0"/>
    <x v="1"/>
    <n v="8"/>
    <m/>
    <n v="147.9"/>
    <n v="26.100000000000005"/>
  </r>
  <r>
    <s v="SBG - Desktop"/>
    <x v="2"/>
    <s v="Technical task"/>
    <s v="DESK-2643"/>
    <s v="DESK-2638&gt; the page will always be headed with https after checkoutpage"/>
    <s v="Technical task"/>
    <x v="0"/>
    <d v="2015-08-24T12:12:00"/>
    <x v="3"/>
    <x v="0"/>
    <x v="2"/>
    <n v="8"/>
    <m/>
    <n v="147.9"/>
    <n v="26.100000000000005"/>
  </r>
  <r>
    <s v="SBG - Desktop"/>
    <x v="2"/>
    <s v="Technical task"/>
    <s v="DESK-2643"/>
    <s v="DESK-2638&gt; the page will always be headed with https after checkoutpage"/>
    <s v="Technical task"/>
    <x v="0"/>
    <d v="2015-08-25T12:12:00"/>
    <x v="3"/>
    <x v="0"/>
    <x v="2"/>
    <n v="8"/>
    <m/>
    <n v="147.9"/>
    <n v="26.100000000000005"/>
  </r>
  <r>
    <s v="SBG - Desktop"/>
    <x v="2"/>
    <s v="Technical task"/>
    <s v="DESK-2643"/>
    <s v="DESK-2638&gt; the page will always be headed with https after checkoutpage"/>
    <s v="Technical task"/>
    <x v="0"/>
    <d v="2015-08-26T11:21:00"/>
    <x v="3"/>
    <x v="0"/>
    <x v="2"/>
    <n v="1"/>
    <m/>
    <n v="147.9"/>
    <n v="26.100000000000005"/>
  </r>
  <r>
    <s v="SBG - Desktop"/>
    <x v="4"/>
    <s v="Task"/>
    <s v="DESK-2705"/>
    <s v="Please change GET 5% REWARDS on 13 domains to STUDENT DISCOUNT"/>
    <s v="Task"/>
    <x v="0"/>
    <d v="2015-08-21T11:30:00"/>
    <x v="3"/>
    <x v="0"/>
    <x v="13"/>
    <n v="4"/>
    <m/>
    <n v="147.9"/>
    <n v="26.100000000000005"/>
  </r>
  <r>
    <s v="SBG - Desktop"/>
    <x v="4"/>
    <s v="New Feature"/>
    <s v="DESK-2707"/>
    <s v="Prada - Featured brands launch - Home page"/>
    <s v="New Feature"/>
    <x v="0"/>
    <d v="2015-08-14T11:12:00"/>
    <x v="3"/>
    <x v="0"/>
    <x v="13"/>
    <n v="4"/>
    <m/>
    <n v="147.9"/>
    <n v="26.100000000000005"/>
  </r>
  <r>
    <s v="SBG - Desktop"/>
    <x v="2"/>
    <s v="New Feature"/>
    <s v="DESK-2707"/>
    <s v="Prada - Featured brands launch - Home page"/>
    <s v="New Feature"/>
    <x v="0"/>
    <d v="2015-08-19T12:23:00"/>
    <x v="3"/>
    <x v="0"/>
    <x v="10"/>
    <n v="5"/>
    <m/>
    <n v="147.9"/>
    <n v="26.100000000000005"/>
  </r>
  <r>
    <s v="SBG - Desktop"/>
    <x v="1"/>
    <s v="New Feature"/>
    <s v="DESK-2707"/>
    <s v="Prada - Featured brands launch - Home page"/>
    <s v="New Feature"/>
    <x v="0"/>
    <d v="2015-08-19T15:38:00"/>
    <x v="3"/>
    <x v="0"/>
    <x v="21"/>
    <n v="5"/>
    <m/>
    <n v="147.9"/>
    <n v="26.100000000000005"/>
  </r>
  <r>
    <s v="SBG - Desktop"/>
    <x v="2"/>
    <s v="New Feature"/>
    <s v="DESK-2707"/>
    <s v="Prada - Featured brands launch - Home page"/>
    <s v="New Feature"/>
    <x v="0"/>
    <d v="2015-08-31T13:19:00"/>
    <x v="3"/>
    <x v="0"/>
    <x v="10"/>
    <n v="5"/>
    <m/>
    <n v="147.9"/>
    <n v="26.100000000000005"/>
  </r>
  <r>
    <s v="SBG - Desktop"/>
    <x v="1"/>
    <s v="Task"/>
    <s v="DESK-2725"/>
    <s v="RX CHECK-OUT STEP 4 -- EYEGLASSES 1.61 is NOT aspheric"/>
    <s v="Task"/>
    <x v="0"/>
    <d v="2015-08-04T12:11:00"/>
    <x v="3"/>
    <x v="0"/>
    <x v="5"/>
    <n v="2"/>
    <m/>
    <n v="147.9"/>
    <n v="26.100000000000005"/>
  </r>
  <r>
    <s v="SBG - Desktop"/>
    <x v="1"/>
    <s v="Task"/>
    <s v="DESK-2725"/>
    <s v="RX CHECK-OUT STEP 4 -- EYEGLASSES 1.61 is NOT aspheric"/>
    <s v="Task"/>
    <x v="0"/>
    <d v="2015-08-10T09:21:00"/>
    <x v="3"/>
    <x v="0"/>
    <x v="5"/>
    <n v="8"/>
    <m/>
    <n v="147.9"/>
    <n v="26.100000000000005"/>
  </r>
  <r>
    <s v="SBG - Desktop"/>
    <x v="1"/>
    <s v="Task"/>
    <s v="DESK-2725"/>
    <s v="RX CHECK-OUT STEP 4 -- EYEGLASSES 1.61 is NOT aspheric"/>
    <s v="Task"/>
    <x v="0"/>
    <d v="2015-08-11T09:21:00"/>
    <x v="3"/>
    <x v="0"/>
    <x v="5"/>
    <n v="8"/>
    <m/>
    <n v="147.9"/>
    <n v="26.100000000000005"/>
  </r>
  <r>
    <s v="SBG - Desktop"/>
    <x v="1"/>
    <s v="Task"/>
    <s v="DESK-2725"/>
    <s v="RX CHECK-OUT STEP 4 -- EYEGLASSES 1.61 is NOT aspheric"/>
    <s v="Task"/>
    <x v="0"/>
    <d v="2015-08-12T09:21:00"/>
    <x v="3"/>
    <x v="0"/>
    <x v="5"/>
    <n v="8"/>
    <m/>
    <n v="147.9"/>
    <n v="26.100000000000005"/>
  </r>
  <r>
    <s v="SBG - Desktop"/>
    <x v="1"/>
    <s v="Task"/>
    <s v="DESK-2725"/>
    <s v="RX CHECK-OUT STEP 4 -- EYEGLASSES 1.61 is NOT aspheric"/>
    <s v="Task"/>
    <x v="0"/>
    <d v="2015-08-13T09:21:00"/>
    <x v="3"/>
    <x v="0"/>
    <x v="5"/>
    <n v="8"/>
    <m/>
    <n v="147.9"/>
    <n v="26.100000000000005"/>
  </r>
  <r>
    <s v="SBG - Desktop"/>
    <x v="1"/>
    <s v="Task"/>
    <s v="DESK-2725"/>
    <s v="RX CHECK-OUT STEP 4 -- EYEGLASSES 1.61 is NOT aspheric"/>
    <s v="Task"/>
    <x v="0"/>
    <d v="2015-08-14T09:21:00"/>
    <x v="3"/>
    <x v="0"/>
    <x v="5"/>
    <n v="8"/>
    <m/>
    <n v="147.9"/>
    <n v="26.100000000000005"/>
  </r>
  <r>
    <s v="SBG - Desktop"/>
    <x v="1"/>
    <s v="Task"/>
    <s v="DESK-2725"/>
    <s v="RX CHECK-OUT STEP 4 -- EYEGLASSES 1.61 is NOT aspheric"/>
    <s v="Task"/>
    <x v="0"/>
    <d v="2015-08-17T09:21:00"/>
    <x v="3"/>
    <x v="0"/>
    <x v="5"/>
    <n v="8"/>
    <m/>
    <n v="147.9"/>
    <n v="26.100000000000005"/>
  </r>
  <r>
    <s v="SBG - Desktop"/>
    <x v="1"/>
    <s v="Task"/>
    <s v="DESK-2725"/>
    <s v="RX CHECK-OUT STEP 4 -- EYEGLASSES 1.61 is NOT aspheric"/>
    <s v="Task"/>
    <x v="0"/>
    <d v="2015-08-18T09:21:00"/>
    <x v="3"/>
    <x v="0"/>
    <x v="5"/>
    <n v="8"/>
    <m/>
    <n v="147.9"/>
    <n v="26.100000000000005"/>
  </r>
  <r>
    <s v="SBG - Desktop"/>
    <x v="1"/>
    <s v="Task"/>
    <s v="DESK-2725"/>
    <s v="RX CHECK-OUT STEP 4 -- EYEGLASSES 1.61 is NOT aspheric"/>
    <s v="Task"/>
    <x v="0"/>
    <d v="2015-08-19T09:21:00"/>
    <x v="3"/>
    <x v="0"/>
    <x v="5"/>
    <n v="8"/>
    <m/>
    <n v="147.9"/>
    <n v="26.100000000000005"/>
  </r>
  <r>
    <s v="SBG - Desktop"/>
    <x v="1"/>
    <s v="Task"/>
    <s v="DESK-2725"/>
    <s v="RX CHECK-OUT STEP 4 -- EYEGLASSES 1.61 is NOT aspheric"/>
    <s v="Task"/>
    <x v="0"/>
    <d v="2015-08-20T09:21:00"/>
    <x v="3"/>
    <x v="0"/>
    <x v="5"/>
    <n v="8"/>
    <m/>
    <n v="147.9"/>
    <n v="26.100000000000005"/>
  </r>
  <r>
    <s v="SBG - Desktop"/>
    <x v="1"/>
    <s v="Task"/>
    <s v="DESK-2725"/>
    <s v="RX CHECK-OUT STEP 4 -- EYEGLASSES 1.61 is NOT aspheric"/>
    <s v="Task"/>
    <x v="0"/>
    <d v="2015-08-21T09:21:00"/>
    <x v="3"/>
    <x v="0"/>
    <x v="5"/>
    <n v="8"/>
    <m/>
    <n v="147.9"/>
    <n v="26.100000000000005"/>
  </r>
  <r>
    <s v="SBG - Desktop"/>
    <x v="1"/>
    <s v="Task"/>
    <s v="DESK-2725"/>
    <s v="RX CHECK-OUT STEP 4 -- EYEGLASSES 1.61 is NOT aspheric"/>
    <s v="Task"/>
    <x v="0"/>
    <d v="2015-08-24T09:21:00"/>
    <x v="3"/>
    <x v="0"/>
    <x v="5"/>
    <n v="8"/>
    <m/>
    <n v="147.9"/>
    <n v="26.100000000000005"/>
  </r>
  <r>
    <s v="SBG - Desktop"/>
    <x v="1"/>
    <s v="Task"/>
    <s v="DESK-2725"/>
    <s v="RX CHECK-OUT STEP 4 -- EYEGLASSES 1.61 is NOT aspheric"/>
    <s v="Task"/>
    <x v="0"/>
    <d v="2015-08-25T09:21:00"/>
    <x v="3"/>
    <x v="0"/>
    <x v="5"/>
    <n v="8"/>
    <m/>
    <n v="147.9"/>
    <n v="26.100000000000005"/>
  </r>
  <r>
    <s v="SBG - Desktop"/>
    <x v="1"/>
    <s v="Task"/>
    <s v="DESK-2725"/>
    <s v="RX CHECK-OUT STEP 4 -- EYEGLASSES 1.61 is NOT aspheric"/>
    <s v="Task"/>
    <x v="0"/>
    <d v="2015-08-26T09:21:00"/>
    <x v="3"/>
    <x v="0"/>
    <x v="5"/>
    <n v="8"/>
    <m/>
    <n v="147.9"/>
    <n v="26.100000000000005"/>
  </r>
  <r>
    <s v="SBG - Desktop"/>
    <x v="1"/>
    <s v="Task"/>
    <s v="DESK-2725"/>
    <s v="RX CHECK-OUT STEP 4 -- EYEGLASSES 1.61 is NOT aspheric"/>
    <s v="Task"/>
    <x v="0"/>
    <d v="2015-08-27T09:21:00"/>
    <x v="3"/>
    <x v="0"/>
    <x v="5"/>
    <n v="8"/>
    <m/>
    <n v="147.9"/>
    <n v="26.100000000000005"/>
  </r>
  <r>
    <s v="SBG - Desktop"/>
    <x v="1"/>
    <s v="Task"/>
    <s v="DESK-2725"/>
    <s v="RX CHECK-OUT STEP 4 -- EYEGLASSES 1.61 is NOT aspheric"/>
    <s v="Task"/>
    <x v="0"/>
    <d v="2015-08-28T09:21:00"/>
    <x v="3"/>
    <x v="0"/>
    <x v="5"/>
    <n v="8"/>
    <m/>
    <n v="147.9"/>
    <n v="26.100000000000005"/>
  </r>
  <r>
    <s v="SBG - Desktop"/>
    <x v="1"/>
    <s v="Task"/>
    <s v="DESK-2725"/>
    <s v="RX CHECK-OUT STEP 4 -- EYEGLASSES 1.61 is NOT aspheric"/>
    <s v="Task"/>
    <x v="0"/>
    <d v="2015-08-31T09:21:00"/>
    <x v="3"/>
    <x v="0"/>
    <x v="5"/>
    <n v="8"/>
    <m/>
    <n v="147.9"/>
    <n v="26.100000000000005"/>
  </r>
  <r>
    <s v="SBG - Desktop"/>
    <x v="2"/>
    <s v="Task"/>
    <s v="DESK-2726"/>
    <s v="update VisionDirect.com.au invoice (non-AU HEALTH)"/>
    <s v="Task"/>
    <x v="0"/>
    <d v="2015-08-03T17:19:00"/>
    <x v="3"/>
    <x v="0"/>
    <x v="10"/>
    <n v="2"/>
    <m/>
    <n v="147.9"/>
    <n v="26.100000000000005"/>
  </r>
  <r>
    <s v="SBG - Desktop"/>
    <x v="2"/>
    <s v="Task"/>
    <s v="DESK-2726"/>
    <s v="update VisionDirect.com.au invoice (non-AU HEALTH)"/>
    <s v="Task"/>
    <x v="0"/>
    <d v="2015-08-04T16:15:00"/>
    <x v="3"/>
    <x v="0"/>
    <x v="10"/>
    <n v="2"/>
    <m/>
    <n v="147.9"/>
    <n v="26.100000000000005"/>
  </r>
  <r>
    <s v="SBG - Desktop"/>
    <x v="4"/>
    <s v="Task"/>
    <s v="DESK-2726"/>
    <s v="update VisionDirect.com.au invoice (non-AU HEALTH)"/>
    <s v="Task"/>
    <x v="0"/>
    <d v="2015-08-13T11:14:00"/>
    <x v="3"/>
    <x v="0"/>
    <x v="13"/>
    <n v="3"/>
    <m/>
    <n v="147.9"/>
    <n v="26.100000000000005"/>
  </r>
  <r>
    <s v="SBG - Desktop"/>
    <x v="4"/>
    <s v="Task"/>
    <s v="DESK-2731"/>
    <s v="Add reward &quot;More info&quot; link on the product page for all domains"/>
    <s v="Task"/>
    <x v="0"/>
    <d v="2015-08-06T10:43:00"/>
    <x v="3"/>
    <x v="0"/>
    <x v="13"/>
    <n v="3"/>
    <m/>
    <n v="147.9"/>
    <n v="26.100000000000005"/>
  </r>
  <r>
    <s v="SBG - Desktop"/>
    <x v="0"/>
    <s v="Task"/>
    <s v="DESK-2731"/>
    <s v="Add reward &quot;More info&quot; link on the product page for all domains"/>
    <s v="Task"/>
    <x v="0"/>
    <d v="2015-08-07T12:41:00"/>
    <x v="3"/>
    <x v="0"/>
    <x v="19"/>
    <n v="2"/>
    <m/>
    <n v="87"/>
    <n v="87"/>
  </r>
  <r>
    <s v="SBG - Desktop"/>
    <x v="0"/>
    <s v="Task"/>
    <s v="DESK-2731"/>
    <s v="Add reward &quot;More info&quot; link on the product page for all domains"/>
    <s v="Task"/>
    <x v="0"/>
    <d v="2015-08-10T12:36:00"/>
    <x v="3"/>
    <x v="0"/>
    <x v="19"/>
    <n v="1"/>
    <m/>
    <n v="87"/>
    <n v="87"/>
  </r>
  <r>
    <s v="SBG - Desktop"/>
    <x v="0"/>
    <s v="Task"/>
    <s v="DESK-2731"/>
    <s v="Add reward &quot;More info&quot; link on the product page for all domains"/>
    <s v="Task"/>
    <x v="0"/>
    <d v="2015-08-19T00:00:00"/>
    <x v="3"/>
    <x v="0"/>
    <x v="19"/>
    <n v="40"/>
    <m/>
    <n v="87"/>
    <n v="87"/>
  </r>
  <r>
    <s v="SBG - Desktop"/>
    <x v="0"/>
    <s v="Task"/>
    <s v="DESK-2731"/>
    <s v="Add reward &quot;More info&quot; link on the product page for all domains"/>
    <s v="Task"/>
    <x v="0"/>
    <d v="2015-08-21T00:00:00"/>
    <x v="3"/>
    <x v="0"/>
    <x v="19"/>
    <n v="20"/>
    <m/>
    <n v="87"/>
    <n v="87"/>
  </r>
  <r>
    <s v="SBG - Desktop"/>
    <x v="0"/>
    <s v="Task"/>
    <s v="DESK-2731"/>
    <s v="Add reward &quot;More info&quot; link on the product page for all domains"/>
    <s v="Task"/>
    <x v="0"/>
    <d v="2015-08-25T12:29:00"/>
    <x v="3"/>
    <x v="0"/>
    <x v="19"/>
    <n v="2"/>
    <m/>
    <n v="87"/>
    <n v="87"/>
  </r>
  <r>
    <s v="SBG - Desktop"/>
    <x v="2"/>
    <s v="New Feature"/>
    <s v="DESK-2732"/>
    <s v="BR website only - remove contact lenses banners"/>
    <s v="New Feature"/>
    <x v="0"/>
    <d v="2015-08-06T16:44:00"/>
    <x v="3"/>
    <x v="0"/>
    <x v="18"/>
    <n v="8"/>
    <m/>
    <n v="147.9"/>
    <n v="26.100000000000005"/>
  </r>
  <r>
    <s v="SBG - Desktop"/>
    <x v="2"/>
    <s v="New Feature"/>
    <s v="DESK-2732"/>
    <s v="BR website only - remove contact lenses banners"/>
    <s v="New Feature"/>
    <x v="0"/>
    <d v="2015-08-25T10:55:00"/>
    <x v="3"/>
    <x v="0"/>
    <x v="18"/>
    <n v="8"/>
    <m/>
    <n v="147.9"/>
    <n v="26.100000000000005"/>
  </r>
  <r>
    <s v="SBG - Desktop"/>
    <x v="2"/>
    <s v="New Feature"/>
    <s v="DESK-2732"/>
    <s v="BR website only - remove contact lenses banners"/>
    <s v="New Feature"/>
    <x v="0"/>
    <d v="2015-08-27T12:56:00"/>
    <x v="3"/>
    <x v="0"/>
    <x v="18"/>
    <n v="6"/>
    <m/>
    <n v="147.9"/>
    <n v="26.100000000000005"/>
  </r>
  <r>
    <s v="SBG - Desktop"/>
    <x v="4"/>
    <s v="New Feature"/>
    <s v="DESK-2734"/>
    <s v="Clearance page - additional filters"/>
    <s v="New Feature"/>
    <x v="0"/>
    <d v="2015-08-04T10:41:00"/>
    <x v="3"/>
    <x v="0"/>
    <x v="13"/>
    <n v="4"/>
    <m/>
    <n v="147.9"/>
    <n v="26.100000000000005"/>
  </r>
  <r>
    <s v="SBG - Desktop"/>
    <x v="4"/>
    <s v="New Feature"/>
    <s v="DESK-2734"/>
    <s v="Clearance page - additional filters"/>
    <s v="New Feature"/>
    <x v="0"/>
    <d v="2015-08-05T14:43:00"/>
    <x v="3"/>
    <x v="0"/>
    <x v="13"/>
    <n v="3"/>
    <m/>
    <n v="147.9"/>
    <n v="26.100000000000005"/>
  </r>
  <r>
    <s v="SBG - Desktop"/>
    <x v="0"/>
    <s v="New Feature"/>
    <s v="DESK-2734"/>
    <s v="Clearance page - additional filters"/>
    <s v="New Feature"/>
    <x v="0"/>
    <d v="2015-08-24T18:32:00"/>
    <x v="3"/>
    <x v="0"/>
    <x v="7"/>
    <n v="2"/>
    <m/>
    <n v="87"/>
    <n v="87"/>
  </r>
  <r>
    <s v="SBG - Desktop"/>
    <x v="2"/>
    <s v="New Feature"/>
    <s v="DESK-2734"/>
    <s v="Clearance page - additional filters"/>
    <s v="New Feature"/>
    <x v="0"/>
    <d v="2015-08-27T10:06:00"/>
    <x v="3"/>
    <x v="0"/>
    <x v="10"/>
    <n v="5"/>
    <m/>
    <n v="147.9"/>
    <n v="26.100000000000005"/>
  </r>
  <r>
    <s v="SBG - Desktop"/>
    <x v="1"/>
    <s v="New Feature"/>
    <s v="DESK-2734"/>
    <s v="Clearance page - additional filters"/>
    <s v="New Feature"/>
    <x v="0"/>
    <d v="2015-08-31T18:08:00"/>
    <x v="3"/>
    <x v="0"/>
    <x v="1"/>
    <n v="3"/>
    <m/>
    <n v="147.9"/>
    <n v="26.100000000000005"/>
  </r>
  <r>
    <s v="SBG - Desktop"/>
    <x v="2"/>
    <s v="New Feature"/>
    <s v="DESK-2734"/>
    <s v="Clearance page - additional filters"/>
    <s v="New Feature"/>
    <x v="0"/>
    <d v="2015-09-01T16:33:00"/>
    <x v="4"/>
    <x v="0"/>
    <x v="10"/>
    <n v="1"/>
    <m/>
    <n v="134.29999999999998"/>
    <n v="23.700000000000003"/>
  </r>
  <r>
    <s v="SBG - Desktop"/>
    <x v="0"/>
    <s v="New Feature"/>
    <s v="DESK-2734"/>
    <s v="Clearance page - additional filters"/>
    <s v="New Feature"/>
    <x v="0"/>
    <d v="2015-09-01T17:39:00"/>
    <x v="4"/>
    <x v="0"/>
    <x v="7"/>
    <n v="0.5"/>
    <m/>
    <n v="79"/>
    <n v="79"/>
  </r>
  <r>
    <s v="SBG - Desktop"/>
    <x v="1"/>
    <s v="New Feature"/>
    <s v="DESK-2734"/>
    <s v="Clearance page - additional filters"/>
    <s v="New Feature"/>
    <x v="0"/>
    <d v="2015-09-04T19:28:00"/>
    <x v="4"/>
    <x v="0"/>
    <x v="1"/>
    <n v="8"/>
    <m/>
    <n v="134.29999999999998"/>
    <n v="23.700000000000003"/>
  </r>
  <r>
    <s v="SBG - Desktop"/>
    <x v="1"/>
    <s v="New Feature"/>
    <s v="DESK-2734"/>
    <s v="Clearance page - additional filters"/>
    <s v="New Feature"/>
    <x v="0"/>
    <d v="2015-09-07T19:29:00"/>
    <x v="4"/>
    <x v="0"/>
    <x v="1"/>
    <n v="8"/>
    <m/>
    <n v="134.29999999999998"/>
    <n v="23.700000000000003"/>
  </r>
  <r>
    <s v="SBG - Desktop"/>
    <x v="4"/>
    <s v="New Feature"/>
    <s v="DESK-2734"/>
    <s v="Clearance page - additional filters"/>
    <s v="New Feature"/>
    <x v="0"/>
    <d v="2015-09-11T17:08:00"/>
    <x v="4"/>
    <x v="0"/>
    <x v="13"/>
    <n v="3"/>
    <m/>
    <n v="134.29999999999998"/>
    <n v="23.700000000000003"/>
  </r>
  <r>
    <s v="SBG - Desktop"/>
    <x v="0"/>
    <s v="New Feature"/>
    <s v="DESK-2735"/>
    <s v="Replace 'Medibank' logo"/>
    <s v="New Feature"/>
    <x v="0"/>
    <d v="2015-08-07T18:32:00"/>
    <x v="3"/>
    <x v="0"/>
    <x v="7"/>
    <n v="0.5"/>
    <m/>
    <n v="87"/>
    <n v="87"/>
  </r>
  <r>
    <s v="SBG - Desktop"/>
    <x v="1"/>
    <s v="New Feature"/>
    <s v="DESK-2735"/>
    <s v="Replace 'Medibank' logo"/>
    <s v="New Feature"/>
    <x v="0"/>
    <d v="2015-08-10T18:38:00"/>
    <x v="3"/>
    <x v="0"/>
    <x v="1"/>
    <n v="1"/>
    <m/>
    <n v="147.9"/>
    <n v="26.100000000000005"/>
  </r>
  <r>
    <s v="SBG - Desktop"/>
    <x v="1"/>
    <s v="New Feature"/>
    <s v="DESK-2735"/>
    <s v="Replace 'Medibank' logo"/>
    <s v="New Feature"/>
    <x v="0"/>
    <d v="2015-08-11T19:20:00"/>
    <x v="3"/>
    <x v="0"/>
    <x v="1"/>
    <n v="7"/>
    <m/>
    <n v="147.9"/>
    <n v="26.100000000000005"/>
  </r>
  <r>
    <s v="SBG - Desktop"/>
    <x v="1"/>
    <s v="New Feature"/>
    <s v="DESK-2735"/>
    <s v="Replace 'Medibank' logo"/>
    <s v="New Feature"/>
    <x v="0"/>
    <d v="2015-08-17T19:22:00"/>
    <x v="3"/>
    <x v="0"/>
    <x v="1"/>
    <n v="4"/>
    <m/>
    <n v="147.9"/>
    <n v="26.100000000000005"/>
  </r>
  <r>
    <s v="SBG - Desktop"/>
    <x v="2"/>
    <s v="Task"/>
    <s v="DESK-2736"/>
    <s v="Top Bar promotion - Carrera free lenses"/>
    <s v="Task"/>
    <x v="0"/>
    <d v="2015-08-11T10:15:00"/>
    <x v="3"/>
    <x v="0"/>
    <x v="10"/>
    <n v="8"/>
    <m/>
    <n v="147.9"/>
    <n v="26.100000000000005"/>
  </r>
  <r>
    <s v="SBG - Desktop"/>
    <x v="0"/>
    <s v="Task"/>
    <s v="DESK-2736"/>
    <s v="Top Bar promotion - Carrera free lenses"/>
    <s v="Task"/>
    <x v="0"/>
    <d v="2015-08-12T18:25:00"/>
    <x v="3"/>
    <x v="0"/>
    <x v="7"/>
    <n v="4"/>
    <m/>
    <n v="87"/>
    <n v="87"/>
  </r>
  <r>
    <s v="SBG - Desktop"/>
    <x v="2"/>
    <s v="Task"/>
    <s v="DESK-2736"/>
    <s v="Top Bar promotion - Carrera free lenses"/>
    <s v="Task"/>
    <x v="0"/>
    <d v="2015-08-13T12:25:00"/>
    <x v="3"/>
    <x v="0"/>
    <x v="10"/>
    <n v="3"/>
    <m/>
    <n v="147.9"/>
    <n v="26.100000000000005"/>
  </r>
  <r>
    <s v="SBG - Desktop"/>
    <x v="1"/>
    <s v="Task"/>
    <s v="DESK-2736"/>
    <s v="Top Bar promotion - Carrera free lenses"/>
    <s v="Task"/>
    <x v="0"/>
    <d v="2015-08-17T16:45:00"/>
    <x v="3"/>
    <x v="0"/>
    <x v="1"/>
    <n v="2"/>
    <m/>
    <n v="147.9"/>
    <n v="26.100000000000005"/>
  </r>
  <r>
    <s v="SBG - Desktop"/>
    <x v="1"/>
    <s v="New Feature"/>
    <s v="DESK-2737"/>
    <s v="make home page / index.html work"/>
    <s v="New Feature"/>
    <x v="0"/>
    <d v="2015-08-06T08:14:00"/>
    <x v="3"/>
    <x v="0"/>
    <x v="21"/>
    <n v="8"/>
    <m/>
    <n v="147.9"/>
    <n v="26.100000000000005"/>
  </r>
  <r>
    <s v="SBG - Desktop"/>
    <x v="1"/>
    <s v="New Feature"/>
    <s v="DESK-2737"/>
    <s v="make home page / index.html work"/>
    <s v="New Feature"/>
    <x v="0"/>
    <d v="2015-08-12T12:40:00"/>
    <x v="3"/>
    <x v="0"/>
    <x v="21"/>
    <n v="2"/>
    <m/>
    <n v="147.9"/>
    <n v="26.100000000000005"/>
  </r>
  <r>
    <s v="SBG - Desktop"/>
    <x v="2"/>
    <s v="Task"/>
    <s v="DESK-2738"/>
    <s v="SUMMER SALE PROMOTION LAUNCH"/>
    <s v="Task"/>
    <x v="0"/>
    <d v="2015-08-03T18:29:00"/>
    <x v="3"/>
    <x v="0"/>
    <x v="10"/>
    <n v="1.5"/>
    <m/>
    <n v="147.9"/>
    <n v="26.100000000000005"/>
  </r>
  <r>
    <s v="SBG - Desktop"/>
    <x v="1"/>
    <s v="Task"/>
    <s v="DESK-2738"/>
    <s v="SUMMER SALE PROMOTION LAUNCH"/>
    <s v="Task"/>
    <x v="0"/>
    <d v="2015-08-04T14:43:00"/>
    <x v="3"/>
    <x v="0"/>
    <x v="1"/>
    <n v="4"/>
    <m/>
    <n v="147.9"/>
    <n v="26.100000000000005"/>
  </r>
  <r>
    <s v="SBG - Desktop"/>
    <x v="1"/>
    <s v="Task"/>
    <s v="DESK-2738"/>
    <s v="SUMMER SALE PROMOTION LAUNCH"/>
    <s v="Task"/>
    <x v="0"/>
    <d v="2015-08-07T19:19:00"/>
    <x v="3"/>
    <x v="0"/>
    <x v="1"/>
    <n v="8"/>
    <m/>
    <n v="147.9"/>
    <n v="26.100000000000005"/>
  </r>
  <r>
    <s v="SBG - Desktop"/>
    <x v="4"/>
    <s v="Task"/>
    <s v="DESK-2738"/>
    <s v="SUMMER SALE PROMOTION LAUNCH"/>
    <s v="Task"/>
    <x v="0"/>
    <d v="2015-08-12T11:09:00"/>
    <x v="3"/>
    <x v="0"/>
    <x v="13"/>
    <n v="3"/>
    <m/>
    <n v="147.9"/>
    <n v="26.100000000000005"/>
  </r>
  <r>
    <s v="SBG - Desktop"/>
    <x v="0"/>
    <s v="Technical task"/>
    <s v="DESK-2739"/>
    <s v="DESK-2738&gt; Summer banner leads a line lack under header"/>
    <s v="Technical task"/>
    <x v="0"/>
    <d v="2015-08-03T17:58:00"/>
    <x v="3"/>
    <x v="0"/>
    <x v="7"/>
    <n v="0.5"/>
    <m/>
    <n v="87"/>
    <n v="87"/>
  </r>
  <r>
    <s v="SBG - Desktop"/>
    <x v="2"/>
    <s v="Sub-task"/>
    <s v="DESK-2740"/>
    <s v="DESK-2136&gt; TR site search error"/>
    <s v="Sub-task"/>
    <x v="0"/>
    <d v="2015-09-14T12:40:00"/>
    <x v="4"/>
    <x v="0"/>
    <x v="2"/>
    <n v="5"/>
    <m/>
    <n v="134.29999999999998"/>
    <n v="23.700000000000003"/>
  </r>
  <r>
    <s v="SBG - Desktop"/>
    <x v="2"/>
    <s v="Bug"/>
    <s v="DESK-2741"/>
    <s v="ERR_interator_redirection on cart page"/>
    <s v="Bug"/>
    <x v="1"/>
    <d v="2015-08-13T11:40:00"/>
    <x v="3"/>
    <x v="0"/>
    <x v="2"/>
    <n v="4"/>
    <m/>
    <n v="147.9"/>
    <n v="26.100000000000005"/>
  </r>
  <r>
    <s v="SBG - Desktop"/>
    <x v="1"/>
    <s v="Bug"/>
    <s v="DESK-2741"/>
    <s v="ERR_interator_redirection on cart page"/>
    <s v="Bug"/>
    <x v="1"/>
    <d v="2015-08-17T16:56:00"/>
    <x v="3"/>
    <x v="0"/>
    <x v="1"/>
    <n v="1"/>
    <m/>
    <n v="147.9"/>
    <n v="26.100000000000005"/>
  </r>
  <r>
    <s v="SBG - Desktop"/>
    <x v="1"/>
    <s v="Bug"/>
    <s v="DESK-2741"/>
    <s v="ERR_interator_redirection on cart page"/>
    <s v="Bug"/>
    <x v="1"/>
    <d v="2015-08-28T19:26:00"/>
    <x v="3"/>
    <x v="0"/>
    <x v="1"/>
    <n v="10"/>
    <m/>
    <n v="147.9"/>
    <n v="26.100000000000005"/>
  </r>
  <r>
    <s v="SBG - Desktop"/>
    <x v="1"/>
    <s v="Bug"/>
    <s v="DESK-2741"/>
    <s v="ERR_interator_redirection on cart page"/>
    <s v="Bug"/>
    <x v="1"/>
    <d v="2015-09-01T19:27:00"/>
    <x v="4"/>
    <x v="0"/>
    <x v="1"/>
    <n v="8"/>
    <m/>
    <n v="134.29999999999998"/>
    <n v="23.700000000000003"/>
  </r>
  <r>
    <s v="SBG - Desktop"/>
    <x v="1"/>
    <s v="Bug"/>
    <s v="DESK-2741"/>
    <s v="ERR_interator_redirection on cart page"/>
    <s v="Bug"/>
    <x v="1"/>
    <d v="2015-09-02T19:28:00"/>
    <x v="4"/>
    <x v="0"/>
    <x v="1"/>
    <n v="8"/>
    <m/>
    <n v="134.29999999999998"/>
    <n v="23.700000000000003"/>
  </r>
  <r>
    <s v="SBG - Desktop"/>
    <x v="1"/>
    <s v="Bug"/>
    <s v="DESK-2741"/>
    <s v="ERR_interator_redirection on cart page"/>
    <s v="Bug"/>
    <x v="1"/>
    <d v="2015-09-03T19:28:00"/>
    <x v="4"/>
    <x v="0"/>
    <x v="1"/>
    <n v="7"/>
    <m/>
    <n v="134.29999999999998"/>
    <n v="23.700000000000003"/>
  </r>
  <r>
    <s v="SBG - Desktop"/>
    <x v="0"/>
    <s v="Task"/>
    <s v="DESK-2743"/>
    <s v="Change SSL provider logo"/>
    <s v="Task"/>
    <x v="0"/>
    <d v="2015-08-19T12:43:00"/>
    <x v="3"/>
    <x v="0"/>
    <x v="7"/>
    <n v="2"/>
    <m/>
    <n v="87"/>
    <n v="87"/>
  </r>
  <r>
    <s v="SBG - Desktop"/>
    <x v="4"/>
    <s v="Task"/>
    <s v="DESK-2743"/>
    <s v="Change SSL provider logo"/>
    <s v="Task"/>
    <x v="0"/>
    <d v="2015-08-21T11:36:00"/>
    <x v="3"/>
    <x v="0"/>
    <x v="13"/>
    <n v="2"/>
    <m/>
    <n v="147.9"/>
    <n v="26.100000000000005"/>
  </r>
  <r>
    <s v="SBG - Desktop"/>
    <x v="0"/>
    <s v="Task"/>
    <s v="DESK-2743"/>
    <s v="Change SSL provider logo"/>
    <s v="Task"/>
    <x v="0"/>
    <d v="2015-08-27T18:35:00"/>
    <x v="3"/>
    <x v="0"/>
    <x v="7"/>
    <n v="3"/>
    <m/>
    <n v="87"/>
    <n v="87"/>
  </r>
  <r>
    <s v="SBG - Desktop"/>
    <x v="0"/>
    <s v="Task"/>
    <s v="DESK-2743"/>
    <s v="Change SSL provider logo"/>
    <s v="Task"/>
    <x v="0"/>
    <d v="2015-08-28T16:15:00"/>
    <x v="3"/>
    <x v="0"/>
    <x v="7"/>
    <n v="2"/>
    <m/>
    <n v="87"/>
    <n v="87"/>
  </r>
  <r>
    <s v="SBG - Desktop"/>
    <x v="1"/>
    <s v="Task"/>
    <s v="DESK-2744"/>
    <s v="Home page banners promotion"/>
    <s v="Task"/>
    <x v="0"/>
    <d v="2015-08-17T18:25:00"/>
    <x v="3"/>
    <x v="0"/>
    <x v="1"/>
    <n v="1"/>
    <m/>
    <n v="147.9"/>
    <n v="26.100000000000005"/>
  </r>
  <r>
    <s v="SBG - Desktop"/>
    <x v="0"/>
    <s v="Task"/>
    <s v="DESK-2744"/>
    <s v="Home page banners promotion"/>
    <s v="Task"/>
    <x v="0"/>
    <d v="2015-08-19T18:06:00"/>
    <x v="3"/>
    <x v="0"/>
    <x v="7"/>
    <n v="2"/>
    <m/>
    <n v="87"/>
    <n v="87"/>
  </r>
  <r>
    <s v="SBG - Desktop"/>
    <x v="2"/>
    <s v="Task"/>
    <s v="DESK-2744"/>
    <s v="Home page banners promotion"/>
    <s v="Task"/>
    <x v="0"/>
    <d v="2015-08-20T10:17:00"/>
    <x v="3"/>
    <x v="0"/>
    <x v="10"/>
    <n v="8"/>
    <m/>
    <n v="147.9"/>
    <n v="26.100000000000005"/>
  </r>
  <r>
    <s v="SBG - Desktop"/>
    <x v="2"/>
    <s v="Task"/>
    <s v="DESK-2744"/>
    <s v="Home page banners promotion"/>
    <s v="Task"/>
    <x v="0"/>
    <d v="2015-08-21T15:17:00"/>
    <x v="3"/>
    <x v="0"/>
    <x v="10"/>
    <n v="3"/>
    <m/>
    <n v="147.9"/>
    <n v="26.100000000000005"/>
  </r>
  <r>
    <s v="SBG - Desktop"/>
    <x v="0"/>
    <s v="Task"/>
    <s v="DESK-2744"/>
    <s v="Home page banners promotion"/>
    <s v="Task"/>
    <x v="0"/>
    <d v="2015-08-25T18:49:00"/>
    <x v="3"/>
    <x v="0"/>
    <x v="7"/>
    <n v="3"/>
    <m/>
    <n v="87"/>
    <n v="87"/>
  </r>
  <r>
    <s v="SBG - Desktop"/>
    <x v="2"/>
    <s v="Task"/>
    <s v="DESK-2744"/>
    <s v="Home page banners promotion"/>
    <s v="Task"/>
    <x v="0"/>
    <d v="2015-08-26T10:34:00"/>
    <x v="3"/>
    <x v="0"/>
    <x v="10"/>
    <n v="3"/>
    <m/>
    <n v="147.9"/>
    <n v="26.100000000000005"/>
  </r>
  <r>
    <s v="SBG - Desktop"/>
    <x v="4"/>
    <s v="New Feature"/>
    <s v="DESK-2746"/>
    <s v="Register new feeds"/>
    <s v="New Feature"/>
    <x v="0"/>
    <d v="2015-08-14T10:46:00"/>
    <x v="3"/>
    <x v="0"/>
    <x v="13"/>
    <n v="3"/>
    <m/>
    <n v="147.9"/>
    <n v="26.100000000000005"/>
  </r>
  <r>
    <s v="SBG - Desktop"/>
    <x v="2"/>
    <s v="New Feature"/>
    <s v="DESK-2746"/>
    <s v="Register new feeds"/>
    <s v="New Feature"/>
    <x v="0"/>
    <d v="2015-08-31T15:49:00"/>
    <x v="3"/>
    <x v="0"/>
    <x v="2"/>
    <n v="3"/>
    <m/>
    <n v="147.9"/>
    <n v="26.100000000000005"/>
  </r>
  <r>
    <s v="SBG - Desktop"/>
    <x v="2"/>
    <s v="New Feature"/>
    <s v="DESK-2746"/>
    <s v="Register new feeds"/>
    <s v="New Feature"/>
    <x v="0"/>
    <d v="2015-08-31T18:05:00"/>
    <x v="3"/>
    <x v="0"/>
    <x v="2"/>
    <n v="2"/>
    <m/>
    <n v="147.9"/>
    <n v="26.100000000000005"/>
  </r>
  <r>
    <s v="SBG - Desktop"/>
    <x v="4"/>
    <s v="New Feature"/>
    <s v="DESK-2746"/>
    <s v="Register new feeds"/>
    <s v="New Feature"/>
    <x v="0"/>
    <d v="2015-09-07T16:52:00"/>
    <x v="4"/>
    <x v="0"/>
    <x v="13"/>
    <n v="2"/>
    <m/>
    <n v="134.29999999999998"/>
    <n v="23.700000000000003"/>
  </r>
  <r>
    <s v="SBG - Desktop"/>
    <x v="2"/>
    <s v="Technical task"/>
    <s v="DESK-2748"/>
    <s v="DESK-2127&gt; Sales Feed"/>
    <s v="Technical task"/>
    <x v="0"/>
    <d v="2015-09-01T11:45:00"/>
    <x v="4"/>
    <x v="0"/>
    <x v="16"/>
    <n v="8"/>
    <m/>
    <n v="134.29999999999998"/>
    <n v="23.700000000000003"/>
  </r>
  <r>
    <s v="SBG - Desktop"/>
    <x v="2"/>
    <s v="Technical task"/>
    <s v="DESK-2748"/>
    <s v="DESK-2127&gt; Sales Feed"/>
    <s v="Technical task"/>
    <x v="0"/>
    <d v="2015-09-02T11:45:00"/>
    <x v="4"/>
    <x v="0"/>
    <x v="16"/>
    <n v="8"/>
    <m/>
    <n v="134.29999999999998"/>
    <n v="23.700000000000003"/>
  </r>
  <r>
    <s v="SBG - Desktop"/>
    <x v="2"/>
    <s v="Technical task"/>
    <s v="DESK-2748"/>
    <s v="DESK-2127&gt; Sales Feed"/>
    <s v="Technical task"/>
    <x v="0"/>
    <d v="2015-09-03T11:46:00"/>
    <x v="4"/>
    <x v="0"/>
    <x v="16"/>
    <n v="8"/>
    <m/>
    <n v="134.29999999999998"/>
    <n v="23.700000000000003"/>
  </r>
  <r>
    <s v="SBG - Desktop"/>
    <x v="2"/>
    <s v="Technical task"/>
    <s v="DESK-2748"/>
    <s v="DESK-2127&gt; Sales Feed"/>
    <s v="Technical task"/>
    <x v="0"/>
    <d v="2015-09-04T11:46:00"/>
    <x v="4"/>
    <x v="0"/>
    <x v="16"/>
    <n v="8"/>
    <m/>
    <n v="134.29999999999998"/>
    <n v="23.700000000000003"/>
  </r>
  <r>
    <s v="SBG - Desktop"/>
    <x v="2"/>
    <s v="Technical task"/>
    <s v="DESK-2748"/>
    <s v="DESK-2127&gt; Sales Feed"/>
    <s v="Technical task"/>
    <x v="0"/>
    <d v="2015-09-15T11:44:00"/>
    <x v="4"/>
    <x v="0"/>
    <x v="16"/>
    <n v="4"/>
    <m/>
    <n v="134.29999999999998"/>
    <n v="23.700000000000003"/>
  </r>
  <r>
    <s v="SBG - Desktop"/>
    <x v="4"/>
    <s v="Task"/>
    <s v="DESK-2749"/>
    <s v="NEW CATEGORY/BRAND BANNERS"/>
    <s v="Task"/>
    <x v="0"/>
    <d v="2015-08-25T10:32:00"/>
    <x v="3"/>
    <x v="0"/>
    <x v="13"/>
    <n v="3"/>
    <m/>
    <n v="147.9"/>
    <n v="26.100000000000005"/>
  </r>
  <r>
    <s v="SBG - Desktop"/>
    <x v="0"/>
    <s v="Task"/>
    <s v="DESK-2749"/>
    <s v="NEW CATEGORY/BRAND BANNERS"/>
    <s v="Task"/>
    <x v="0"/>
    <d v="2015-08-31T18:28:00"/>
    <x v="3"/>
    <x v="0"/>
    <x v="7"/>
    <n v="4"/>
    <m/>
    <n v="87"/>
    <n v="87"/>
  </r>
  <r>
    <s v="SBG - Desktop"/>
    <x v="0"/>
    <s v="Task"/>
    <s v="DESK-2749"/>
    <s v="NEW CATEGORY/BRAND BANNERS"/>
    <s v="Task"/>
    <x v="0"/>
    <d v="2015-09-01T18:27:00"/>
    <x v="4"/>
    <x v="0"/>
    <x v="7"/>
    <n v="6"/>
    <m/>
    <n v="79"/>
    <n v="79"/>
  </r>
  <r>
    <s v="SBG - Desktop"/>
    <x v="4"/>
    <s v="Task"/>
    <s v="DESK-2749"/>
    <s v="NEW CATEGORY/BRAND BANNERS"/>
    <s v="Task"/>
    <x v="0"/>
    <d v="2015-09-02T16:50:00"/>
    <x v="4"/>
    <x v="0"/>
    <x v="13"/>
    <n v="3"/>
    <m/>
    <n v="134.29999999999998"/>
    <n v="23.700000000000003"/>
  </r>
  <r>
    <s v="SBG - Desktop"/>
    <x v="0"/>
    <s v="Task"/>
    <s v="DESK-2749"/>
    <s v="NEW CATEGORY/BRAND BANNERS"/>
    <s v="Task"/>
    <x v="0"/>
    <d v="2015-09-02T18:39:00"/>
    <x v="4"/>
    <x v="0"/>
    <x v="7"/>
    <n v="8"/>
    <m/>
    <n v="79"/>
    <n v="79"/>
  </r>
  <r>
    <s v="SBG - Desktop"/>
    <x v="0"/>
    <s v="Task"/>
    <s v="DESK-2749"/>
    <s v="NEW CATEGORY/BRAND BANNERS"/>
    <s v="Task"/>
    <x v="0"/>
    <d v="2015-09-08T16:32:00"/>
    <x v="4"/>
    <x v="0"/>
    <x v="7"/>
    <n v="3"/>
    <m/>
    <n v="79"/>
    <n v="79"/>
  </r>
  <r>
    <s v="SBG - Desktop"/>
    <x v="4"/>
    <s v="Task"/>
    <s v="DESK-2749"/>
    <s v="NEW CATEGORY/BRAND BANNERS"/>
    <s v="Task"/>
    <x v="0"/>
    <d v="2015-09-25T10:31:00"/>
    <x v="4"/>
    <x v="0"/>
    <x v="13"/>
    <n v="3"/>
    <m/>
    <n v="134.29999999999998"/>
    <n v="23.700000000000003"/>
  </r>
  <r>
    <s v="SBG - Desktop"/>
    <x v="0"/>
    <s v="Bug"/>
    <s v="DESK-2750"/>
    <s v="The footer is lack of the bannerButtomRightButton"/>
    <s v="Bug"/>
    <x v="1"/>
    <d v="2015-08-27T11:36:00"/>
    <x v="3"/>
    <x v="0"/>
    <x v="7"/>
    <n v="2"/>
    <m/>
    <n v="87"/>
    <n v="87"/>
  </r>
  <r>
    <s v="SBG - Desktop"/>
    <x v="0"/>
    <s v="Bug"/>
    <s v="DESK-2750"/>
    <s v="The footer is lack of the bannerButtomRightButton"/>
    <s v="Bug"/>
    <x v="1"/>
    <d v="2015-08-27T17:38:00"/>
    <x v="3"/>
    <x v="0"/>
    <x v="7"/>
    <n v="2"/>
    <m/>
    <n v="87"/>
    <n v="87"/>
  </r>
  <r>
    <s v="SBG - Desktop"/>
    <x v="4"/>
    <s v="Task"/>
    <s v="DESK-2751"/>
    <s v="Update Brand Trademarks Page"/>
    <s v="Task"/>
    <x v="0"/>
    <d v="2015-08-28T10:47:00"/>
    <x v="3"/>
    <x v="0"/>
    <x v="13"/>
    <n v="3"/>
    <m/>
    <n v="147.9"/>
    <n v="26.100000000000005"/>
  </r>
  <r>
    <s v="SBG - Desktop"/>
    <x v="4"/>
    <s v="Task"/>
    <s v="DESK-2751"/>
    <s v="Update Brand Trademarks Page"/>
    <s v="Task"/>
    <x v="0"/>
    <d v="2015-09-02T16:51:00"/>
    <x v="4"/>
    <x v="0"/>
    <x v="13"/>
    <n v="2"/>
    <m/>
    <n v="134.29999999999998"/>
    <n v="23.700000000000003"/>
  </r>
  <r>
    <s v="SBG - Desktop"/>
    <x v="2"/>
    <s v="Task"/>
    <s v="DESK-2751"/>
    <s v="Update Brand Trademarks Page"/>
    <s v="Task"/>
    <x v="0"/>
    <d v="2015-09-04T16:55:00"/>
    <x v="4"/>
    <x v="0"/>
    <x v="22"/>
    <n v="1"/>
    <m/>
    <n v="134.29999999999998"/>
    <n v="23.700000000000003"/>
  </r>
  <r>
    <s v="SBG - Desktop"/>
    <x v="2"/>
    <s v="New Feature"/>
    <s v="DESK-2752"/>
    <s v="Top bar - Charity and RX promotion"/>
    <s v="New Feature"/>
    <x v="0"/>
    <d v="2015-08-27T15:18:00"/>
    <x v="3"/>
    <x v="0"/>
    <x v="10"/>
    <n v="3"/>
    <m/>
    <n v="147.9"/>
    <n v="26.100000000000005"/>
  </r>
  <r>
    <s v="SBG - Desktop"/>
    <x v="2"/>
    <s v="New Feature"/>
    <s v="DESK-2752"/>
    <s v="Top bar - Charity and RX promotion"/>
    <s v="New Feature"/>
    <x v="0"/>
    <d v="2015-08-31T11:07:00"/>
    <x v="3"/>
    <x v="0"/>
    <x v="10"/>
    <n v="3"/>
    <m/>
    <n v="147.9"/>
    <n v="26.100000000000005"/>
  </r>
  <r>
    <s v="SBG - Desktop"/>
    <x v="0"/>
    <s v="New Feature"/>
    <s v="DESK-2752"/>
    <s v="Top bar - Charity and RX promotion"/>
    <s v="New Feature"/>
    <x v="0"/>
    <d v="2015-08-31T12:03:00"/>
    <x v="3"/>
    <x v="0"/>
    <x v="7"/>
    <n v="1"/>
    <m/>
    <n v="87"/>
    <n v="87"/>
  </r>
  <r>
    <s v="SBG - Desktop"/>
    <x v="1"/>
    <s v="New Feature"/>
    <s v="DESK-2752"/>
    <s v="Top bar - Charity and RX promotion"/>
    <s v="New Feature"/>
    <x v="0"/>
    <d v="2015-08-31T18:08:00"/>
    <x v="3"/>
    <x v="0"/>
    <x v="1"/>
    <n v="2"/>
    <m/>
    <n v="147.9"/>
    <n v="26.100000000000005"/>
  </r>
  <r>
    <s v="SBG - Desktop"/>
    <x v="0"/>
    <s v="New Feature"/>
    <s v="DESK-2752"/>
    <s v="Top bar - Charity and RX promotion"/>
    <s v="New Feature"/>
    <x v="0"/>
    <d v="2015-09-01T16:44:00"/>
    <x v="4"/>
    <x v="0"/>
    <x v="7"/>
    <n v="1"/>
    <m/>
    <n v="79"/>
    <n v="79"/>
  </r>
  <r>
    <s v="SBG - Desktop"/>
    <x v="4"/>
    <s v="New Feature"/>
    <s v="DESK-2752"/>
    <s v="Top bar - Charity and RX promotion"/>
    <s v="New Feature"/>
    <x v="0"/>
    <d v="2015-09-01T16:48:00"/>
    <x v="4"/>
    <x v="0"/>
    <x v="13"/>
    <n v="5"/>
    <m/>
    <n v="134.29999999999998"/>
    <n v="23.700000000000003"/>
  </r>
  <r>
    <s v="SBG - Desktop"/>
    <x v="1"/>
    <s v="New Feature"/>
    <s v="DESK-2752"/>
    <s v="Top bar - Charity and RX promotion"/>
    <s v="New Feature"/>
    <x v="0"/>
    <d v="2015-09-08T19:30:00"/>
    <x v="4"/>
    <x v="0"/>
    <x v="1"/>
    <n v="8"/>
    <m/>
    <n v="134.29999999999998"/>
    <n v="23.700000000000003"/>
  </r>
  <r>
    <s v="SBG - Desktop"/>
    <x v="2"/>
    <s v="Sub-task"/>
    <s v="DESK-2755"/>
    <s v="DESK-2752&gt; Facebook competition Top bar -Domain 11"/>
    <s v="Sub-task"/>
    <x v="0"/>
    <d v="2015-08-28T13:18:00"/>
    <x v="3"/>
    <x v="0"/>
    <x v="10"/>
    <n v="5"/>
    <m/>
    <n v="147.9"/>
    <n v="26.100000000000005"/>
  </r>
  <r>
    <s v="SBG - Desktop"/>
    <x v="0"/>
    <s v="Sub-task"/>
    <s v="DESK-2755"/>
    <s v="DESK-2752&gt; Facebook competition Top bar -Domain 11"/>
    <s v="Sub-task"/>
    <x v="0"/>
    <d v="2015-08-28T18:40:00"/>
    <x v="3"/>
    <x v="0"/>
    <x v="7"/>
    <n v="2"/>
    <m/>
    <n v="87"/>
    <n v="87"/>
  </r>
  <r>
    <s v="SBG - Desktop"/>
    <x v="0"/>
    <s v="Sub-task"/>
    <s v="DESK-2755"/>
    <s v="DESK-2752&gt; Facebook competition Top bar -Domain 11"/>
    <s v="Sub-task"/>
    <x v="0"/>
    <d v="2015-08-31T12:04:00"/>
    <x v="3"/>
    <x v="0"/>
    <x v="7"/>
    <n v="2"/>
    <m/>
    <n v="87"/>
    <n v="87"/>
  </r>
  <r>
    <s v="SBG - Desktop"/>
    <x v="0"/>
    <s v="Sub-task"/>
    <s v="DESK-2755"/>
    <s v="DESK-2752&gt; Facebook competition Top bar -Domain 11"/>
    <s v="Sub-task"/>
    <x v="0"/>
    <d v="2015-09-01T16:43:00"/>
    <x v="4"/>
    <x v="0"/>
    <x v="7"/>
    <n v="0.5"/>
    <m/>
    <n v="79"/>
    <n v="79"/>
  </r>
  <r>
    <s v="SBG - Desktop"/>
    <x v="2"/>
    <s v="Sub-task"/>
    <s v="DESK-2755"/>
    <s v="DESK-2752&gt; Facebook competition Top bar -Domain 11"/>
    <s v="Sub-task"/>
    <x v="0"/>
    <d v="2015-09-04T15:40:00"/>
    <x v="4"/>
    <x v="0"/>
    <x v="10"/>
    <n v="3"/>
    <m/>
    <n v="134.29999999999998"/>
    <n v="23.700000000000003"/>
  </r>
  <r>
    <s v="SBG - Desktop"/>
    <x v="2"/>
    <s v="Sub-task"/>
    <s v="DESK-2755"/>
    <s v="DESK-2752&gt; Facebook competition Top bar -Domain 11"/>
    <s v="Sub-task"/>
    <x v="0"/>
    <d v="2015-09-09T12:22:00"/>
    <x v="4"/>
    <x v="0"/>
    <x v="10"/>
    <n v="6"/>
    <m/>
    <n v="134.29999999999998"/>
    <n v="23.700000000000003"/>
  </r>
  <r>
    <s v="SBG - Desktop"/>
    <x v="4"/>
    <s v="Improvement"/>
    <s v="DESK-2756"/>
    <s v="Address Line field char limitation for Shipping Address / Billing Address forms"/>
    <s v="Improvement"/>
    <x v="0"/>
    <d v="2015-08-31T10:48:00"/>
    <x v="3"/>
    <x v="0"/>
    <x v="13"/>
    <n v="3"/>
    <m/>
    <n v="147.9"/>
    <n v="26.100000000000005"/>
  </r>
  <r>
    <s v="SBG - Desktop"/>
    <x v="0"/>
    <s v="Improvement"/>
    <s v="DESK-2756"/>
    <s v="Address Line field char limitation for Shipping Address / Billing Address forms"/>
    <s v="Improvement"/>
    <x v="0"/>
    <d v="2015-09-04T16:44:00"/>
    <x v="4"/>
    <x v="0"/>
    <x v="19"/>
    <n v="1"/>
    <m/>
    <n v="79"/>
    <n v="79"/>
  </r>
  <r>
    <s v="SBG - Desktop"/>
    <x v="4"/>
    <s v="New Feature"/>
    <s v="DESK-2758"/>
    <s v="New Google Conversion tracking code"/>
    <s v="New Feature"/>
    <x v="0"/>
    <d v="2015-08-31T10:51:00"/>
    <x v="3"/>
    <x v="0"/>
    <x v="13"/>
    <n v="6"/>
    <m/>
    <n v="147.9"/>
    <n v="26.100000000000005"/>
  </r>
  <r>
    <s v="SBG - Desktop"/>
    <x v="1"/>
    <s v="New Feature"/>
    <s v="DESK-2758"/>
    <s v="New Google Conversion tracking code"/>
    <s v="New Feature"/>
    <x v="0"/>
    <d v="2015-09-16T19:19:00"/>
    <x v="4"/>
    <x v="0"/>
    <x v="8"/>
    <n v="2"/>
    <m/>
    <n v="134.29999999999998"/>
    <n v="23.700000000000003"/>
  </r>
  <r>
    <s v="SBG - Desktop"/>
    <x v="1"/>
    <s v="New Feature"/>
    <s v="DESK-2758"/>
    <s v="New Google Conversion tracking code"/>
    <s v="New Feature"/>
    <x v="0"/>
    <d v="2015-09-17T17:34:00"/>
    <x v="4"/>
    <x v="0"/>
    <x v="8"/>
    <n v="2"/>
    <m/>
    <n v="134.29999999999998"/>
    <n v="23.700000000000003"/>
  </r>
  <r>
    <s v="SBG - Desktop"/>
    <x v="4"/>
    <s v="New Feature"/>
    <s v="DESK-2758"/>
    <s v="New Google Conversion tracking code"/>
    <s v="New Feature"/>
    <x v="0"/>
    <d v="2015-09-18T16:56:00"/>
    <x v="4"/>
    <x v="0"/>
    <x v="13"/>
    <n v="2"/>
    <m/>
    <n v="134.29999999999998"/>
    <n v="23.700000000000003"/>
  </r>
  <r>
    <s v="SBG - Desktop"/>
    <x v="1"/>
    <s v="New Feature"/>
    <s v="DESK-2758"/>
    <s v="New Google Conversion tracking code"/>
    <s v="New Feature"/>
    <x v="0"/>
    <d v="2015-09-18T18:30:00"/>
    <x v="4"/>
    <x v="0"/>
    <x v="8"/>
    <n v="1"/>
    <m/>
    <n v="134.29999999999998"/>
    <n v="23.700000000000003"/>
  </r>
  <r>
    <s v="SBG - Desktop"/>
    <x v="4"/>
    <s v="Task"/>
    <s v="DESK-2760"/>
    <s v="Remove unused/outdated marketing tracking code from SBG"/>
    <s v="Task"/>
    <x v="0"/>
    <d v="2015-09-08T16:55:00"/>
    <x v="4"/>
    <x v="0"/>
    <x v="13"/>
    <n v="4"/>
    <m/>
    <n v="134.29999999999998"/>
    <n v="23.700000000000003"/>
  </r>
  <r>
    <s v="SBG - Desktop"/>
    <x v="2"/>
    <s v="Improvement"/>
    <s v="DESK-2761"/>
    <s v="Implement Quick View for Algolia search results"/>
    <s v="Improvement"/>
    <x v="0"/>
    <d v="2015-09-04T09:36:00"/>
    <x v="4"/>
    <x v="0"/>
    <x v="11"/>
    <n v="8"/>
    <m/>
    <n v="134.29999999999998"/>
    <n v="23.700000000000003"/>
  </r>
  <r>
    <s v="SBG - Desktop"/>
    <x v="2"/>
    <s v="Improvement"/>
    <s v="DESK-2761"/>
    <s v="Implement Quick View for Algolia search results"/>
    <s v="Improvement"/>
    <x v="0"/>
    <d v="2015-09-07T09:30:00"/>
    <x v="4"/>
    <x v="0"/>
    <x v="11"/>
    <n v="8"/>
    <m/>
    <n v="134.29999999999998"/>
    <n v="23.700000000000003"/>
  </r>
  <r>
    <s v="SBG - Desktop"/>
    <x v="2"/>
    <s v="Improvement"/>
    <s v="DESK-2761"/>
    <s v="Implement Quick View for Algolia search results"/>
    <s v="Improvement"/>
    <x v="0"/>
    <d v="2015-09-08T09:30:00"/>
    <x v="4"/>
    <x v="0"/>
    <x v="11"/>
    <n v="8"/>
    <m/>
    <n v="134.29999999999998"/>
    <n v="23.700000000000003"/>
  </r>
  <r>
    <s v="SBG - Desktop"/>
    <x v="2"/>
    <s v="Improvement"/>
    <s v="DESK-2761"/>
    <s v="Implement Quick View for Algolia search results"/>
    <s v="Improvement"/>
    <x v="0"/>
    <d v="2015-09-09T14:00:00"/>
    <x v="4"/>
    <x v="0"/>
    <x v="11"/>
    <n v="4"/>
    <m/>
    <n v="134.29999999999998"/>
    <n v="23.700000000000003"/>
  </r>
  <r>
    <s v="SBG - Desktop"/>
    <x v="0"/>
    <s v="Improvement"/>
    <s v="DESK-2761"/>
    <s v="Implement Quick View for Algolia search results"/>
    <s v="Improvement"/>
    <x v="0"/>
    <d v="2015-09-15T15:41:00"/>
    <x v="4"/>
    <x v="0"/>
    <x v="19"/>
    <n v="0.5"/>
    <m/>
    <n v="79"/>
    <n v="79"/>
  </r>
  <r>
    <s v="SBG - Desktop"/>
    <x v="4"/>
    <s v="Improvement"/>
    <s v="DESK-2761"/>
    <s v="Implement Quick View for Algolia search results"/>
    <s v="Improvement"/>
    <x v="0"/>
    <d v="2015-09-22T17:01:00"/>
    <x v="4"/>
    <x v="0"/>
    <x v="13"/>
    <n v="3"/>
    <m/>
    <n v="134.29999999999998"/>
    <n v="23.700000000000003"/>
  </r>
  <r>
    <s v="SBG - Desktop"/>
    <x v="2"/>
    <s v="Improvement"/>
    <s v="DESK-2761"/>
    <s v="Implement Quick View for Algolia search results"/>
    <s v="Improvement"/>
    <x v="0"/>
    <d v="2015-09-25T09:30:00"/>
    <x v="4"/>
    <x v="0"/>
    <x v="11"/>
    <n v="3"/>
    <m/>
    <n v="134.29999999999998"/>
    <n v="23.700000000000003"/>
  </r>
  <r>
    <s v="SBG - Desktop"/>
    <x v="2"/>
    <s v="Improvement"/>
    <s v="DESK-2761"/>
    <s v="Implement Quick View for Algolia search results"/>
    <s v="Improvement"/>
    <x v="0"/>
    <d v="2015-09-25T11:45:00"/>
    <x v="4"/>
    <x v="0"/>
    <x v="11"/>
    <n v="3"/>
    <m/>
    <n v="134.29999999999998"/>
    <n v="23.700000000000003"/>
  </r>
  <r>
    <s v="SBG - Desktop"/>
    <x v="0"/>
    <s v="Improvement"/>
    <s v="DESK-2761"/>
    <s v="Implement Quick View for Algolia search results"/>
    <s v="Improvement"/>
    <x v="0"/>
    <d v="2015-09-25T17:29:00"/>
    <x v="4"/>
    <x v="0"/>
    <x v="19"/>
    <n v="4"/>
    <m/>
    <n v="79"/>
    <n v="79"/>
  </r>
  <r>
    <s v="SBG - Desktop"/>
    <x v="2"/>
    <s v="Task"/>
    <s v="DESK-2762"/>
    <s v="RX PHASE 2 - GLOBAL ROLL OUT"/>
    <s v="Task"/>
    <x v="0"/>
    <d v="2015-08-18T10:54:00"/>
    <x v="3"/>
    <x v="0"/>
    <x v="18"/>
    <n v="8"/>
    <m/>
    <n v="147.9"/>
    <n v="26.100000000000005"/>
  </r>
  <r>
    <s v="SBG - Desktop"/>
    <x v="2"/>
    <s v="Task"/>
    <s v="DESK-2762"/>
    <s v="RX PHASE 2 - GLOBAL ROLL OUT"/>
    <s v="Task"/>
    <x v="0"/>
    <d v="2015-09-07T14:47:00"/>
    <x v="4"/>
    <x v="0"/>
    <x v="18"/>
    <n v="4"/>
    <m/>
    <n v="134.29999999999998"/>
    <n v="23.700000000000003"/>
  </r>
  <r>
    <s v="SBG - Desktop"/>
    <x v="2"/>
    <s v="New Feature"/>
    <s v="DESK-2764"/>
    <s v="Activate 30% discount option"/>
    <s v="New Feature"/>
    <x v="0"/>
    <d v="2015-09-08T15:41:00"/>
    <x v="4"/>
    <x v="0"/>
    <x v="2"/>
    <n v="3"/>
    <m/>
    <n v="134.29999999999998"/>
    <n v="23.700000000000003"/>
  </r>
  <r>
    <s v="SBG - Desktop"/>
    <x v="1"/>
    <s v="New Feature"/>
    <s v="DESK-2764"/>
    <s v="Activate 30% discount option"/>
    <s v="New Feature"/>
    <x v="0"/>
    <d v="2015-09-09T10:15:00"/>
    <x v="4"/>
    <x v="0"/>
    <x v="21"/>
    <n v="3"/>
    <m/>
    <n v="134.29999999999998"/>
    <n v="23.700000000000003"/>
  </r>
  <r>
    <s v="SBG - Desktop"/>
    <x v="0"/>
    <s v="Task"/>
    <s v="DESK-2765"/>
    <s v="Top Bar Sports sunglasses"/>
    <s v="Task"/>
    <x v="0"/>
    <d v="2015-09-14T14:41:00"/>
    <x v="4"/>
    <x v="0"/>
    <x v="7"/>
    <n v="1"/>
    <m/>
    <n v="79"/>
    <n v="79"/>
  </r>
  <r>
    <s v="SBG - Desktop"/>
    <x v="2"/>
    <s v="Task"/>
    <s v="DESK-2765"/>
    <s v="Top Bar Sports sunglasses"/>
    <s v="Task"/>
    <x v="0"/>
    <d v="2015-09-16T10:18:00"/>
    <x v="4"/>
    <x v="0"/>
    <x v="10"/>
    <n v="2"/>
    <m/>
    <n v="134.29999999999998"/>
    <n v="23.700000000000003"/>
  </r>
  <r>
    <s v="SBG - Desktop"/>
    <x v="0"/>
    <s v="Task"/>
    <s v="DESK-2765"/>
    <s v="Top Bar Sports sunglasses"/>
    <s v="Task"/>
    <x v="0"/>
    <d v="2015-09-16T18:32:00"/>
    <x v="4"/>
    <x v="0"/>
    <x v="7"/>
    <n v="3"/>
    <m/>
    <n v="79"/>
    <n v="79"/>
  </r>
  <r>
    <s v="SBG - Desktop"/>
    <x v="2"/>
    <s v="Task"/>
    <s v="DESK-2765"/>
    <s v="Top Bar Sports sunglasses"/>
    <s v="Task"/>
    <x v="0"/>
    <d v="2015-09-18T16:32:00"/>
    <x v="4"/>
    <x v="0"/>
    <x v="10"/>
    <n v="3"/>
    <m/>
    <n v="134.29999999999998"/>
    <n v="23.700000000000003"/>
  </r>
  <r>
    <s v="SBG - Desktop"/>
    <x v="4"/>
    <s v="Task"/>
    <s v="DESK-2765"/>
    <s v="Top Bar Sports sunglasses"/>
    <s v="Task"/>
    <x v="0"/>
    <d v="2015-09-18T17:04:00"/>
    <x v="4"/>
    <x v="0"/>
    <x v="13"/>
    <n v="2"/>
    <m/>
    <n v="134.29999999999998"/>
    <n v="23.700000000000003"/>
  </r>
  <r>
    <s v="SBG - Desktop"/>
    <x v="0"/>
    <s v="Sub-task"/>
    <s v="DESK-2766"/>
    <s v="DESK-2765&gt; Top Bar - Oktoberfest (German Domains only)"/>
    <s v="Sub-task"/>
    <x v="0"/>
    <d v="2015-09-14T14:31:00"/>
    <x v="4"/>
    <x v="0"/>
    <x v="7"/>
    <n v="2"/>
    <m/>
    <n v="79"/>
    <n v="79"/>
  </r>
  <r>
    <s v="SBG - Desktop"/>
    <x v="2"/>
    <s v="Sub-task"/>
    <s v="DESK-2766"/>
    <s v="DESK-2765&gt; Top Bar - Oktoberfest (German Domains only)"/>
    <s v="Sub-task"/>
    <x v="0"/>
    <d v="2015-09-16T14:17:00"/>
    <x v="4"/>
    <x v="0"/>
    <x v="10"/>
    <n v="2"/>
    <m/>
    <n v="134.29999999999998"/>
    <n v="23.700000000000003"/>
  </r>
  <r>
    <s v="SBG - Desktop"/>
    <x v="0"/>
    <s v="Sub-task"/>
    <s v="DESK-2766"/>
    <s v="DESK-2765&gt; Top Bar - Oktoberfest (German Domains only)"/>
    <s v="Sub-task"/>
    <x v="0"/>
    <d v="2015-09-16T15:34:00"/>
    <x v="4"/>
    <x v="0"/>
    <x v="7"/>
    <n v="2"/>
    <m/>
    <n v="79"/>
    <n v="79"/>
  </r>
  <r>
    <s v="SBG - Desktop"/>
    <x v="2"/>
    <s v="Sub-task"/>
    <s v="DESK-2766"/>
    <s v="DESK-2765&gt; Top Bar - Oktoberfest (German Domains only)"/>
    <s v="Sub-task"/>
    <x v="0"/>
    <d v="2015-09-18T16:33:00"/>
    <x v="4"/>
    <x v="0"/>
    <x v="10"/>
    <n v="3"/>
    <m/>
    <n v="134.29999999999998"/>
    <n v="23.700000000000003"/>
  </r>
  <r>
    <s v="SBG - Desktop"/>
    <x v="2"/>
    <s v="Task"/>
    <s v="DESK-2767"/>
    <s v="Update shipping time to 3-4 weeks"/>
    <s v="Task"/>
    <x v="0"/>
    <d v="2015-09-14T14:07:00"/>
    <x v="4"/>
    <x v="0"/>
    <x v="10"/>
    <n v="4"/>
    <m/>
    <n v="134.29999999999998"/>
    <n v="23.700000000000003"/>
  </r>
  <r>
    <s v="SBG - Desktop"/>
    <x v="1"/>
    <s v="Task"/>
    <s v="DESK-2767"/>
    <s v="Update shipping time to 3-4 weeks"/>
    <s v="Task"/>
    <x v="0"/>
    <d v="2015-09-16T19:19:00"/>
    <x v="4"/>
    <x v="0"/>
    <x v="8"/>
    <n v="3"/>
    <m/>
    <n v="134.29999999999998"/>
    <n v="23.700000000000003"/>
  </r>
  <r>
    <s v="SBG - Desktop"/>
    <x v="1"/>
    <s v="Task"/>
    <s v="DESK-2767"/>
    <s v="Update shipping time to 3-4 weeks"/>
    <s v="Task"/>
    <x v="0"/>
    <d v="2015-09-17T17:04:00"/>
    <x v="4"/>
    <x v="0"/>
    <x v="8"/>
    <n v="2"/>
    <m/>
    <n v="134.29999999999998"/>
    <n v="23.700000000000003"/>
  </r>
  <r>
    <s v="SBG - Desktop"/>
    <x v="2"/>
    <s v="Task"/>
    <s v="DESK-2767"/>
    <s v="Update shipping time to 3-4 weeks"/>
    <s v="Task"/>
    <x v="0"/>
    <d v="2015-09-22T16:29:00"/>
    <x v="4"/>
    <x v="0"/>
    <x v="10"/>
    <n v="4"/>
    <m/>
    <n v="134.29999999999998"/>
    <n v="23.700000000000003"/>
  </r>
  <r>
    <s v="SBG - Desktop"/>
    <x v="1"/>
    <s v="Task"/>
    <s v="DESK-2767"/>
    <s v="Update shipping time to 3-4 weeks"/>
    <s v="Task"/>
    <x v="0"/>
    <d v="2015-09-22T18:31:00"/>
    <x v="4"/>
    <x v="0"/>
    <x v="8"/>
    <n v="1"/>
    <m/>
    <n v="134.29999999999998"/>
    <n v="23.700000000000003"/>
  </r>
  <r>
    <s v="SBG - Desktop"/>
    <x v="1"/>
    <s v="Task"/>
    <s v="DESK-2767"/>
    <s v="Update shipping time to 3-4 weeks"/>
    <s v="Task"/>
    <x v="0"/>
    <d v="2015-09-23T18:59:00"/>
    <x v="4"/>
    <x v="0"/>
    <x v="8"/>
    <n v="1"/>
    <m/>
    <n v="134.29999999999998"/>
    <n v="23.700000000000003"/>
  </r>
  <r>
    <s v="SBG - Desktop"/>
    <x v="4"/>
    <s v="Task"/>
    <s v="DESK-2767"/>
    <s v="Update shipping time to 3-4 weeks"/>
    <s v="Task"/>
    <x v="0"/>
    <d v="2015-09-24T17:07:00"/>
    <x v="4"/>
    <x v="0"/>
    <x v="13"/>
    <n v="3"/>
    <m/>
    <n v="134.29999999999998"/>
    <n v="23.700000000000003"/>
  </r>
  <r>
    <s v="SBG - Desktop"/>
    <x v="0"/>
    <s v="Technical task"/>
    <s v="DESK-2768"/>
    <s v="DESK-2765&gt; Top Bar - Carrera Frames (IT domain only)"/>
    <s v="Technical task"/>
    <x v="0"/>
    <d v="2015-09-16T10:27:00"/>
    <x v="4"/>
    <x v="0"/>
    <x v="7"/>
    <n v="2"/>
    <m/>
    <n v="79"/>
    <n v="79"/>
  </r>
  <r>
    <s v="SBG - Desktop"/>
    <x v="2"/>
    <s v="Technical task"/>
    <s v="DESK-2768"/>
    <s v="DESK-2765&gt; Top Bar - Carrera Frames (IT domain only)"/>
    <s v="Technical task"/>
    <x v="0"/>
    <d v="2015-09-16T16:17:00"/>
    <x v="4"/>
    <x v="0"/>
    <x v="10"/>
    <n v="2"/>
    <m/>
    <n v="134.29999999999998"/>
    <n v="23.700000000000003"/>
  </r>
  <r>
    <s v="SBG - Desktop"/>
    <x v="0"/>
    <s v="Technical task"/>
    <s v="DESK-2768"/>
    <s v="DESK-2765&gt; Top Bar - Carrera Frames (IT domain only)"/>
    <s v="Technical task"/>
    <x v="0"/>
    <d v="2015-09-16T17:34:00"/>
    <x v="4"/>
    <x v="0"/>
    <x v="7"/>
    <n v="1"/>
    <m/>
    <n v="79"/>
    <n v="79"/>
  </r>
  <r>
    <s v="SBG - Desktop"/>
    <x v="2"/>
    <s v="Technical task"/>
    <s v="DESK-2768"/>
    <s v="DESK-2765&gt; Top Bar - Carrera Frames (IT domain only)"/>
    <s v="Technical task"/>
    <x v="0"/>
    <d v="2015-09-17T16:34:00"/>
    <x v="4"/>
    <x v="0"/>
    <x v="10"/>
    <n v="3"/>
    <m/>
    <n v="134.29999999999998"/>
    <n v="23.700000000000003"/>
  </r>
  <r>
    <s v="SBG - Desktop"/>
    <x v="1"/>
    <s v="Technical task"/>
    <s v="DESK-2768"/>
    <s v="DESK-2765&gt; Top Bar - Carrera Frames (IT domain only)"/>
    <s v="Technical task"/>
    <x v="0"/>
    <d v="2015-09-17T17:58:00"/>
    <x v="4"/>
    <x v="0"/>
    <x v="1"/>
    <n v="0.5"/>
    <m/>
    <n v="134.29999999999998"/>
    <n v="23.700000000000003"/>
  </r>
  <r>
    <s v="SBG - Desktop"/>
    <x v="4"/>
    <s v="Technical task"/>
    <s v="DESK-2769"/>
    <s v="DESK-2787&gt; HK/Singapore address form improvement"/>
    <s v="Technical task"/>
    <x v="0"/>
    <d v="2015-09-11T17:08:00"/>
    <x v="4"/>
    <x v="0"/>
    <x v="13"/>
    <n v="3"/>
    <m/>
    <n v="134.29999999999998"/>
    <n v="23.700000000000003"/>
  </r>
  <r>
    <s v="SBG - Desktop"/>
    <x v="2"/>
    <s v="Technical task"/>
    <s v="DESK-2769"/>
    <s v="DESK-2787&gt; HK/Singapore address form improvement"/>
    <s v="Technical task"/>
    <x v="0"/>
    <d v="2015-09-16T09:30:00"/>
    <x v="4"/>
    <x v="0"/>
    <x v="11"/>
    <n v="4"/>
    <m/>
    <n v="134.29999999999998"/>
    <n v="23.700000000000003"/>
  </r>
  <r>
    <s v="SBG - Desktop"/>
    <x v="2"/>
    <s v="Technical task"/>
    <s v="DESK-2769"/>
    <s v="DESK-2787&gt; HK/Singapore address form improvement"/>
    <s v="Technical task"/>
    <x v="0"/>
    <d v="2015-09-16T14:03:00"/>
    <x v="4"/>
    <x v="0"/>
    <x v="11"/>
    <n v="2"/>
    <m/>
    <n v="134.29999999999998"/>
    <n v="23.700000000000003"/>
  </r>
  <r>
    <s v="SBG - Desktop"/>
    <x v="2"/>
    <s v="Technical task"/>
    <s v="DESK-2769"/>
    <s v="DESK-2787&gt; HK/Singapore address form improvement"/>
    <s v="Technical task"/>
    <x v="0"/>
    <d v="2015-09-16T16:00:00"/>
    <x v="4"/>
    <x v="0"/>
    <x v="11"/>
    <n v="3"/>
    <m/>
    <n v="134.29999999999998"/>
    <n v="23.700000000000003"/>
  </r>
  <r>
    <s v="SBG - Desktop"/>
    <x v="2"/>
    <s v="Technical task"/>
    <s v="DESK-2769"/>
    <s v="DESK-2787&gt; HK/Singapore address form improvement"/>
    <s v="Technical task"/>
    <x v="0"/>
    <d v="2015-09-17T09:30:00"/>
    <x v="4"/>
    <x v="0"/>
    <x v="11"/>
    <n v="4"/>
    <m/>
    <n v="134.29999999999998"/>
    <n v="23.700000000000003"/>
  </r>
  <r>
    <s v="SBG - Desktop"/>
    <x v="2"/>
    <s v="Technical task"/>
    <s v="DESK-2769"/>
    <s v="DESK-2787&gt; HK/Singapore address form improvement"/>
    <s v="Technical task"/>
    <x v="0"/>
    <d v="2015-09-24T15:00:00"/>
    <x v="4"/>
    <x v="0"/>
    <x v="11"/>
    <n v="3"/>
    <m/>
    <n v="134.29999999999998"/>
    <n v="23.700000000000003"/>
  </r>
  <r>
    <s v="SBG - Desktop"/>
    <x v="2"/>
    <s v="Technical task"/>
    <s v="DESK-2769"/>
    <s v="DESK-2787&gt; HK/Singapore address form improvement"/>
    <s v="Technical task"/>
    <x v="0"/>
    <d v="2015-09-28T09:30:00"/>
    <x v="4"/>
    <x v="0"/>
    <x v="11"/>
    <n v="2"/>
    <m/>
    <n v="134.29999999999998"/>
    <n v="23.700000000000003"/>
  </r>
  <r>
    <s v="SBG - Desktop"/>
    <x v="2"/>
    <s v="Technical task"/>
    <s v="DESK-2769"/>
    <s v="DESK-2787&gt; HK/Singapore address form improvement"/>
    <s v="Technical task"/>
    <x v="0"/>
    <d v="2015-09-29T14:00:00"/>
    <x v="4"/>
    <x v="0"/>
    <x v="11"/>
    <n v="5"/>
    <m/>
    <n v="134.29999999999998"/>
    <n v="23.700000000000003"/>
  </r>
  <r>
    <s v="SBG - Desktop"/>
    <x v="2"/>
    <s v="New Feature"/>
    <s v="DESK-2772"/>
    <s v="Master Feed 2: at SALES LEVEL"/>
    <s v="New Feature"/>
    <x v="0"/>
    <d v="2015-09-14T12:02:00"/>
    <x v="4"/>
    <x v="0"/>
    <x v="16"/>
    <n v="1"/>
    <m/>
    <n v="134.29999999999998"/>
    <n v="23.700000000000003"/>
  </r>
  <r>
    <s v="SBG - Desktop"/>
    <x v="4"/>
    <s v="New Feature"/>
    <s v="DESK-2775"/>
    <s v="Update US website with Live chat function"/>
    <s v="New Feature"/>
    <x v="0"/>
    <d v="2015-09-24T13:43:00"/>
    <x v="4"/>
    <x v="0"/>
    <x v="13"/>
    <n v="2"/>
    <m/>
    <n v="134.29999999999998"/>
    <n v="23.700000000000003"/>
  </r>
  <r>
    <s v="SBG - Desktop"/>
    <x v="2"/>
    <s v="New Feature"/>
    <s v="DESK-2775"/>
    <s v="Update US website with Live chat function"/>
    <s v="New Feature"/>
    <x v="0"/>
    <d v="2015-09-24T14:00:00"/>
    <x v="4"/>
    <x v="0"/>
    <x v="11"/>
    <n v="2"/>
    <m/>
    <n v="134.29999999999998"/>
    <n v="23.700000000000003"/>
  </r>
  <r>
    <s v="SBG - Desktop"/>
    <x v="4"/>
    <s v="New Feature"/>
    <s v="DESK-2775"/>
    <s v="Update US website with Live chat function"/>
    <s v="New Feature"/>
    <x v="0"/>
    <d v="2015-09-24T17:12:00"/>
    <x v="4"/>
    <x v="0"/>
    <x v="13"/>
    <n v="2"/>
    <m/>
    <n v="134.29999999999998"/>
    <n v="23.700000000000003"/>
  </r>
  <r>
    <s v="SBG - Desktop"/>
    <x v="2"/>
    <s v="Task"/>
    <s v="DESK-2780"/>
    <s v="Alter Landing page for Carrera Top Page Banner"/>
    <s v="Task"/>
    <x v="0"/>
    <d v="2015-09-10T10:22:00"/>
    <x v="4"/>
    <x v="0"/>
    <x v="10"/>
    <n v="8"/>
    <m/>
    <n v="134.29999999999998"/>
    <n v="23.700000000000003"/>
  </r>
  <r>
    <s v="SBG - Desktop"/>
    <x v="2"/>
    <s v="Task"/>
    <s v="DESK-2780"/>
    <s v="Alter Landing page for Carrera Top Page Banner"/>
    <s v="Task"/>
    <x v="0"/>
    <d v="2015-09-21T16:28:00"/>
    <x v="4"/>
    <x v="0"/>
    <x v="10"/>
    <n v="4"/>
    <m/>
    <n v="134.29999999999998"/>
    <n v="23.700000000000003"/>
  </r>
  <r>
    <s v="SBG - Desktop"/>
    <x v="2"/>
    <s v="Task"/>
    <s v="DESK-2780"/>
    <s v="Alter Landing page for Carrera Top Page Banner"/>
    <s v="Task"/>
    <x v="0"/>
    <d v="2015-09-21T16:34:00"/>
    <x v="4"/>
    <x v="0"/>
    <x v="10"/>
    <n v="1"/>
    <m/>
    <n v="134.29999999999998"/>
    <n v="23.700000000000003"/>
  </r>
  <r>
    <s v="SBG - Desktop"/>
    <x v="1"/>
    <s v="Task"/>
    <s v="DESK-2780"/>
    <s v="Alter Landing page for Carrera Top Page Banner"/>
    <s v="Task"/>
    <x v="0"/>
    <d v="2015-09-21T16:36:00"/>
    <x v="4"/>
    <x v="0"/>
    <x v="1"/>
    <n v="1"/>
    <m/>
    <n v="134.29999999999998"/>
    <n v="23.700000000000003"/>
  </r>
  <r>
    <s v="SBG - Desktop"/>
    <x v="4"/>
    <s v="Task"/>
    <s v="DESK-2780"/>
    <s v="Alter Landing page for Carrera Top Page Banner"/>
    <s v="Task"/>
    <x v="0"/>
    <d v="2015-09-22T12:41:00"/>
    <x v="4"/>
    <x v="0"/>
    <x v="13"/>
    <n v="3"/>
    <m/>
    <n v="134.29999999999998"/>
    <n v="23.700000000000003"/>
  </r>
  <r>
    <s v="SBG - Desktop"/>
    <x v="1"/>
    <s v="Task"/>
    <s v="DESK-2780"/>
    <s v="Alter Landing page for Carrera Top Page Banner"/>
    <s v="Task"/>
    <x v="0"/>
    <d v="2015-09-22T15:20:00"/>
    <x v="4"/>
    <x v="0"/>
    <x v="1"/>
    <n v="1"/>
    <m/>
    <n v="134.29999999999998"/>
    <n v="23.700000000000003"/>
  </r>
  <r>
    <s v="SBG - Desktop"/>
    <x v="4"/>
    <s v="Task"/>
    <s v="DESK-2780"/>
    <s v="Alter Landing page for Carrera Top Page Banner"/>
    <s v="Task"/>
    <x v="0"/>
    <d v="2015-09-22T17:12:00"/>
    <x v="4"/>
    <x v="0"/>
    <x v="13"/>
    <n v="2"/>
    <m/>
    <n v="134.29999999999998"/>
    <n v="23.700000000000003"/>
  </r>
  <r>
    <s v="SBG - Desktop"/>
    <x v="1"/>
    <s v="Task"/>
    <s v="DESK-2780"/>
    <s v="Alter Landing page for Carrera Top Page Banner"/>
    <s v="Task"/>
    <x v="0"/>
    <d v="2015-09-24T19:33:00"/>
    <x v="4"/>
    <x v="0"/>
    <x v="1"/>
    <n v="8"/>
    <m/>
    <n v="134.29999999999998"/>
    <n v="23.700000000000003"/>
  </r>
  <r>
    <s v="SBG - Desktop"/>
    <x v="2"/>
    <s v="Technical task"/>
    <s v="DESK-2783"/>
    <s v="DESK-2136&gt; Membership do not translated in TR domain."/>
    <s v="Technical task"/>
    <x v="0"/>
    <d v="2015-08-17T10:54:00"/>
    <x v="3"/>
    <x v="0"/>
    <x v="18"/>
    <n v="8"/>
    <m/>
    <n v="147.9"/>
    <n v="26.100000000000005"/>
  </r>
  <r>
    <s v="SBG - Desktop"/>
    <x v="2"/>
    <s v="Technical task"/>
    <s v="DESK-2783"/>
    <s v="DESK-2136&gt; Membership do not translated in TR domain."/>
    <s v="Technical task"/>
    <x v="0"/>
    <d v="2015-09-24T10:32:00"/>
    <x v="4"/>
    <x v="0"/>
    <x v="18"/>
    <n v="4"/>
    <m/>
    <n v="134.29999999999998"/>
    <n v="23.700000000000003"/>
  </r>
  <r>
    <s v="SBG - Desktop"/>
    <x v="0"/>
    <s v="Bug"/>
    <s v="DESK-2784"/>
    <s v="Many pictures still use local pictures and cannot show"/>
    <s v="Bug"/>
    <x v="1"/>
    <d v="2015-09-23T17:02:00"/>
    <x v="4"/>
    <x v="0"/>
    <x v="7"/>
    <n v="2"/>
    <m/>
    <n v="79"/>
    <n v="79"/>
  </r>
  <r>
    <s v="SBG - Desktop"/>
    <x v="2"/>
    <s v="Technical task"/>
    <s v="DESK-2785"/>
    <s v="DESK-2136&gt; Country logo is incorrect on foot."/>
    <s v="Technical task"/>
    <x v="0"/>
    <d v="2015-08-12T10:54:00"/>
    <x v="3"/>
    <x v="0"/>
    <x v="18"/>
    <n v="8"/>
    <m/>
    <n v="147.9"/>
    <n v="26.100000000000005"/>
  </r>
  <r>
    <s v="SBG - Desktop"/>
    <x v="2"/>
    <s v="Technical task"/>
    <s v="DESK-2785"/>
    <s v="DESK-2136&gt; Country logo is incorrect on foot."/>
    <s v="Technical task"/>
    <x v="0"/>
    <d v="2015-08-26T10:55:00"/>
    <x v="3"/>
    <x v="0"/>
    <x v="18"/>
    <n v="8"/>
    <m/>
    <n v="147.9"/>
    <n v="26.100000000000005"/>
  </r>
  <r>
    <s v="SBG - Desktop"/>
    <x v="2"/>
    <s v="Technical task"/>
    <s v="DESK-2785"/>
    <s v="DESK-2136&gt; Country logo is incorrect on foot."/>
    <s v="Technical task"/>
    <x v="0"/>
    <d v="2015-09-23T10:33:00"/>
    <x v="4"/>
    <x v="0"/>
    <x v="18"/>
    <n v="4"/>
    <m/>
    <n v="134.29999999999998"/>
    <n v="23.700000000000003"/>
  </r>
  <r>
    <s v="SBG - Desktop"/>
    <x v="2"/>
    <s v="Technical task"/>
    <s v="DESK-2786"/>
    <s v="DESK-2136&gt; Promotion banner is not displayed on TR domain"/>
    <s v="Technical task"/>
    <x v="0"/>
    <d v="2015-08-13T10:54:00"/>
    <x v="3"/>
    <x v="0"/>
    <x v="18"/>
    <n v="8"/>
    <m/>
    <n v="147.9"/>
    <n v="26.100000000000005"/>
  </r>
  <r>
    <s v="SBG - Desktop"/>
    <x v="2"/>
    <s v="Technical task"/>
    <s v="DESK-2786"/>
    <s v="DESK-2136&gt; Promotion banner is not displayed on TR domain"/>
    <s v="Technical task"/>
    <x v="0"/>
    <d v="2015-09-22T15:52:00"/>
    <x v="4"/>
    <x v="0"/>
    <x v="18"/>
    <n v="2"/>
    <m/>
    <n v="134.29999999999998"/>
    <n v="23.700000000000003"/>
  </r>
  <r>
    <s v="SBG - Desktop"/>
    <x v="0"/>
    <s v="Technical task"/>
    <s v="DESK-2786"/>
    <s v="DESK-2136&gt; Promotion banner is not displayed on TR domain"/>
    <s v="Technical task"/>
    <x v="0"/>
    <d v="2015-09-23T09:58:00"/>
    <x v="4"/>
    <x v="0"/>
    <x v="7"/>
    <n v="1"/>
    <m/>
    <n v="79"/>
    <n v="79"/>
  </r>
  <r>
    <s v="SBG - Desktop"/>
    <x v="2"/>
    <s v="Technical task"/>
    <s v="DESK-2786"/>
    <s v="DESK-2136&gt; Promotion banner is not displayed on TR domain"/>
    <s v="Technical task"/>
    <x v="0"/>
    <d v="2015-09-29T12:33:00"/>
    <x v="4"/>
    <x v="0"/>
    <x v="18"/>
    <n v="4"/>
    <m/>
    <n v="134.29999999999998"/>
    <n v="23.700000000000003"/>
  </r>
  <r>
    <s v="SBG - Desktop"/>
    <x v="2"/>
    <s v="Improvement"/>
    <s v="DESK-2787"/>
    <s v="Checkout Address form improvement"/>
    <s v="Improvement"/>
    <x v="0"/>
    <d v="2015-09-14T15:45:00"/>
    <x v="4"/>
    <x v="0"/>
    <x v="11"/>
    <n v="31"/>
    <m/>
    <n v="134.29999999999998"/>
    <n v="23.700000000000003"/>
  </r>
  <r>
    <s v="SBG - Desktop"/>
    <x v="4"/>
    <s v="Improvement"/>
    <s v="DESK-2787"/>
    <s v="Checkout Address form improvement"/>
    <s v="Improvement"/>
    <x v="0"/>
    <d v="2015-09-23T17:20:00"/>
    <x v="4"/>
    <x v="0"/>
    <x v="13"/>
    <n v="3"/>
    <m/>
    <n v="134.29999999999998"/>
    <n v="23.700000000000003"/>
  </r>
  <r>
    <s v="SBG - Desktop"/>
    <x v="4"/>
    <s v="Task"/>
    <s v="DESK-2788"/>
    <s v="Brand Banner Update Batch 2"/>
    <s v="Task"/>
    <x v="0"/>
    <d v="2015-09-23T17:14:00"/>
    <x v="4"/>
    <x v="0"/>
    <x v="13"/>
    <n v="2"/>
    <m/>
    <n v="134.29999999999998"/>
    <n v="23.700000000000003"/>
  </r>
  <r>
    <s v="SBG - Desktop"/>
    <x v="0"/>
    <s v="Task"/>
    <s v="DESK-2788"/>
    <s v="Brand Banner Update Batch 2"/>
    <s v="Task"/>
    <x v="0"/>
    <d v="2015-09-29T18:33:00"/>
    <x v="4"/>
    <x v="0"/>
    <x v="7"/>
    <n v="4"/>
    <m/>
    <n v="79"/>
    <n v="79"/>
  </r>
  <r>
    <s v="SBG - Desktop"/>
    <x v="2"/>
    <s v="Task"/>
    <s v="DESK-2788"/>
    <s v="Brand Banner Update Batch 2"/>
    <s v="Task"/>
    <x v="0"/>
    <d v="2015-09-30T15:45:00"/>
    <x v="4"/>
    <x v="0"/>
    <x v="22"/>
    <n v="2"/>
    <m/>
    <n v="134.29999999999998"/>
    <n v="23.700000000000003"/>
  </r>
  <r>
    <s v="SBG - Desktop"/>
    <x v="4"/>
    <s v="Task"/>
    <s v="DESK-2820"/>
    <s v="REMOVE 2 stores from OMNI"/>
    <s v="Task"/>
    <x v="0"/>
    <d v="2015-09-17T17:16:00"/>
    <x v="4"/>
    <x v="0"/>
    <x v="13"/>
    <n v="2"/>
    <m/>
    <n v="134.29999999999998"/>
    <n v="23.700000000000003"/>
  </r>
  <r>
    <s v="SBG - Desktop"/>
    <x v="4"/>
    <s v="Task"/>
    <s v="DESK-2820"/>
    <s v="REMOVE 2 stores from OMNI"/>
    <s v="Task"/>
    <x v="0"/>
    <d v="2015-09-17T17:17:00"/>
    <x v="4"/>
    <x v="0"/>
    <x v="13"/>
    <n v="1"/>
    <m/>
    <n v="134.29999999999998"/>
    <n v="23.700000000000003"/>
  </r>
  <r>
    <s v="SBG - Desktop"/>
    <x v="2"/>
    <s v="Task"/>
    <s v="DESK-2820"/>
    <s v="REMOVE 2 stores from OMNI"/>
    <s v="Task"/>
    <x v="0"/>
    <d v="2015-09-24T11:20:00"/>
    <x v="4"/>
    <x v="0"/>
    <x v="11"/>
    <n v="1"/>
    <m/>
    <n v="134.29999999999998"/>
    <n v="23.700000000000003"/>
  </r>
  <r>
    <s v="SBG - Desktop"/>
    <x v="2"/>
    <s v="Improvement"/>
    <s v="DESK-2821"/>
    <s v="Remove *Confirm email field from checkout address form"/>
    <s v="Improvement"/>
    <x v="0"/>
    <d v="2015-08-10T10:15:00"/>
    <x v="3"/>
    <x v="0"/>
    <x v="10"/>
    <n v="8"/>
    <m/>
    <n v="147.9"/>
    <n v="26.100000000000005"/>
  </r>
  <r>
    <s v="SBG - Desktop"/>
    <x v="2"/>
    <s v="Improvement"/>
    <s v="DESK-2821"/>
    <s v="Remove *Confirm email field from checkout address form"/>
    <s v="Improvement"/>
    <x v="0"/>
    <d v="2015-08-12T10:15:00"/>
    <x v="3"/>
    <x v="0"/>
    <x v="10"/>
    <n v="8"/>
    <m/>
    <n v="147.9"/>
    <n v="26.100000000000005"/>
  </r>
  <r>
    <s v="SBG - Desktop"/>
    <x v="4"/>
    <s v="Improvement"/>
    <s v="DESK-2821"/>
    <s v="Remove *Confirm email field from checkout address form"/>
    <s v="Improvement"/>
    <x v="0"/>
    <d v="2015-09-25T17:21:00"/>
    <x v="4"/>
    <x v="0"/>
    <x v="13"/>
    <n v="2"/>
    <m/>
    <n v="134.29999999999998"/>
    <n v="23.700000000000003"/>
  </r>
  <r>
    <s v="SBG - Desktop"/>
    <x v="2"/>
    <s v="Improvement"/>
    <s v="DESK-2821"/>
    <s v="Remove *Confirm email field from checkout address form"/>
    <s v="Improvement"/>
    <x v="0"/>
    <d v="2015-09-28T15:24:00"/>
    <x v="4"/>
    <x v="0"/>
    <x v="10"/>
    <n v="2"/>
    <m/>
    <n v="134.29999999999998"/>
    <n v="23.700000000000003"/>
  </r>
  <r>
    <s v="SBG - Desktop"/>
    <x v="2"/>
    <s v="Improvement"/>
    <s v="DESK-2824"/>
    <s v="Update Paypal buttons"/>
    <s v="Improvement"/>
    <x v="0"/>
    <d v="2015-08-14T10:54:00"/>
    <x v="3"/>
    <x v="0"/>
    <x v="18"/>
    <n v="8"/>
    <m/>
    <n v="147.9"/>
    <n v="26.100000000000005"/>
  </r>
  <r>
    <s v="SBG - Desktop"/>
    <x v="4"/>
    <s v="Improvement"/>
    <s v="DESK-2824"/>
    <s v="Update Paypal buttons"/>
    <s v="Improvement"/>
    <x v="0"/>
    <d v="2015-09-16T17:32:00"/>
    <x v="4"/>
    <x v="0"/>
    <x v="13"/>
    <n v="3"/>
    <m/>
    <n v="134.29999999999998"/>
    <n v="23.700000000000003"/>
  </r>
  <r>
    <s v="SBG - Desktop"/>
    <x v="0"/>
    <s v="Improvement"/>
    <s v="DESK-2824"/>
    <s v="Update Paypal buttons"/>
    <s v="Improvement"/>
    <x v="0"/>
    <d v="2015-09-29T17:06:00"/>
    <x v="4"/>
    <x v="0"/>
    <x v="7"/>
    <n v="2"/>
    <m/>
    <n v="79"/>
    <n v="79"/>
  </r>
  <r>
    <s v="SBG - Desktop"/>
    <x v="2"/>
    <s v="Improvement"/>
    <s v="DESK-2824"/>
    <s v="Update Paypal buttons"/>
    <s v="Improvement"/>
    <x v="0"/>
    <d v="2015-09-30T15:27:00"/>
    <x v="4"/>
    <x v="0"/>
    <x v="18"/>
    <n v="4"/>
    <m/>
    <n v="134.29999999999998"/>
    <n v="23.700000000000003"/>
  </r>
  <r>
    <s v="SBG - Desktop"/>
    <x v="2"/>
    <s v="New Feature"/>
    <s v="DESK-2827"/>
    <s v="Change Home Page Banners back to Discount Banners"/>
    <s v="New Feature"/>
    <x v="0"/>
    <d v="2015-08-13T13:16:00"/>
    <x v="3"/>
    <x v="0"/>
    <x v="10"/>
    <n v="5"/>
    <m/>
    <n v="147.9"/>
    <n v="26.100000000000005"/>
  </r>
  <r>
    <s v="SBG - Desktop"/>
    <x v="2"/>
    <s v="New Feature"/>
    <s v="DESK-2827"/>
    <s v="Change Home Page Banners back to Discount Banners"/>
    <s v="New Feature"/>
    <x v="0"/>
    <d v="2015-08-18T15:17:00"/>
    <x v="3"/>
    <x v="0"/>
    <x v="10"/>
    <n v="3"/>
    <m/>
    <n v="147.9"/>
    <n v="26.100000000000005"/>
  </r>
  <r>
    <s v="SBG - Desktop"/>
    <x v="2"/>
    <s v="New Feature"/>
    <s v="DESK-2827"/>
    <s v="Change Home Page Banners back to Discount Banners"/>
    <s v="New Feature"/>
    <x v="0"/>
    <d v="2015-09-23T17:12:00"/>
    <x v="4"/>
    <x v="0"/>
    <x v="10"/>
    <n v="3"/>
    <m/>
    <n v="134.29999999999998"/>
    <n v="23.700000000000003"/>
  </r>
  <r>
    <s v="SBG - Desktop"/>
    <x v="2"/>
    <s v="New Feature"/>
    <s v="DESK-2827"/>
    <s v="Change Home Page Banners back to Discount Banners"/>
    <s v="New Feature"/>
    <x v="0"/>
    <d v="2015-09-24T09:31:00"/>
    <x v="4"/>
    <x v="0"/>
    <x v="10"/>
    <n v="4"/>
    <m/>
    <n v="134.29999999999998"/>
    <n v="23.700000000000003"/>
  </r>
  <r>
    <s v="SBG - Desktop"/>
    <x v="0"/>
    <s v="New Feature"/>
    <s v="DESK-2827"/>
    <s v="Change Home Page Banners back to Discount Banners"/>
    <s v="New Feature"/>
    <x v="0"/>
    <d v="2015-09-24T14:36:00"/>
    <x v="4"/>
    <x v="0"/>
    <x v="7"/>
    <n v="2"/>
    <m/>
    <n v="79"/>
    <n v="79"/>
  </r>
  <r>
    <s v="SBG - Desktop"/>
    <x v="4"/>
    <s v="New Feature"/>
    <s v="DESK-2827"/>
    <s v="Change Home Page Banners back to Discount Banners"/>
    <s v="New Feature"/>
    <x v="0"/>
    <d v="2015-09-28T17:18:00"/>
    <x v="4"/>
    <x v="0"/>
    <x v="13"/>
    <n v="1"/>
    <m/>
    <n v="134.29999999999998"/>
    <n v="23.700000000000003"/>
  </r>
  <r>
    <s v="SBG - Desktop"/>
    <x v="2"/>
    <s v="Bug"/>
    <s v="DESK-2828"/>
    <s v="Banner lost on TR domain"/>
    <s v="Bug"/>
    <x v="1"/>
    <d v="2015-09-23T17:14:00"/>
    <x v="4"/>
    <x v="0"/>
    <x v="18"/>
    <n v="4"/>
    <m/>
    <n v="134.29999999999998"/>
    <n v="23.700000000000003"/>
  </r>
  <r>
    <s v="SBG - Desktop"/>
    <x v="2"/>
    <s v="New Feature"/>
    <s v="DESK-2831"/>
    <s v="Prada Top Bar Campaign"/>
    <s v="New Feature"/>
    <x v="0"/>
    <d v="2015-08-17T16:16:00"/>
    <x v="3"/>
    <x v="0"/>
    <x v="10"/>
    <n v="2"/>
    <m/>
    <n v="147.9"/>
    <n v="26.100000000000005"/>
  </r>
  <r>
    <s v="SBG - Desktop"/>
    <x v="2"/>
    <s v="New Feature"/>
    <s v="DESK-2831"/>
    <s v="Prada Top Bar Campaign"/>
    <s v="New Feature"/>
    <x v="0"/>
    <d v="2015-08-19T15:17:00"/>
    <x v="3"/>
    <x v="0"/>
    <x v="10"/>
    <n v="3"/>
    <m/>
    <n v="147.9"/>
    <n v="26.100000000000005"/>
  </r>
  <r>
    <s v="SBG - Desktop"/>
    <x v="2"/>
    <s v="New Feature"/>
    <s v="DESK-2831"/>
    <s v="Prada Top Bar Campaign"/>
    <s v="New Feature"/>
    <x v="0"/>
    <d v="2015-08-26T13:18:00"/>
    <x v="3"/>
    <x v="0"/>
    <x v="10"/>
    <n v="5"/>
    <m/>
    <n v="147.9"/>
    <n v="26.100000000000005"/>
  </r>
  <r>
    <s v="SBG - Desktop"/>
    <x v="1"/>
    <s v="New Feature"/>
    <s v="DESK-2831"/>
    <s v="Prada Top Bar Campaign"/>
    <s v="New Feature"/>
    <x v="0"/>
    <d v="2015-09-21T08:12:00"/>
    <x v="4"/>
    <x v="0"/>
    <x v="21"/>
    <n v="8"/>
    <m/>
    <n v="134.29999999999998"/>
    <n v="23.700000000000003"/>
  </r>
  <r>
    <s v="SBG - Desktop"/>
    <x v="4"/>
    <s v="New Feature"/>
    <s v="DESK-2831"/>
    <s v="Prada Top Bar Campaign"/>
    <s v="New Feature"/>
    <x v="0"/>
    <d v="2015-09-28T11:42:00"/>
    <x v="4"/>
    <x v="0"/>
    <x v="13"/>
    <n v="4"/>
    <m/>
    <n v="134.29999999999998"/>
    <n v="23.700000000000003"/>
  </r>
  <r>
    <s v="SBG - Desktop"/>
    <x v="2"/>
    <s v="New Feature"/>
    <s v="DESK-2831"/>
    <s v="Prada Top Bar Campaign"/>
    <s v="New Feature"/>
    <x v="0"/>
    <d v="2015-09-28T17:11:00"/>
    <x v="4"/>
    <x v="0"/>
    <x v="10"/>
    <n v="3"/>
    <m/>
    <n v="134.29999999999998"/>
    <n v="23.700000000000003"/>
  </r>
  <r>
    <s v="SBG - Desktop"/>
    <x v="4"/>
    <s v="New Feature"/>
    <s v="DESK-2831"/>
    <s v="Prada Top Bar Campaign"/>
    <s v="New Feature"/>
    <x v="0"/>
    <d v="2015-09-28T17:18:00"/>
    <x v="4"/>
    <x v="0"/>
    <x v="13"/>
    <n v="2"/>
    <m/>
    <n v="134.29999999999998"/>
    <n v="23.700000000000003"/>
  </r>
  <r>
    <s v="SBG - Desktop"/>
    <x v="0"/>
    <s v="New Feature"/>
    <s v="DESK-2831"/>
    <s v="Prada Top Bar Campaign"/>
    <s v="New Feature"/>
    <x v="0"/>
    <d v="2015-09-28T18:22:00"/>
    <x v="4"/>
    <x v="0"/>
    <x v="7"/>
    <n v="2"/>
    <m/>
    <n v="79"/>
    <n v="79"/>
  </r>
  <r>
    <s v="SBG - Desktop"/>
    <x v="0"/>
    <s v="New Feature"/>
    <s v="DESK-2831"/>
    <s v="Prada Top Bar Campaign"/>
    <s v="New Feature"/>
    <x v="0"/>
    <d v="2015-09-29T11:45:00"/>
    <x v="4"/>
    <x v="0"/>
    <x v="7"/>
    <n v="3"/>
    <m/>
    <n v="79"/>
    <n v="79"/>
  </r>
  <r>
    <s v="SBG - Desktop"/>
    <x v="1"/>
    <s v="New Feature"/>
    <s v="DESK-2831"/>
    <s v="Prada Top Bar Campaign"/>
    <s v="New Feature"/>
    <x v="0"/>
    <d v="2015-09-29T12:39:00"/>
    <x v="4"/>
    <x v="0"/>
    <x v="21"/>
    <n v="3"/>
    <m/>
    <n v="134.29999999999998"/>
    <n v="23.700000000000003"/>
  </r>
  <r>
    <s v="SBG - Desktop"/>
    <x v="2"/>
    <s v="New Feature"/>
    <s v="DESK-2831"/>
    <s v="Prada Top Bar Campaign"/>
    <s v="New Feature"/>
    <x v="0"/>
    <d v="2015-09-29T16:39:00"/>
    <x v="4"/>
    <x v="0"/>
    <x v="10"/>
    <n v="4"/>
    <m/>
    <n v="134.29999999999998"/>
    <n v="23.700000000000003"/>
  </r>
  <r>
    <s v="SBG - Desktop"/>
    <x v="4"/>
    <s v="Improvement"/>
    <s v="DESK-2832"/>
    <s v="Enable multi auto-complete function for Algolia search"/>
    <s v="Improvement"/>
    <x v="0"/>
    <d v="2015-09-30T17:39:00"/>
    <x v="4"/>
    <x v="0"/>
    <x v="13"/>
    <n v="4"/>
    <m/>
    <n v="134.29999999999998"/>
    <n v="23.700000000000003"/>
  </r>
  <r>
    <s v="SBG - Desktop"/>
    <x v="2"/>
    <s v="Technical task"/>
    <s v="DESK-2833"/>
    <s v="DESK-2761&gt; Remove the contact lenses algolia search quick view"/>
    <s v="Technical task"/>
    <x v="0"/>
    <d v="2015-09-29T21:40:00"/>
    <x v="4"/>
    <x v="0"/>
    <x v="11"/>
    <n v="3"/>
    <m/>
    <n v="134.29999999999998"/>
    <n v="23.700000000000003"/>
  </r>
  <r>
    <s v="SBG - Desktop"/>
    <x v="2"/>
    <s v="Task"/>
    <s v="DESK-2834"/>
    <s v="Brand Banner Update Batch 3"/>
    <s v="Task"/>
    <x v="0"/>
    <d v="2015-09-16T16:23:00"/>
    <x v="4"/>
    <x v="0"/>
    <x v="10"/>
    <n v="2"/>
    <m/>
    <n v="134.29999999999998"/>
    <n v="23.700000000000003"/>
  </r>
  <r>
    <s v="SBG - Desktop"/>
    <x v="2"/>
    <s v="Task"/>
    <s v="DESK-2834"/>
    <s v="Brand Banner Update Batch 3"/>
    <s v="Task"/>
    <x v="0"/>
    <d v="2015-09-17T15:24:00"/>
    <x v="4"/>
    <x v="0"/>
    <x v="10"/>
    <n v="3"/>
    <m/>
    <n v="134.29999999999998"/>
    <n v="23.700000000000003"/>
  </r>
  <r>
    <s v="SBG - Desktop"/>
    <x v="4"/>
    <s v="New Feature"/>
    <s v="DESK-2835"/>
    <s v="Crossdevices checkout"/>
    <s v="New Feature"/>
    <x v="0"/>
    <d v="2015-09-29T12:43:00"/>
    <x v="4"/>
    <x v="0"/>
    <x v="13"/>
    <n v="3"/>
    <m/>
    <n v="134.29999999999998"/>
    <n v="23.700000000000003"/>
  </r>
  <r>
    <s v="SBG - Desktop"/>
    <x v="4"/>
    <s v="New Feature"/>
    <s v="DESK-2835"/>
    <s v="Crossdevices checkout"/>
    <s v="New Feature"/>
    <x v="0"/>
    <d v="2015-09-29T17:39:00"/>
    <x v="4"/>
    <x v="0"/>
    <x v="13"/>
    <n v="1"/>
    <m/>
    <n v="134.29999999999998"/>
    <n v="23.700000000000003"/>
  </r>
  <r>
    <s v="SBG - Desktop"/>
    <x v="1"/>
    <s v="Bug"/>
    <s v="DESK-2846"/>
    <s v="reward bugs that users can use both rewards and coupon code"/>
    <s v="Bug"/>
    <x v="1"/>
    <d v="2015-09-29T08:02:00"/>
    <x v="4"/>
    <x v="0"/>
    <x v="23"/>
    <n v="8"/>
    <m/>
    <n v="134.29999999999998"/>
    <n v="23.700000000000003"/>
  </r>
  <r>
    <s v="SBG - Desktop"/>
    <x v="1"/>
    <s v="New Feature"/>
    <s v="DESK-2863"/>
    <s v="RAY-BAN RX EUROPE TOP BAR CAMPAIGN"/>
    <s v="New Feature"/>
    <x v="0"/>
    <d v="2015-08-14T08:05:00"/>
    <x v="3"/>
    <x v="0"/>
    <x v="23"/>
    <n v="8"/>
    <m/>
    <n v="147.9"/>
    <n v="26.100000000000005"/>
  </r>
  <r>
    <s v="SBG - Desktop"/>
    <x v="1"/>
    <s v="New Feature"/>
    <s v="DESK-2863"/>
    <s v="RAY-BAN RX EUROPE TOP BAR CAMPAIGN"/>
    <s v="New Feature"/>
    <x v="0"/>
    <d v="2015-08-18T08:04:00"/>
    <x v="3"/>
    <x v="0"/>
    <x v="23"/>
    <n v="8"/>
    <m/>
    <n v="147.9"/>
    <n v="26.100000000000005"/>
  </r>
  <r>
    <s v="SBG - Desktop"/>
    <x v="1"/>
    <s v="New Feature"/>
    <s v="DESK-2863"/>
    <s v="RAY-BAN RX EUROPE TOP BAR CAMPAIGN"/>
    <s v="New Feature"/>
    <x v="0"/>
    <d v="2015-08-21T08:05:00"/>
    <x v="3"/>
    <x v="0"/>
    <x v="23"/>
    <n v="8"/>
    <m/>
    <n v="147.9"/>
    <n v="26.100000000000005"/>
  </r>
  <r>
    <s v="SBG - Desktop"/>
    <x v="1"/>
    <s v="New Feature"/>
    <s v="DESK-2863"/>
    <s v="RAY-BAN RX EUROPE TOP BAR CAMPAIGN"/>
    <s v="New Feature"/>
    <x v="0"/>
    <d v="2015-08-25T08:04:00"/>
    <x v="3"/>
    <x v="0"/>
    <x v="23"/>
    <n v="8"/>
    <m/>
    <n v="147.9"/>
    <n v="26.100000000000005"/>
  </r>
  <r>
    <s v="SBG - Desktop"/>
    <x v="1"/>
    <s v="New Feature"/>
    <s v="DESK-2863"/>
    <s v="RAY-BAN RX EUROPE TOP BAR CAMPAIGN"/>
    <s v="New Feature"/>
    <x v="0"/>
    <d v="2015-08-27T08:04:00"/>
    <x v="3"/>
    <x v="0"/>
    <x v="23"/>
    <n v="8"/>
    <m/>
    <n v="147.9"/>
    <n v="26.100000000000005"/>
  </r>
  <r>
    <s v="SBG - Desktop"/>
    <x v="1"/>
    <s v="New Feature"/>
    <s v="DESK-2863"/>
    <s v="RAY-BAN RX EUROPE TOP BAR CAMPAIGN"/>
    <s v="New Feature"/>
    <x v="0"/>
    <d v="2015-09-01T08:04:00"/>
    <x v="4"/>
    <x v="0"/>
    <x v="23"/>
    <n v="8"/>
    <m/>
    <n v="134.29999999999998"/>
    <n v="23.700000000000003"/>
  </r>
  <r>
    <s v="SBG - Desktop"/>
    <x v="1"/>
    <s v="New Feature"/>
    <s v="DESK-2863"/>
    <s v="RAY-BAN RX EUROPE TOP BAR CAMPAIGN"/>
    <s v="New Feature"/>
    <x v="0"/>
    <d v="2015-09-04T08:04:00"/>
    <x v="4"/>
    <x v="0"/>
    <x v="23"/>
    <n v="8"/>
    <m/>
    <n v="134.29999999999998"/>
    <n v="23.700000000000003"/>
  </r>
  <r>
    <s v="SBG - Desktop"/>
    <x v="1"/>
    <s v="New Feature"/>
    <s v="DESK-2863"/>
    <s v="RAY-BAN RX EUROPE TOP BAR CAMPAIGN"/>
    <s v="New Feature"/>
    <x v="0"/>
    <d v="2015-09-07T11:03:00"/>
    <x v="4"/>
    <x v="0"/>
    <x v="23"/>
    <n v="5"/>
    <m/>
    <n v="134.29999999999998"/>
    <n v="23.700000000000003"/>
  </r>
  <r>
    <s v="SBG - Desktop"/>
    <x v="1"/>
    <s v="New Feature"/>
    <s v="DESK-2863"/>
    <s v="RAY-BAN RX EUROPE TOP BAR CAMPAIGN"/>
    <s v="New Feature"/>
    <x v="0"/>
    <d v="2015-09-09T08:03:00"/>
    <x v="4"/>
    <x v="0"/>
    <x v="23"/>
    <n v="8"/>
    <m/>
    <n v="134.29999999999998"/>
    <n v="23.700000000000003"/>
  </r>
  <r>
    <s v="SBG - Desktop"/>
    <x v="1"/>
    <s v="New Feature"/>
    <s v="DESK-2863"/>
    <s v="RAY-BAN RX EUROPE TOP BAR CAMPAIGN"/>
    <s v="New Feature"/>
    <x v="0"/>
    <d v="2015-09-15T08:02:00"/>
    <x v="4"/>
    <x v="0"/>
    <x v="23"/>
    <n v="8"/>
    <m/>
    <n v="134.29999999999998"/>
    <n v="23.700000000000003"/>
  </r>
  <r>
    <s v="SBG - Desktop"/>
    <x v="1"/>
    <s v="New Feature"/>
    <s v="DESK-2863"/>
    <s v="RAY-BAN RX EUROPE TOP BAR CAMPAIGN"/>
    <s v="New Feature"/>
    <x v="0"/>
    <d v="2015-09-18T11:03:00"/>
    <x v="4"/>
    <x v="0"/>
    <x v="23"/>
    <n v="5"/>
    <m/>
    <n v="134.29999999999998"/>
    <n v="23.700000000000003"/>
  </r>
  <r>
    <s v="SBG - Desktop"/>
    <x v="1"/>
    <s v="New Feature"/>
    <s v="DESK-2863"/>
    <s v="RAY-BAN RX EUROPE TOP BAR CAMPAIGN"/>
    <s v="New Feature"/>
    <x v="0"/>
    <d v="2015-09-23T08:02:00"/>
    <x v="4"/>
    <x v="0"/>
    <x v="23"/>
    <n v="8"/>
    <m/>
    <n v="134.29999999999998"/>
    <n v="23.700000000000003"/>
  </r>
  <r>
    <s v="SBG - Desktop"/>
    <x v="1"/>
    <s v="New Feature"/>
    <s v="DESK-2863"/>
    <s v="RAY-BAN RX EUROPE TOP BAR CAMPAIGN"/>
    <s v="New Feature"/>
    <x v="0"/>
    <d v="2015-09-25T08:02:00"/>
    <x v="4"/>
    <x v="0"/>
    <x v="23"/>
    <n v="8"/>
    <m/>
    <n v="134.29999999999998"/>
    <n v="23.700000000000003"/>
  </r>
  <r>
    <s v="SBG - Desktop"/>
    <x v="0"/>
    <s v="Bug"/>
    <s v="DESK-2866"/>
    <s v="Desktop UX/ Content Issues"/>
    <s v="Bug"/>
    <x v="1"/>
    <d v="2015-09-01T10:08:00"/>
    <x v="4"/>
    <x v="0"/>
    <x v="24"/>
    <n v="8"/>
    <m/>
    <n v="79"/>
    <n v="79"/>
  </r>
  <r>
    <s v="SBG - Desktop"/>
    <x v="0"/>
    <s v="Bug"/>
    <s v="DESK-2866"/>
    <s v="Desktop UX/ Content Issues"/>
    <s v="Bug"/>
    <x v="1"/>
    <d v="2015-09-02T10:08:00"/>
    <x v="4"/>
    <x v="0"/>
    <x v="24"/>
    <n v="8"/>
    <m/>
    <n v="79"/>
    <n v="79"/>
  </r>
  <r>
    <s v="SBG - Desktop"/>
    <x v="0"/>
    <s v="Bug"/>
    <s v="DESK-2866"/>
    <s v="Desktop UX/ Content Issues"/>
    <s v="Bug"/>
    <x v="1"/>
    <d v="2015-09-09T11:12:00"/>
    <x v="4"/>
    <x v="0"/>
    <x v="24"/>
    <n v="7"/>
    <m/>
    <n v="79"/>
    <n v="79"/>
  </r>
  <r>
    <s v="SBG - Desktop"/>
    <x v="0"/>
    <s v="Bug"/>
    <s v="DESK-2866"/>
    <s v="Desktop UX/ Content Issues"/>
    <s v="Bug"/>
    <x v="1"/>
    <d v="2015-09-14T10:09:00"/>
    <x v="4"/>
    <x v="0"/>
    <x v="24"/>
    <n v="8"/>
    <m/>
    <n v="79"/>
    <n v="79"/>
  </r>
  <r>
    <s v="SBG - Desktop"/>
    <x v="0"/>
    <s v="Bug"/>
    <s v="DESK-2866"/>
    <s v="Desktop UX/ Content Issues"/>
    <s v="Bug"/>
    <x v="1"/>
    <d v="2015-09-15T10:09:00"/>
    <x v="4"/>
    <x v="0"/>
    <x v="24"/>
    <n v="8"/>
    <m/>
    <n v="79"/>
    <n v="79"/>
  </r>
  <r>
    <s v="SBG - Desktop"/>
    <x v="0"/>
    <s v="Bug"/>
    <s v="DESK-2866"/>
    <s v="Desktop UX/ Content Issues"/>
    <s v="Bug"/>
    <x v="1"/>
    <d v="2015-09-17T10:09:00"/>
    <x v="4"/>
    <x v="0"/>
    <x v="24"/>
    <n v="8"/>
    <m/>
    <n v="79"/>
    <n v="79"/>
  </r>
  <r>
    <s v="SBG - Desktop"/>
    <x v="0"/>
    <s v="Bug"/>
    <s v="DESK-2866"/>
    <s v="Desktop UX/ Content Issues"/>
    <s v="Bug"/>
    <x v="1"/>
    <d v="2015-09-18T10:10:00"/>
    <x v="4"/>
    <x v="0"/>
    <x v="24"/>
    <n v="8"/>
    <m/>
    <n v="79"/>
    <n v="79"/>
  </r>
  <r>
    <s v="SBG - Desktop"/>
    <x v="0"/>
    <s v="Bug"/>
    <s v="DESK-2866"/>
    <s v="Desktop UX/ Content Issues"/>
    <s v="Bug"/>
    <x v="1"/>
    <d v="2015-09-24T10:08:00"/>
    <x v="4"/>
    <x v="0"/>
    <x v="24"/>
    <n v="8"/>
    <m/>
    <n v="79"/>
    <n v="79"/>
  </r>
  <r>
    <s v="SBG - Desktop"/>
    <x v="0"/>
    <s v="Bug"/>
    <s v="DESK-2866"/>
    <s v="Desktop UX/ Content Issues"/>
    <s v="Bug"/>
    <x v="1"/>
    <d v="2015-09-25T10:08:00"/>
    <x v="4"/>
    <x v="0"/>
    <x v="24"/>
    <n v="8"/>
    <m/>
    <n v="79"/>
    <n v="79"/>
  </r>
  <r>
    <s v="SBG - Desktop"/>
    <x v="0"/>
    <s v="Bug"/>
    <s v="DESK-2866"/>
    <s v="Desktop UX/ Content Issues"/>
    <s v="Bug"/>
    <x v="1"/>
    <d v="2015-09-30T10:09:00"/>
    <x v="4"/>
    <x v="0"/>
    <x v="24"/>
    <n v="8"/>
    <m/>
    <n v="79"/>
    <n v="79"/>
  </r>
  <r>
    <s v="SBG - Desktop"/>
    <x v="1"/>
    <s v="New Feature"/>
    <s v="DESK-2881"/>
    <s v="Luxottica APAC Campaign Top Bar"/>
    <s v="New Feature"/>
    <x v="0"/>
    <d v="2015-08-11T08:05:00"/>
    <x v="3"/>
    <x v="0"/>
    <x v="23"/>
    <n v="8"/>
    <m/>
    <n v="147.9"/>
    <n v="26.100000000000005"/>
  </r>
  <r>
    <s v="SBG - Desktop"/>
    <x v="1"/>
    <s v="New Feature"/>
    <s v="DESK-2881"/>
    <s v="Luxottica APAC Campaign Top Bar"/>
    <s v="New Feature"/>
    <x v="0"/>
    <d v="2015-08-19T08:05:00"/>
    <x v="3"/>
    <x v="0"/>
    <x v="23"/>
    <n v="8"/>
    <m/>
    <n v="147.9"/>
    <n v="26.100000000000005"/>
  </r>
  <r>
    <s v="SBG - Desktop"/>
    <x v="1"/>
    <s v="New Feature"/>
    <s v="DESK-2881"/>
    <s v="Luxottica APAC Campaign Top Bar"/>
    <s v="New Feature"/>
    <x v="0"/>
    <d v="2015-08-26T08:04:00"/>
    <x v="3"/>
    <x v="0"/>
    <x v="23"/>
    <n v="8"/>
    <m/>
    <n v="147.9"/>
    <n v="26.100000000000005"/>
  </r>
  <r>
    <s v="SBG - Desktop"/>
    <x v="1"/>
    <s v="New Feature"/>
    <s v="DESK-2881"/>
    <s v="Luxottica APAC Campaign Top Bar"/>
    <s v="New Feature"/>
    <x v="0"/>
    <d v="2015-08-28T08:04:00"/>
    <x v="3"/>
    <x v="0"/>
    <x v="23"/>
    <n v="8"/>
    <m/>
    <n v="147.9"/>
    <n v="26.100000000000005"/>
  </r>
  <r>
    <s v="SBG - Desktop"/>
    <x v="1"/>
    <s v="New Feature"/>
    <s v="DESK-2881"/>
    <s v="Luxottica APAC Campaign Top Bar"/>
    <s v="New Feature"/>
    <x v="0"/>
    <d v="2015-09-02T08:04:00"/>
    <x v="4"/>
    <x v="0"/>
    <x v="23"/>
    <n v="8"/>
    <m/>
    <n v="134.29999999999998"/>
    <n v="23.700000000000003"/>
  </r>
  <r>
    <s v="SBG - Desktop"/>
    <x v="1"/>
    <s v="New Feature"/>
    <s v="DESK-2881"/>
    <s v="Luxottica APAC Campaign Top Bar"/>
    <s v="New Feature"/>
    <x v="0"/>
    <d v="2015-09-08T08:03:00"/>
    <x v="4"/>
    <x v="0"/>
    <x v="23"/>
    <n v="8"/>
    <m/>
    <n v="134.29999999999998"/>
    <n v="23.700000000000003"/>
  </r>
  <r>
    <s v="SBG - Desktop"/>
    <x v="1"/>
    <s v="New Feature"/>
    <s v="DESK-2881"/>
    <s v="Luxottica APAC Campaign Top Bar"/>
    <s v="New Feature"/>
    <x v="0"/>
    <d v="2015-09-11T08:03:00"/>
    <x v="4"/>
    <x v="0"/>
    <x v="23"/>
    <n v="8"/>
    <m/>
    <n v="134.29999999999998"/>
    <n v="23.700000000000003"/>
  </r>
  <r>
    <s v="SBG - Desktop"/>
    <x v="1"/>
    <s v="New Feature"/>
    <s v="DESK-2881"/>
    <s v="Luxottica APAC Campaign Top Bar"/>
    <s v="New Feature"/>
    <x v="0"/>
    <d v="2015-09-14T08:02:00"/>
    <x v="4"/>
    <x v="0"/>
    <x v="23"/>
    <n v="8"/>
    <m/>
    <n v="134.29999999999998"/>
    <n v="23.700000000000003"/>
  </r>
  <r>
    <s v="SBG - Desktop"/>
    <x v="1"/>
    <s v="New Feature"/>
    <s v="DESK-2881"/>
    <s v="Luxottica APAC Campaign Top Bar"/>
    <s v="New Feature"/>
    <x v="0"/>
    <d v="2015-09-18T13:03:00"/>
    <x v="4"/>
    <x v="0"/>
    <x v="23"/>
    <n v="3"/>
    <m/>
    <n v="134.29999999999998"/>
    <n v="23.700000000000003"/>
  </r>
  <r>
    <s v="SBG - Desktop"/>
    <x v="1"/>
    <s v="New Feature"/>
    <s v="DESK-2881"/>
    <s v="Luxottica APAC Campaign Top Bar"/>
    <s v="New Feature"/>
    <x v="0"/>
    <d v="2015-09-22T08:02:00"/>
    <x v="4"/>
    <x v="0"/>
    <x v="23"/>
    <n v="8"/>
    <m/>
    <n v="134.29999999999998"/>
    <n v="23.700000000000003"/>
  </r>
  <r>
    <s v="SBG - Desktop"/>
    <x v="1"/>
    <s v="New Feature"/>
    <s v="DESK-2881"/>
    <s v="Luxottica APAC Campaign Top Bar"/>
    <s v="New Feature"/>
    <x v="0"/>
    <d v="2015-09-24T08:02:00"/>
    <x v="4"/>
    <x v="0"/>
    <x v="23"/>
    <n v="8"/>
    <m/>
    <n v="134.29999999999998"/>
    <n v="23.700000000000003"/>
  </r>
  <r>
    <s v="SBG - Desktop"/>
    <x v="1"/>
    <s v="New Feature"/>
    <s v="DESK-2881"/>
    <s v="Luxottica APAC Campaign Top Bar"/>
    <s v="New Feature"/>
    <x v="0"/>
    <d v="2015-09-30T08:02:00"/>
    <x v="4"/>
    <x v="0"/>
    <x v="23"/>
    <n v="8"/>
    <m/>
    <n v="134.29999999999998"/>
    <n v="23.700000000000003"/>
  </r>
  <r>
    <s v="SBG - Desktop"/>
    <x v="2"/>
    <s v="New Feature"/>
    <s v="DESK-3078"/>
    <s v="Carrera Frames Top Bar Promotion - IT Domain"/>
    <s v="New Feature"/>
    <x v="0"/>
    <d v="2015-09-14T14:23:00"/>
    <x v="4"/>
    <x v="0"/>
    <x v="10"/>
    <n v="4"/>
    <m/>
    <n v="134.29999999999998"/>
    <n v="23.700000000000003"/>
  </r>
  <r>
    <s v="SBG - Desktop"/>
    <x v="2"/>
    <s v="New Feature"/>
    <s v="DESK-3078"/>
    <s v="Carrera Frames Top Bar Promotion - IT Domain"/>
    <s v="New Feature"/>
    <x v="0"/>
    <d v="2015-09-15T14:23:00"/>
    <x v="4"/>
    <x v="0"/>
    <x v="10"/>
    <n v="4"/>
    <m/>
    <n v="134.29999999999998"/>
    <n v="23.700000000000003"/>
  </r>
  <r>
    <s v="SBG - Desktop"/>
    <x v="2"/>
    <s v="New Feature"/>
    <s v="DESK-3189"/>
    <s v="SmartBuy Collection Top Bar Promotion"/>
    <s v="New Feature"/>
    <x v="0"/>
    <d v="2015-09-11T13:23:00"/>
    <x v="4"/>
    <x v="0"/>
    <x v="10"/>
    <n v="5"/>
    <m/>
    <n v="134.29999999999998"/>
    <n v="23.700000000000003"/>
  </r>
  <r>
    <s v="SBG - Desktop"/>
    <x v="1"/>
    <s v="Technical task"/>
    <s v="DESK-3254"/>
    <s v="DESK-3216&gt; Test case design and execution"/>
    <s v="Technical task"/>
    <x v="0"/>
    <d v="2015-09-23T11:12:00"/>
    <x v="4"/>
    <x v="0"/>
    <x v="21"/>
    <n v="5"/>
    <m/>
    <n v="134.29999999999998"/>
    <n v="23.700000000000003"/>
  </r>
  <r>
    <s v="SBG - Desktop"/>
    <x v="1"/>
    <s v="Technical task"/>
    <s v="DESK-3254"/>
    <s v="DESK-3216&gt; Test case design and execution"/>
    <s v="Technical task"/>
    <x v="0"/>
    <d v="2015-09-24T08:12:00"/>
    <x v="4"/>
    <x v="0"/>
    <x v="21"/>
    <n v="8"/>
    <m/>
    <n v="134.29999999999998"/>
    <n v="23.700000000000003"/>
  </r>
  <r>
    <s v="SBG - Desktop"/>
    <x v="1"/>
    <s v="Technical task"/>
    <s v="DESK-3254"/>
    <s v="DESK-3216&gt; Test case design and execution"/>
    <s v="Technical task"/>
    <x v="0"/>
    <d v="2015-09-28T08:12:00"/>
    <x v="4"/>
    <x v="0"/>
    <x v="21"/>
    <n v="8"/>
    <m/>
    <n v="134.29999999999998"/>
    <n v="23.700000000000003"/>
  </r>
  <r>
    <s v="SBG - Desktop"/>
    <x v="1"/>
    <s v="Technical task"/>
    <s v="DESK-3254"/>
    <s v="DESK-3216&gt; Test case design and execution"/>
    <s v="Technical task"/>
    <x v="0"/>
    <d v="2015-09-30T08:12:00"/>
    <x v="4"/>
    <x v="0"/>
    <x v="21"/>
    <n v="8"/>
    <m/>
    <n v="134.29999999999998"/>
    <n v="23.700000000000003"/>
  </r>
  <r>
    <s v="SBG - Desktop"/>
    <x v="0"/>
    <s v="Bug"/>
    <s v="DESK-3326"/>
    <s v="Font style isn't same with the rest of other fonts."/>
    <s v="Bug"/>
    <x v="1"/>
    <d v="2015-09-29T10:24:00"/>
    <x v="4"/>
    <x v="0"/>
    <x v="19"/>
    <n v="0.5"/>
    <m/>
    <n v="79"/>
    <n v="79"/>
  </r>
  <r>
    <s v="SBG - Desktop"/>
    <x v="2"/>
    <s v="Bug"/>
    <s v="DESK-3333"/>
    <s v="Change httpd.conf file in Apache server to set in browser cache limit"/>
    <s v="Bug"/>
    <x v="1"/>
    <d v="2015-08-26T11:32:00"/>
    <x v="3"/>
    <x v="0"/>
    <x v="2"/>
    <n v="2"/>
    <m/>
    <n v="147.9"/>
    <n v="26.100000000000005"/>
  </r>
  <r>
    <s v="SBG - Desktop"/>
    <x v="4"/>
    <s v="Bug"/>
    <s v="DESK-3354"/>
    <s v="Payment Failure on MY, CN, ID"/>
    <s v="Bug"/>
    <x v="1"/>
    <d v="2015-08-04T11:27:00"/>
    <x v="3"/>
    <x v="0"/>
    <x v="13"/>
    <n v="3"/>
    <m/>
    <n v="147.9"/>
    <n v="26.100000000000005"/>
  </r>
  <r>
    <s v="SBG - Desktop"/>
    <x v="0"/>
    <s v="Bug"/>
    <s v="DESK-3363"/>
    <s v="THE ORDER THANKS PAGE---The header moved follow the drop-down box"/>
    <s v="Bug"/>
    <x v="1"/>
    <d v="2015-08-31T12:48:00"/>
    <x v="3"/>
    <x v="0"/>
    <x v="19"/>
    <n v="2"/>
    <m/>
    <n v="87"/>
    <n v="87"/>
  </r>
  <r>
    <s v="SBG - Desktop"/>
    <x v="1"/>
    <s v="Bug"/>
    <s v="DESK-3375"/>
    <s v="Product Image Issues"/>
    <s v="Bug"/>
    <x v="1"/>
    <d v="2015-08-18T17:59:00"/>
    <x v="3"/>
    <x v="0"/>
    <x v="8"/>
    <n v="0.5"/>
    <m/>
    <n v="147.9"/>
    <n v="26.100000000000005"/>
  </r>
  <r>
    <s v="SBG - Desktop"/>
    <x v="2"/>
    <s v="Bug"/>
    <s v="DESK-3402"/>
    <s v="Quick View for Algolia search issue"/>
    <s v="Bug"/>
    <x v="1"/>
    <d v="2015-09-25T17:43:00"/>
    <x v="4"/>
    <x v="0"/>
    <x v="11"/>
    <n v="1"/>
    <m/>
    <n v="134.29999999999998"/>
    <n v="23.700000000000003"/>
  </r>
  <r>
    <s v="SBG - Desktop"/>
    <x v="2"/>
    <s v="Bug"/>
    <s v="DESK-3402"/>
    <s v="Quick View for Algolia search issue"/>
    <s v="Bug"/>
    <x v="1"/>
    <d v="2015-09-29T09:40:00"/>
    <x v="4"/>
    <x v="0"/>
    <x v="11"/>
    <n v="4"/>
    <m/>
    <n v="134.29999999999998"/>
    <n v="23.700000000000003"/>
  </r>
  <r>
    <s v="SBG - Desktop"/>
    <x v="1"/>
    <s v="Bug"/>
    <s v="DESK-3409"/>
    <s v="Remove H1 from banners"/>
    <s v="Bug"/>
    <x v="1"/>
    <d v="2015-09-14T11:58:00"/>
    <x v="4"/>
    <x v="0"/>
    <x v="8"/>
    <n v="0.5"/>
    <m/>
    <n v="134.29999999999998"/>
    <n v="23.700000000000003"/>
  </r>
  <r>
    <s v="SBG - Desktop"/>
    <x v="2"/>
    <s v="Bug"/>
    <s v="DESK-3415"/>
    <s v="Fast shipping logo is not translated on grid page."/>
    <s v="Bug"/>
    <x v="1"/>
    <d v="2015-09-23T16:01:00"/>
    <x v="4"/>
    <x v="0"/>
    <x v="18"/>
    <n v="4"/>
    <m/>
    <n v="134.29999999999998"/>
    <n v="23.700000000000003"/>
  </r>
  <r>
    <s v="SBG - Desktop"/>
    <x v="2"/>
    <s v="Bug"/>
    <s v="DESK-3451"/>
    <s v="Invalid Size Popup"/>
    <s v="Bug"/>
    <x v="1"/>
    <d v="2015-08-10T11:01:00"/>
    <x v="3"/>
    <x v="0"/>
    <x v="2"/>
    <n v="4"/>
    <m/>
    <n v="147.9"/>
    <n v="26.100000000000005"/>
  </r>
  <r>
    <s v="SBG - Desktop"/>
    <x v="1"/>
    <s v="Bug"/>
    <s v="DESK-3451"/>
    <s v="Invalid Size Popup"/>
    <s v="Bug"/>
    <x v="1"/>
    <d v="2015-08-11T16:12:00"/>
    <x v="3"/>
    <x v="0"/>
    <x v="21"/>
    <n v="3"/>
    <m/>
    <n v="147.9"/>
    <n v="26.100000000000005"/>
  </r>
  <r>
    <s v="SBG - Desktop"/>
    <x v="1"/>
    <s v="Bug"/>
    <s v="DESK-3451"/>
    <s v="Invalid Size Popup"/>
    <s v="Bug"/>
    <x v="1"/>
    <d v="2015-08-13T08:14:00"/>
    <x v="3"/>
    <x v="0"/>
    <x v="21"/>
    <n v="8"/>
    <m/>
    <n v="147.9"/>
    <n v="26.100000000000005"/>
  </r>
  <r>
    <s v="SBG - Desktop"/>
    <x v="1"/>
    <s v="Bug"/>
    <s v="DESK-3473"/>
    <s v="cannot click on IPAD"/>
    <s v="Bug"/>
    <x v="1"/>
    <d v="2015-09-28T10:16:00"/>
    <x v="4"/>
    <x v="0"/>
    <x v="8"/>
    <n v="1"/>
    <m/>
    <n v="134.29999999999998"/>
    <n v="23.700000000000003"/>
  </r>
  <r>
    <s v="SBG - Desktop"/>
    <x v="2"/>
    <s v="Bug"/>
    <s v="DESK-3488"/>
    <s v="Session timeout when click &quot;Back&quot; button on browser on check out page."/>
    <s v="Bug"/>
    <x v="1"/>
    <d v="2015-08-11T15:21:00"/>
    <x v="3"/>
    <x v="0"/>
    <x v="2"/>
    <n v="3"/>
    <m/>
    <n v="147.9"/>
    <n v="26.100000000000005"/>
  </r>
  <r>
    <s v="SBG - Desktop"/>
    <x v="1"/>
    <s v="Bug"/>
    <s v="DESK-3488"/>
    <s v="Session timeout when click &quot;Back&quot; button on browser on check out page."/>
    <s v="Bug"/>
    <x v="1"/>
    <d v="2015-08-12T18:56:00"/>
    <x v="3"/>
    <x v="0"/>
    <x v="8"/>
    <n v="3"/>
    <m/>
    <n v="147.9"/>
    <n v="26.100000000000005"/>
  </r>
  <r>
    <s v="SBG - Desktop"/>
    <x v="2"/>
    <s v="Bug"/>
    <s v="DESK-3544"/>
    <s v="WORLDPAY payment system not working in NZ"/>
    <s v="Bug"/>
    <x v="1"/>
    <d v="2015-08-14T13:42:00"/>
    <x v="3"/>
    <x v="0"/>
    <x v="2"/>
    <n v="8"/>
    <m/>
    <n v="147.9"/>
    <n v="26.100000000000005"/>
  </r>
  <r>
    <s v="SBG - Desktop"/>
    <x v="2"/>
    <s v="Bug"/>
    <s v="DESK-3544"/>
    <s v="WORLDPAY payment system not working in NZ"/>
    <s v="Bug"/>
    <x v="1"/>
    <d v="2015-08-18T09:47:00"/>
    <x v="3"/>
    <x v="0"/>
    <x v="2"/>
    <n v="8"/>
    <m/>
    <n v="147.9"/>
    <n v="26.100000000000005"/>
  </r>
  <r>
    <s v="SBG - Desktop"/>
    <x v="2"/>
    <s v="Bug"/>
    <s v="DESK-3587"/>
    <s v="Contact Lens redirect issue German languages"/>
    <s v="Bug"/>
    <x v="1"/>
    <d v="2015-08-04T14:00:00"/>
    <x v="3"/>
    <x v="0"/>
    <x v="11"/>
    <n v="1.5"/>
    <m/>
    <n v="147.9"/>
    <n v="26.100000000000005"/>
  </r>
  <r>
    <s v="SBG - Desktop"/>
    <x v="2"/>
    <s v="Bug"/>
    <s v="DESK-3587"/>
    <s v="Contact Lens redirect issue German languages"/>
    <s v="Bug"/>
    <x v="1"/>
    <d v="2015-08-04T15:30:00"/>
    <x v="3"/>
    <x v="0"/>
    <x v="11"/>
    <n v="1"/>
    <m/>
    <n v="147.9"/>
    <n v="26.100000000000005"/>
  </r>
  <r>
    <s v="SBG - Desktop"/>
    <x v="2"/>
    <s v="Bug"/>
    <s v="DESK-3587"/>
    <s v="Contact Lens redirect issue German languages"/>
    <s v="Bug"/>
    <x v="1"/>
    <d v="2015-08-05T17:30:00"/>
    <x v="3"/>
    <x v="0"/>
    <x v="11"/>
    <n v="1.5"/>
    <m/>
    <n v="147.9"/>
    <n v="26.100000000000005"/>
  </r>
  <r>
    <s v="SBG - Desktop"/>
    <x v="2"/>
    <s v="Bug"/>
    <s v="DESK-3587"/>
    <s v="Contact Lens redirect issue German languages"/>
    <s v="Bug"/>
    <x v="1"/>
    <d v="2015-08-24T15:16:00"/>
    <x v="3"/>
    <x v="0"/>
    <x v="11"/>
    <n v="2"/>
    <m/>
    <n v="147.9"/>
    <n v="26.100000000000005"/>
  </r>
  <r>
    <s v="SBG - Desktop"/>
    <x v="1"/>
    <s v="Bug"/>
    <s v="DESK-3591"/>
    <s v="cx A (gmccubben@gmail.com) does not receive reward after successfully referred to cx B (steve.mccubben@Syd.com.au"/>
    <s v="Bug"/>
    <x v="1"/>
    <d v="2015-08-18T12:49:00"/>
    <x v="3"/>
    <x v="0"/>
    <x v="1"/>
    <n v="1"/>
    <m/>
    <n v="147.9"/>
    <n v="26.100000000000005"/>
  </r>
  <r>
    <s v="SBG - Desktop"/>
    <x v="2"/>
    <s v="Bug"/>
    <s v="DESK-3595"/>
    <s v="Please remove Lenskit from the Cart Page on SBG-USA"/>
    <s v="Bug"/>
    <x v="1"/>
    <d v="2015-08-03T08:54:00"/>
    <x v="3"/>
    <x v="0"/>
    <x v="22"/>
    <n v="8"/>
    <m/>
    <n v="147.9"/>
    <n v="26.100000000000005"/>
  </r>
  <r>
    <s v="SBG - Desktop"/>
    <x v="4"/>
    <s v="Bug"/>
    <s v="DESK-3595"/>
    <s v="Please remove Lenskit from the Cart Page on SBG-USA"/>
    <s v="Bug"/>
    <x v="1"/>
    <d v="2015-08-10T11:08:00"/>
    <x v="3"/>
    <x v="0"/>
    <x v="13"/>
    <n v="2"/>
    <m/>
    <n v="147.9"/>
    <n v="26.100000000000005"/>
  </r>
  <r>
    <s v="SBG - Desktop"/>
    <x v="1"/>
    <s v="Bug"/>
    <s v="DESK-3626"/>
    <s v="CN bugs fix"/>
    <s v="Bug"/>
    <x v="1"/>
    <d v="2015-09-29T19:18:00"/>
    <x v="4"/>
    <x v="0"/>
    <x v="8"/>
    <n v="2"/>
    <m/>
    <n v="134.29999999999998"/>
    <n v="23.700000000000003"/>
  </r>
  <r>
    <s v="SBG - Desktop"/>
    <x v="2"/>
    <s v="Bug"/>
    <s v="DESK-3630"/>
    <s v="Alipay missing order issue"/>
    <s v="Bug"/>
    <x v="1"/>
    <d v="2015-08-27T11:21:00"/>
    <x v="3"/>
    <x v="0"/>
    <x v="2"/>
    <n v="5"/>
    <m/>
    <n v="147.9"/>
    <n v="26.100000000000005"/>
  </r>
  <r>
    <s v="SBG - Desktop"/>
    <x v="2"/>
    <s v="Bug"/>
    <s v="DESK-3630"/>
    <s v="Alipay missing order issue"/>
    <s v="Bug"/>
    <x v="1"/>
    <d v="2015-08-31T15:49:00"/>
    <x v="3"/>
    <x v="0"/>
    <x v="2"/>
    <n v="3"/>
    <m/>
    <n v="147.9"/>
    <n v="26.100000000000005"/>
  </r>
  <r>
    <s v="SBG - Desktop"/>
    <x v="0"/>
    <s v="Bug"/>
    <s v="DESK-3646"/>
    <s v="Optimize Desktop page"/>
    <s v="Bug"/>
    <x v="1"/>
    <d v="2015-08-03T18:32:00"/>
    <x v="3"/>
    <x v="0"/>
    <x v="7"/>
    <n v="5"/>
    <m/>
    <n v="87"/>
    <n v="87"/>
  </r>
  <r>
    <s v="SBG - Desktop"/>
    <x v="1"/>
    <s v="Bug"/>
    <s v="DESK-3647"/>
    <s v="Criteo Tag FR Market - Issue"/>
    <s v="Bug"/>
    <x v="1"/>
    <d v="2015-08-12T11:12:00"/>
    <x v="3"/>
    <x v="0"/>
    <x v="21"/>
    <n v="1"/>
    <m/>
    <n v="147.9"/>
    <n v="26.100000000000005"/>
  </r>
  <r>
    <s v="SBG - Desktop"/>
    <x v="1"/>
    <s v="Bug"/>
    <s v="DESK-3660"/>
    <s v="Moving Kenshoo Pixel tracking code from bottom to top on Thankyou page for desktop website"/>
    <s v="Bug"/>
    <x v="1"/>
    <d v="2015-08-18T11:36:00"/>
    <x v="3"/>
    <x v="0"/>
    <x v="21"/>
    <n v="3"/>
    <m/>
    <n v="147.9"/>
    <n v="26.100000000000005"/>
  </r>
  <r>
    <s v="SBG - Desktop"/>
    <x v="2"/>
    <s v="Bug"/>
    <s v="DESK-3660"/>
    <s v="Moving Kenshoo Pixel tracking code from bottom to top on Thankyou page for desktop website"/>
    <s v="Bug"/>
    <x v="1"/>
    <d v="2015-08-19T16:56:00"/>
    <x v="3"/>
    <x v="0"/>
    <x v="2"/>
    <n v="8"/>
    <m/>
    <n v="147.9"/>
    <n v="26.100000000000005"/>
  </r>
  <r>
    <s v="SBG - Desktop"/>
    <x v="1"/>
    <s v="Bug"/>
    <s v="DESK-3665"/>
    <s v="LP Footer broken"/>
    <s v="Bug"/>
    <x v="1"/>
    <d v="2015-08-25T13:28:00"/>
    <x v="3"/>
    <x v="0"/>
    <x v="21"/>
    <n v="1"/>
    <m/>
    <n v="147.9"/>
    <n v="26.100000000000005"/>
  </r>
  <r>
    <s v="SBG - Desktop"/>
    <x v="2"/>
    <s v="Bug"/>
    <s v="DESK-3681"/>
    <s v="non referral code has minimum amount limit on BR domain"/>
    <s v="Bug"/>
    <x v="1"/>
    <d v="2015-08-06T15:00:00"/>
    <x v="3"/>
    <x v="0"/>
    <x v="10"/>
    <n v="8"/>
    <m/>
    <n v="147.9"/>
    <n v="26.100000000000005"/>
  </r>
  <r>
    <s v="SBG - Desktop"/>
    <x v="2"/>
    <s v="Bug"/>
    <s v="DESK-3706"/>
    <s v="Spanish language sitemaps mismatched with actual URLs"/>
    <s v="Bug"/>
    <x v="1"/>
    <d v="2015-08-24T09:34:00"/>
    <x v="3"/>
    <x v="0"/>
    <x v="11"/>
    <n v="24"/>
    <m/>
    <n v="147.9"/>
    <n v="26.100000000000005"/>
  </r>
  <r>
    <s v="SBG - Desktop"/>
    <x v="2"/>
    <s v="Bug"/>
    <s v="DESK-3719"/>
    <s v="Order Confirmation linked to incorrect order"/>
    <s v="Bug"/>
    <x v="1"/>
    <d v="2015-09-21T09:33:00"/>
    <x v="4"/>
    <x v="0"/>
    <x v="2"/>
    <n v="8"/>
    <m/>
    <n v="134.29999999999998"/>
    <n v="23.700000000000003"/>
  </r>
  <r>
    <s v="SBG - Desktop"/>
    <x v="1"/>
    <s v="Bug"/>
    <s v="DESK-3723"/>
    <s v="Items in Stock not Appearing in Fast Shipping"/>
    <s v="Bug"/>
    <x v="1"/>
    <d v="2015-08-10T15:51:00"/>
    <x v="3"/>
    <x v="0"/>
    <x v="1"/>
    <n v="2"/>
    <m/>
    <n v="147.9"/>
    <n v="26.100000000000005"/>
  </r>
  <r>
    <s v="SBG - Desktop"/>
    <x v="2"/>
    <s v="Bug"/>
    <s v="DESK-3723"/>
    <s v="Items in Stock not Appearing in Fast Shipping"/>
    <s v="Bug"/>
    <x v="1"/>
    <d v="2015-08-17T09:30:00"/>
    <x v="3"/>
    <x v="0"/>
    <x v="11"/>
    <n v="1.7000000000000001E-2"/>
    <s v="fix log , was 3 days"/>
    <n v="147.9"/>
    <n v="26.100000000000005"/>
  </r>
  <r>
    <s v="SBG - Desktop"/>
    <x v="2"/>
    <s v="Bug"/>
    <s v="DESK-3723"/>
    <s v="Items in Stock not Appearing in Fast Shipping"/>
    <s v="Bug"/>
    <x v="1"/>
    <d v="2015-08-20T09:30:00"/>
    <x v="3"/>
    <x v="0"/>
    <x v="11"/>
    <n v="12"/>
    <s v="fix logs, was 1d"/>
    <n v="147.9"/>
    <n v="26.100000000000005"/>
  </r>
  <r>
    <s v="SBG - Desktop"/>
    <x v="2"/>
    <s v="Bug"/>
    <s v="DESK-3723"/>
    <s v="Items in Stock not Appearing in Fast Shipping"/>
    <s v="Bug"/>
    <x v="1"/>
    <d v="2015-08-21T09:30:00"/>
    <x v="3"/>
    <x v="0"/>
    <x v="11"/>
    <n v="8"/>
    <m/>
    <n v="147.9"/>
    <n v="26.100000000000005"/>
  </r>
  <r>
    <s v="SBG - Desktop"/>
    <x v="2"/>
    <s v="Bug"/>
    <s v="DESK-3723"/>
    <s v="Items in Stock not Appearing in Fast Shipping"/>
    <s v="Bug"/>
    <x v="1"/>
    <d v="2015-08-24T21:30:00"/>
    <x v="3"/>
    <x v="0"/>
    <x v="11"/>
    <n v="6"/>
    <m/>
    <n v="147.9"/>
    <n v="26.100000000000005"/>
  </r>
  <r>
    <s v="SBG - Desktop"/>
    <x v="2"/>
    <s v="Bug"/>
    <s v="DESK-3724"/>
    <s v="Translation for algolia search"/>
    <s v="Bug"/>
    <x v="1"/>
    <d v="2015-09-24T10:31:00"/>
    <x v="4"/>
    <x v="0"/>
    <x v="18"/>
    <n v="4"/>
    <m/>
    <n v="134.29999999999998"/>
    <n v="23.700000000000003"/>
  </r>
  <r>
    <s v="SBG - Desktop"/>
    <x v="2"/>
    <s v="Bug"/>
    <s v="DESK-3760"/>
    <s v="Italy Scan System Error"/>
    <s v="Bug"/>
    <x v="1"/>
    <d v="2015-08-17T19:10:00"/>
    <x v="3"/>
    <x v="0"/>
    <x v="9"/>
    <n v="1"/>
    <m/>
    <n v="147.9"/>
    <n v="26.100000000000005"/>
  </r>
  <r>
    <s v="SBG - Desktop"/>
    <x v="1"/>
    <s v="Bug"/>
    <s v="DESK-3777"/>
    <s v="restore eTool.js back to what it was"/>
    <s v="Bug"/>
    <x v="1"/>
    <d v="2015-08-04T08:15:00"/>
    <x v="3"/>
    <x v="0"/>
    <x v="21"/>
    <n v="8"/>
    <m/>
    <n v="147.9"/>
    <n v="26.100000000000005"/>
  </r>
  <r>
    <s v="SBG - Desktop"/>
    <x v="1"/>
    <s v="Bug"/>
    <s v="DESK-3777"/>
    <s v="restore eTool.js back to what it was"/>
    <s v="Bug"/>
    <x v="1"/>
    <d v="2015-08-11T11:14:00"/>
    <x v="3"/>
    <x v="0"/>
    <x v="21"/>
    <n v="5"/>
    <m/>
    <n v="147.9"/>
    <n v="26.100000000000005"/>
  </r>
  <r>
    <s v="SBG - Desktop"/>
    <x v="1"/>
    <s v="Bug"/>
    <s v="DESK-3777"/>
    <s v="restore eTool.js back to what it was"/>
    <s v="Bug"/>
    <x v="1"/>
    <d v="2015-08-17T09:49:00"/>
    <x v="3"/>
    <x v="0"/>
    <x v="21"/>
    <n v="6"/>
    <m/>
    <n v="147.9"/>
    <n v="26.100000000000005"/>
  </r>
  <r>
    <s v="SBG - Desktop"/>
    <x v="1"/>
    <s v="Bug"/>
    <s v="DESK-3777"/>
    <s v="restore eTool.js back to what it was"/>
    <s v="Bug"/>
    <x v="1"/>
    <d v="2015-08-20T08:14:00"/>
    <x v="3"/>
    <x v="0"/>
    <x v="21"/>
    <n v="8"/>
    <m/>
    <n v="147.9"/>
    <n v="26.100000000000005"/>
  </r>
  <r>
    <s v="SBG - Desktop"/>
    <x v="2"/>
    <s v="Bug"/>
    <s v="DESK-3797"/>
    <s v="Search index issues"/>
    <s v="Bug"/>
    <x v="1"/>
    <d v="2015-08-04T11:24:00"/>
    <x v="3"/>
    <x v="0"/>
    <x v="2"/>
    <n v="8"/>
    <m/>
    <n v="147.9"/>
    <n v="26.100000000000005"/>
  </r>
  <r>
    <s v="SBG - Desktop"/>
    <x v="2"/>
    <s v="Bug"/>
    <s v="DESK-3816"/>
    <s v="Error information displayed when click &quot;But Now&quot; button on product detail page."/>
    <s v="Bug"/>
    <x v="1"/>
    <d v="2015-08-03T17:14:00"/>
    <x v="3"/>
    <x v="0"/>
    <x v="2"/>
    <n v="8"/>
    <m/>
    <n v="147.9"/>
    <n v="26.100000000000005"/>
  </r>
  <r>
    <s v="SBG - Desktop"/>
    <x v="2"/>
    <s v="Bug"/>
    <s v="DESK-3816"/>
    <s v="Error information displayed when click &quot;But Now&quot; button on product detail page."/>
    <s v="Bug"/>
    <x v="1"/>
    <d v="2015-08-06T11:59:00"/>
    <x v="3"/>
    <x v="0"/>
    <x v="2"/>
    <n v="4"/>
    <m/>
    <n v="147.9"/>
    <n v="26.100000000000005"/>
  </r>
  <r>
    <s v="SBG - Desktop"/>
    <x v="2"/>
    <s v="Bug"/>
    <s v="DESK-3816"/>
    <s v="Error information displayed when click &quot;But Now&quot; button on product detail page."/>
    <s v="Bug"/>
    <x v="1"/>
    <d v="2015-08-10T12:02:00"/>
    <x v="3"/>
    <x v="0"/>
    <x v="2"/>
    <n v="3"/>
    <m/>
    <n v="147.9"/>
    <n v="26.100000000000005"/>
  </r>
  <r>
    <s v="SBG - Desktop"/>
    <x v="2"/>
    <s v="Bug"/>
    <s v="DESK-3821"/>
    <s v="Product Image Issues"/>
    <s v="Bug"/>
    <x v="1"/>
    <d v="2015-09-10T12:06:00"/>
    <x v="4"/>
    <x v="0"/>
    <x v="22"/>
    <n v="3"/>
    <m/>
    <n v="134.29999999999998"/>
    <n v="23.700000000000003"/>
  </r>
  <r>
    <s v="SBG - Desktop"/>
    <x v="2"/>
    <s v="Bug"/>
    <s v="DESK-3830"/>
    <s v="Your Prescriptions &gt; Add New Prescription upload file issue"/>
    <s v="Bug"/>
    <x v="1"/>
    <d v="2015-08-05T10:14:00"/>
    <x v="3"/>
    <x v="0"/>
    <x v="10"/>
    <n v="8"/>
    <m/>
    <n v="147.9"/>
    <n v="26.100000000000005"/>
  </r>
  <r>
    <s v="SBG - Desktop"/>
    <x v="2"/>
    <s v="Bug"/>
    <s v="DESK-3830"/>
    <s v="Your Prescriptions &gt; Add New Prescription upload file issue"/>
    <s v="Bug"/>
    <x v="1"/>
    <d v="2015-09-18T16:37:00"/>
    <x v="4"/>
    <x v="0"/>
    <x v="10"/>
    <n v="3"/>
    <m/>
    <n v="134.29999999999998"/>
    <n v="23.700000000000003"/>
  </r>
  <r>
    <s v="SBG - Desktop"/>
    <x v="2"/>
    <s v="Bug"/>
    <s v="DESK-3830"/>
    <s v="Your Prescriptions &gt; Add New Prescription upload file issue"/>
    <s v="Bug"/>
    <x v="1"/>
    <d v="2015-09-21T17:16:00"/>
    <x v="4"/>
    <x v="0"/>
    <x v="10"/>
    <n v="4"/>
    <m/>
    <n v="134.29999999999998"/>
    <n v="23.700000000000003"/>
  </r>
  <r>
    <s v="SBG - Desktop"/>
    <x v="2"/>
    <s v="Bug"/>
    <s v="DESK-3830"/>
    <s v="Your Prescriptions &gt; Add New Prescription upload file issue"/>
    <s v="Bug"/>
    <x v="1"/>
    <d v="2015-09-22T10:59:00"/>
    <x v="4"/>
    <x v="0"/>
    <x v="10"/>
    <n v="2"/>
    <m/>
    <n v="134.29999999999998"/>
    <n v="23.700000000000003"/>
  </r>
  <r>
    <s v="SBG - Desktop"/>
    <x v="2"/>
    <s v="Bug"/>
    <s v="DESK-3850"/>
    <s v="Please add a explicit hint to tell customer what to use to pay when go to checkout page and there are 2 &quot;process to check out &quot; button"/>
    <s v="Bug"/>
    <x v="1"/>
    <d v="2015-09-23T15:41:00"/>
    <x v="4"/>
    <x v="0"/>
    <x v="2"/>
    <n v="5"/>
    <m/>
    <n v="134.29999999999998"/>
    <n v="23.700000000000003"/>
  </r>
  <r>
    <s v="SBG - Desktop"/>
    <x v="2"/>
    <s v="Bug"/>
    <s v="DESK-3850"/>
    <s v="Please add a explicit hint to tell customer what to use to pay when go to checkout page and there are 2 &quot;process to check out &quot; button"/>
    <s v="Bug"/>
    <x v="1"/>
    <d v="2015-09-24T12:50:00"/>
    <x v="4"/>
    <x v="0"/>
    <x v="2"/>
    <n v="8"/>
    <m/>
    <n v="134.29999999999998"/>
    <n v="23.700000000000003"/>
  </r>
  <r>
    <s v="SBG - Desktop"/>
    <x v="2"/>
    <s v="Bug"/>
    <s v="DESK-3850"/>
    <s v="Please add a explicit hint to tell customer what to use to pay when go to checkout page and there are 2 &quot;process to check out &quot; button"/>
    <s v="Bug"/>
    <x v="1"/>
    <d v="2015-09-25T12:50:00"/>
    <x v="4"/>
    <x v="0"/>
    <x v="2"/>
    <n v="8"/>
    <m/>
    <n v="134.29999999999998"/>
    <n v="23.700000000000003"/>
  </r>
  <r>
    <s v="SBG - Desktop"/>
    <x v="2"/>
    <s v="Bug"/>
    <s v="DESK-3856"/>
    <s v="Duplicate initial payment log which results in PO creation failure"/>
    <s v="Bug"/>
    <x v="1"/>
    <d v="2015-09-16T11:07:00"/>
    <x v="4"/>
    <x v="0"/>
    <x v="2"/>
    <n v="5"/>
    <m/>
    <n v="134.29999999999998"/>
    <n v="23.700000000000003"/>
  </r>
  <r>
    <s v="SBG - Desktop"/>
    <x v="1"/>
    <s v="Bug"/>
    <s v="DESK-3856"/>
    <s v="Duplicate initial payment log which results in PO creation failure"/>
    <s v="Bug"/>
    <x v="1"/>
    <d v="2015-09-23T18:59:00"/>
    <x v="4"/>
    <x v="0"/>
    <x v="8"/>
    <n v="3"/>
    <m/>
    <n v="134.29999999999998"/>
    <n v="23.700000000000003"/>
  </r>
  <r>
    <s v="SBG - Desktop"/>
    <x v="1"/>
    <s v="Bug"/>
    <s v="DESK-3856"/>
    <s v="Duplicate initial payment log which results in PO creation failure"/>
    <s v="Bug"/>
    <x v="1"/>
    <d v="2015-09-24T16:00:00"/>
    <x v="4"/>
    <x v="0"/>
    <x v="8"/>
    <n v="1"/>
    <m/>
    <n v="134.29999999999998"/>
    <n v="23.700000000000003"/>
  </r>
  <r>
    <s v="SBG - Desktop"/>
    <x v="0"/>
    <s v="Bug"/>
    <s v="DESK-3891"/>
    <s v="The Korea English title is korean"/>
    <s v="Bug"/>
    <x v="1"/>
    <d v="2015-08-28T09:50:00"/>
    <x v="3"/>
    <x v="0"/>
    <x v="19"/>
    <n v="0.5"/>
    <m/>
    <n v="87"/>
    <n v="87"/>
  </r>
  <r>
    <s v="SBG - Desktop"/>
    <x v="2"/>
    <s v="Bug"/>
    <s v="DESK-3897"/>
    <s v="German language redirect contact lense pages"/>
    <s v="Bug"/>
    <x v="1"/>
    <d v="2015-08-24T17:19:00"/>
    <x v="3"/>
    <x v="0"/>
    <x v="11"/>
    <n v="1"/>
    <m/>
    <n v="147.9"/>
    <n v="26.100000000000005"/>
  </r>
  <r>
    <s v="SBG - Desktop"/>
    <x v="1"/>
    <s v="Bug"/>
    <s v="DESK-3897"/>
    <s v="German language redirect contact lense pages"/>
    <s v="Bug"/>
    <x v="1"/>
    <d v="2015-08-25T10:35:00"/>
    <x v="3"/>
    <x v="0"/>
    <x v="21"/>
    <n v="5"/>
    <m/>
    <n v="147.9"/>
    <n v="26.100000000000005"/>
  </r>
  <r>
    <s v="SBG - Desktop"/>
    <x v="2"/>
    <s v="Bug"/>
    <s v="DESK-3933"/>
    <s v="invalid URL investigation for some of URLs having 2%$1 in the link"/>
    <s v="Bug"/>
    <x v="1"/>
    <d v="2015-08-13T09:30:00"/>
    <x v="3"/>
    <x v="0"/>
    <x v="11"/>
    <n v="8"/>
    <m/>
    <n v="147.9"/>
    <n v="26.100000000000005"/>
  </r>
  <r>
    <s v="SBG - Desktop"/>
    <x v="3"/>
    <s v="Bug"/>
    <s v="DESK-3947"/>
    <s v="UVEX inactive brand on mega menu"/>
    <s v="Bug"/>
    <x v="1"/>
    <d v="2015-08-14T16:31:00"/>
    <x v="3"/>
    <x v="0"/>
    <x v="15"/>
    <n v="0.16700000000000001"/>
    <m/>
    <n v="87"/>
    <n v="87"/>
  </r>
  <r>
    <s v="SBG - Desktop"/>
    <x v="2"/>
    <s v="Bug"/>
    <s v="DESK-3952"/>
    <s v="Shows fast-shipping"/>
    <s v="Bug"/>
    <x v="1"/>
    <d v="2015-08-03T09:30:00"/>
    <x v="3"/>
    <x v="0"/>
    <x v="11"/>
    <n v="3"/>
    <m/>
    <n v="147.9"/>
    <n v="26.100000000000005"/>
  </r>
  <r>
    <s v="SBG - Desktop"/>
    <x v="1"/>
    <s v="Bug"/>
    <s v="DESK-3952"/>
    <s v="Shows fast-shipping"/>
    <s v="Bug"/>
    <x v="1"/>
    <d v="2015-08-03T12:05:00"/>
    <x v="3"/>
    <x v="0"/>
    <x v="5"/>
    <n v="2"/>
    <m/>
    <n v="147.9"/>
    <n v="26.100000000000005"/>
  </r>
  <r>
    <s v="SBG - Desktop"/>
    <x v="2"/>
    <s v="Bug"/>
    <s v="DESK-3952"/>
    <s v="Shows fast-shipping"/>
    <s v="Bug"/>
    <x v="1"/>
    <d v="2015-08-03T15:37:00"/>
    <x v="3"/>
    <x v="0"/>
    <x v="11"/>
    <n v="2"/>
    <m/>
    <n v="147.9"/>
    <n v="26.100000000000005"/>
  </r>
  <r>
    <s v="SBG - Desktop"/>
    <x v="1"/>
    <s v="Bug"/>
    <s v="DESK-3952"/>
    <s v="Shows fast-shipping"/>
    <s v="Bug"/>
    <x v="1"/>
    <d v="2015-08-04T12:04:00"/>
    <x v="3"/>
    <x v="0"/>
    <x v="5"/>
    <n v="1"/>
    <m/>
    <n v="147.9"/>
    <n v="26.100000000000005"/>
  </r>
  <r>
    <s v="SBG - Desktop"/>
    <x v="1"/>
    <s v="Bug"/>
    <s v="DESK-3952"/>
    <s v="Shows fast-shipping"/>
    <s v="Bug"/>
    <x v="1"/>
    <d v="2015-08-04T12:20:00"/>
    <x v="3"/>
    <x v="0"/>
    <x v="5"/>
    <n v="5"/>
    <m/>
    <n v="147.9"/>
    <n v="26.100000000000005"/>
  </r>
  <r>
    <s v="SBG - Desktop"/>
    <x v="1"/>
    <s v="Bug"/>
    <s v="DESK-3952"/>
    <s v="Shows fast-shipping"/>
    <s v="Bug"/>
    <x v="1"/>
    <d v="2015-08-05T09:20:00"/>
    <x v="3"/>
    <x v="0"/>
    <x v="5"/>
    <n v="8"/>
    <m/>
    <n v="147.9"/>
    <n v="26.100000000000005"/>
  </r>
  <r>
    <s v="SBG - Desktop"/>
    <x v="1"/>
    <s v="Bug"/>
    <s v="DESK-3952"/>
    <s v="Shows fast-shipping"/>
    <s v="Bug"/>
    <x v="1"/>
    <d v="2015-08-06T09:20:00"/>
    <x v="3"/>
    <x v="0"/>
    <x v="5"/>
    <n v="8"/>
    <m/>
    <n v="147.9"/>
    <n v="26.100000000000005"/>
  </r>
  <r>
    <s v="SBG - Desktop"/>
    <x v="1"/>
    <s v="Bug"/>
    <s v="DESK-3952"/>
    <s v="Shows fast-shipping"/>
    <s v="Bug"/>
    <x v="1"/>
    <d v="2015-08-07T14:54:00"/>
    <x v="3"/>
    <x v="0"/>
    <x v="5"/>
    <n v="2"/>
    <m/>
    <n v="147.9"/>
    <n v="26.100000000000005"/>
  </r>
  <r>
    <s v="SBG - Desktop"/>
    <x v="2"/>
    <s v="Bug"/>
    <s v="DESK-3968"/>
    <s v="The VD BANK TRANSFER payment error"/>
    <s v="Bug"/>
    <x v="1"/>
    <d v="2015-09-17T14:20:00"/>
    <x v="4"/>
    <x v="0"/>
    <x v="2"/>
    <n v="8"/>
    <m/>
    <n v="134.29999999999998"/>
    <n v="23.700000000000003"/>
  </r>
  <r>
    <s v="SBG - Desktop"/>
    <x v="1"/>
    <s v="Bug"/>
    <s v="DESK-3970"/>
    <s v="order tracking page CL info incorrect"/>
    <s v="Bug"/>
    <x v="1"/>
    <d v="2015-09-17T17:10:00"/>
    <x v="4"/>
    <x v="0"/>
    <x v="8"/>
    <n v="1"/>
    <m/>
    <n v="134.29999999999998"/>
    <n v="23.700000000000003"/>
  </r>
  <r>
    <s v="SBG - Desktop"/>
    <x v="0"/>
    <s v="Bug"/>
    <s v="DESK-3977"/>
    <s v="image is not clubmaster"/>
    <s v="Bug"/>
    <x v="1"/>
    <d v="2015-08-05T12:16:00"/>
    <x v="3"/>
    <x v="0"/>
    <x v="19"/>
    <n v="1"/>
    <m/>
    <n v="87"/>
    <n v="87"/>
  </r>
  <r>
    <s v="SBG - Desktop"/>
    <x v="1"/>
    <s v="Bug"/>
    <s v="DESK-3977"/>
    <s v="image is not clubmaster"/>
    <s v="Bug"/>
    <x v="1"/>
    <d v="2015-08-21T08:14:00"/>
    <x v="3"/>
    <x v="0"/>
    <x v="21"/>
    <n v="8"/>
    <m/>
    <n v="147.9"/>
    <n v="26.100000000000005"/>
  </r>
  <r>
    <s v="SBG - Desktop"/>
    <x v="1"/>
    <s v="Bug"/>
    <s v="DESK-3977"/>
    <s v="image is not clubmaster"/>
    <s v="Bug"/>
    <x v="1"/>
    <d v="2015-08-25T15:53:00"/>
    <x v="3"/>
    <x v="0"/>
    <x v="21"/>
    <n v="2"/>
    <m/>
    <n v="147.9"/>
    <n v="26.100000000000005"/>
  </r>
  <r>
    <s v="SBG - Desktop"/>
    <x v="1"/>
    <s v="Bug"/>
    <s v="DESK-3977"/>
    <s v="image is not clubmaster"/>
    <s v="Bug"/>
    <x v="1"/>
    <d v="2015-08-26T08:14:00"/>
    <x v="3"/>
    <x v="0"/>
    <x v="21"/>
    <n v="8"/>
    <m/>
    <n v="147.9"/>
    <n v="26.100000000000005"/>
  </r>
  <r>
    <s v="SBG - Desktop"/>
    <x v="2"/>
    <s v="Technical task"/>
    <s v="DESK-4114"/>
    <s v="DESK-3723&gt; When in stock, some items not appearing Fast Shipping"/>
    <s v="Technical task"/>
    <x v="0"/>
    <d v="2015-08-25T09:30:00"/>
    <x v="3"/>
    <x v="0"/>
    <x v="11"/>
    <n v="24"/>
    <m/>
    <n v="147.9"/>
    <n v="26.100000000000005"/>
  </r>
  <r>
    <s v="SBG - Desktop"/>
    <x v="2"/>
    <s v="Technical task"/>
    <s v="DESK-4114"/>
    <s v="DESK-3723&gt; When in stock, some items not appearing Fast Shipping"/>
    <s v="Technical task"/>
    <x v="0"/>
    <d v="2015-08-25T14:00:00"/>
    <x v="3"/>
    <x v="0"/>
    <x v="11"/>
    <n v="1"/>
    <m/>
    <n v="147.9"/>
    <n v="26.100000000000005"/>
  </r>
  <r>
    <s v="SBG - Desktop"/>
    <x v="2"/>
    <s v="Technical task"/>
    <s v="DESK-4114"/>
    <s v="DESK-3723&gt; When in stock, some items not appearing Fast Shipping"/>
    <s v="Technical task"/>
    <x v="0"/>
    <d v="2015-08-28T09:30:00"/>
    <x v="3"/>
    <x v="0"/>
    <x v="11"/>
    <n v="8"/>
    <m/>
    <n v="147.9"/>
    <n v="26.100000000000005"/>
  </r>
  <r>
    <s v="SBG - Desktop"/>
    <x v="2"/>
    <s v="Technical task"/>
    <s v="DESK-4114"/>
    <s v="DESK-3723&gt; When in stock, some items not appearing Fast Shipping"/>
    <s v="Technical task"/>
    <x v="0"/>
    <d v="2015-09-09T09:30:00"/>
    <x v="4"/>
    <x v="0"/>
    <x v="11"/>
    <n v="4"/>
    <m/>
    <n v="134.29999999999998"/>
    <n v="23.700000000000003"/>
  </r>
  <r>
    <s v="SBG - Desktop"/>
    <x v="1"/>
    <s v="Technical task"/>
    <s v="DESK-4114"/>
    <s v="DESK-3723&gt; When in stock, some items not appearing Fast Shipping"/>
    <s v="Technical task"/>
    <x v="0"/>
    <d v="2015-09-14T19:31:00"/>
    <x v="4"/>
    <x v="0"/>
    <x v="1"/>
    <n v="8"/>
    <m/>
    <n v="134.29999999999998"/>
    <n v="23.700000000000003"/>
  </r>
  <r>
    <s v="SBG - Desktop"/>
    <x v="1"/>
    <s v="Technical task"/>
    <s v="DESK-4114"/>
    <s v="DESK-3723&gt; When in stock, some items not appearing Fast Shipping"/>
    <s v="Technical task"/>
    <x v="0"/>
    <d v="2015-09-17T18:22:00"/>
    <x v="4"/>
    <x v="0"/>
    <x v="1"/>
    <n v="5"/>
    <m/>
    <n v="134.29999999999998"/>
    <n v="23.700000000000003"/>
  </r>
  <r>
    <s v="SBG - Desktop"/>
    <x v="1"/>
    <s v="Technical task"/>
    <s v="DESK-4114"/>
    <s v="DESK-3723&gt; When in stock, some items not appearing Fast Shipping"/>
    <s v="Technical task"/>
    <x v="0"/>
    <d v="2015-09-18T14:29:00"/>
    <x v="4"/>
    <x v="0"/>
    <x v="1"/>
    <n v="3"/>
    <m/>
    <n v="134.29999999999998"/>
    <n v="23.700000000000003"/>
  </r>
  <r>
    <s v="SBG - Desktop"/>
    <x v="2"/>
    <s v="Technical task"/>
    <s v="DESK-4114"/>
    <s v="DESK-3723&gt; When in stock, some items not appearing Fast Shipping"/>
    <s v="Technical task"/>
    <x v="0"/>
    <d v="2015-09-21T09:30:00"/>
    <x v="4"/>
    <x v="0"/>
    <x v="11"/>
    <n v="3"/>
    <m/>
    <n v="134.29999999999998"/>
    <n v="23.700000000000003"/>
  </r>
  <r>
    <s v="SBG - Desktop"/>
    <x v="1"/>
    <s v="Technical task"/>
    <s v="DESK-4114"/>
    <s v="DESK-3723&gt; When in stock, some items not appearing Fast Shipping"/>
    <s v="Technical task"/>
    <x v="0"/>
    <d v="2015-09-21T12:54:00"/>
    <x v="4"/>
    <x v="0"/>
    <x v="1"/>
    <n v="2"/>
    <m/>
    <n v="134.29999999999998"/>
    <n v="23.700000000000003"/>
  </r>
  <r>
    <s v="SBG - Desktop"/>
    <x v="1"/>
    <s v="Technical task"/>
    <s v="DESK-4114"/>
    <s v="DESK-3723&gt; When in stock, some items not appearing Fast Shipping"/>
    <s v="Technical task"/>
    <x v="0"/>
    <d v="2015-09-21T19:33:00"/>
    <x v="4"/>
    <x v="0"/>
    <x v="1"/>
    <n v="3"/>
    <m/>
    <n v="134.29999999999998"/>
    <n v="23.700000000000003"/>
  </r>
  <r>
    <s v="SBG - Desktop"/>
    <x v="1"/>
    <s v="Technical task"/>
    <s v="DESK-4114"/>
    <s v="DESK-3723&gt; When in stock, some items not appearing Fast Shipping"/>
    <s v="Technical task"/>
    <x v="0"/>
    <d v="2015-09-25T19:33:00"/>
    <x v="4"/>
    <x v="0"/>
    <x v="1"/>
    <n v="8"/>
    <m/>
    <n v="134.29999999999998"/>
    <n v="23.700000000000003"/>
  </r>
  <r>
    <s v="SBG - Desktop"/>
    <x v="1"/>
    <s v="Technical task"/>
    <s v="DESK-4114"/>
    <s v="DESK-3723&gt; When in stock, some items not appearing Fast Shipping"/>
    <s v="Technical task"/>
    <x v="0"/>
    <d v="2015-09-28T19:33:00"/>
    <x v="4"/>
    <x v="0"/>
    <x v="1"/>
    <n v="8"/>
    <m/>
    <n v="134.29999999999998"/>
    <n v="23.700000000000003"/>
  </r>
  <r>
    <s v="SBG - Desktop"/>
    <x v="1"/>
    <s v="Technical task"/>
    <s v="DESK-4114"/>
    <s v="DESK-3723&gt; When in stock, some items not appearing Fast Shipping"/>
    <s v="Technical task"/>
    <x v="0"/>
    <d v="2015-09-29T19:34:00"/>
    <x v="4"/>
    <x v="0"/>
    <x v="1"/>
    <n v="5"/>
    <m/>
    <n v="134.29999999999998"/>
    <n v="23.700000000000003"/>
  </r>
  <r>
    <s v="SBG - Desktop"/>
    <x v="1"/>
    <s v="Technical task"/>
    <s v="DESK-4115"/>
    <s v="DESK-3723&gt; Product show discount logo and &quot;this product is unavailable at the moment.&quot; text at the same time"/>
    <s v="Technical task"/>
    <x v="0"/>
    <d v="2015-08-31T18:09:00"/>
    <x v="3"/>
    <x v="0"/>
    <x v="1"/>
    <n v="1"/>
    <m/>
    <n v="147.9"/>
    <n v="26.100000000000005"/>
  </r>
  <r>
    <s v="SBG - Desktop"/>
    <x v="0"/>
    <s v="Technical task"/>
    <s v="DESK-4115"/>
    <s v="DESK-3723&gt; Product show discount logo and &quot;this product is unavailable at the moment.&quot; text at the same time"/>
    <s v="Technical task"/>
    <x v="0"/>
    <d v="2015-08-31T18:13:00"/>
    <x v="3"/>
    <x v="0"/>
    <x v="19"/>
    <n v="1"/>
    <m/>
    <n v="87"/>
    <n v="87"/>
  </r>
  <r>
    <s v="SBG - Desktop"/>
    <x v="1"/>
    <s v="Technical task"/>
    <s v="DESK-4115"/>
    <s v="DESK-3723&gt; Product show discount logo and &quot;this product is unavailable at the moment.&quot; text at the same time"/>
    <s v="Technical task"/>
    <x v="0"/>
    <d v="2015-09-09T19:30:00"/>
    <x v="4"/>
    <x v="0"/>
    <x v="1"/>
    <n v="8"/>
    <m/>
    <n v="134.29999999999998"/>
    <n v="23.700000000000003"/>
  </r>
  <r>
    <s v="SBG - Desktop"/>
    <x v="1"/>
    <s v="Technical task"/>
    <s v="DESK-4115"/>
    <s v="DESK-3723&gt; Product show discount logo and &quot;this product is unavailable at the moment.&quot; text at the same time"/>
    <s v="Technical task"/>
    <x v="0"/>
    <d v="2015-09-10T19:30:00"/>
    <x v="4"/>
    <x v="0"/>
    <x v="1"/>
    <n v="8"/>
    <m/>
    <n v="134.29999999999998"/>
    <n v="23.700000000000003"/>
  </r>
  <r>
    <s v="SBG - Desktop"/>
    <x v="1"/>
    <s v="Technical task"/>
    <s v="DESK-4115"/>
    <s v="DESK-3723&gt; Product show discount logo and &quot;this product is unavailable at the moment.&quot; text at the same time"/>
    <s v="Technical task"/>
    <x v="0"/>
    <d v="2015-09-15T19:31:00"/>
    <x v="4"/>
    <x v="0"/>
    <x v="1"/>
    <n v="8"/>
    <m/>
    <n v="134.29999999999998"/>
    <n v="23.700000000000003"/>
  </r>
  <r>
    <s v="SBG - Desktop"/>
    <x v="1"/>
    <s v="Technical task"/>
    <s v="DESK-4115"/>
    <s v="DESK-3723&gt; Product show discount logo and &quot;this product is unavailable at the moment.&quot; text at the same time"/>
    <s v="Technical task"/>
    <x v="0"/>
    <d v="2015-09-16T10:40:00"/>
    <x v="4"/>
    <x v="0"/>
    <x v="1"/>
    <n v="1"/>
    <m/>
    <n v="134.29999999999998"/>
    <n v="23.700000000000003"/>
  </r>
  <r>
    <s v="SBG - Desktop"/>
    <x v="2"/>
    <s v="Bug"/>
    <s v="DESK-4746"/>
    <s v="Discontinuing Products- Showing All Sizes Not Just Inventory"/>
    <s v="Bug"/>
    <x v="1"/>
    <d v="2015-09-07T16:38:00"/>
    <x v="4"/>
    <x v="0"/>
    <x v="10"/>
    <n v="4"/>
    <m/>
    <n v="134.29999999999998"/>
    <n v="23.700000000000003"/>
  </r>
  <r>
    <s v="SBG - Desktop"/>
    <x v="4"/>
    <s v="Bug"/>
    <s v="DESK-4746"/>
    <s v="Discontinuing Products- Showing All Sizes Not Just Inventory"/>
    <s v="Bug"/>
    <x v="1"/>
    <d v="2015-09-14T16:55:00"/>
    <x v="4"/>
    <x v="0"/>
    <x v="13"/>
    <n v="3"/>
    <m/>
    <n v="134.29999999999998"/>
    <n v="23.700000000000003"/>
  </r>
  <r>
    <s v="SBG - Desktop"/>
    <x v="0"/>
    <s v="Bug"/>
    <s v="DESK-5369"/>
    <s v="small css issue"/>
    <s v="Bug"/>
    <x v="1"/>
    <d v="2015-08-31T14:41:00"/>
    <x v="3"/>
    <x v="0"/>
    <x v="7"/>
    <n v="78"/>
    <m/>
    <n v="87"/>
    <n v="87"/>
  </r>
  <r>
    <s v="SBG - Desktop"/>
    <x v="1"/>
    <s v="Bug"/>
    <s v="DESK-6747"/>
    <s v="Brand description &quot;Dolce &amp; Gabbana&quot; does not show up on AT/CH/DE domains."/>
    <s v="Bug"/>
    <x v="1"/>
    <d v="2015-09-21T17:26:00"/>
    <x v="4"/>
    <x v="0"/>
    <x v="1"/>
    <n v="1"/>
    <m/>
    <n v="134.29999999999998"/>
    <n v="23.700000000000003"/>
  </r>
  <r>
    <s v="SBG - Desktop"/>
    <x v="2"/>
    <s v="Bug"/>
    <s v="DESK-6771"/>
    <s v="change http request tp https for membership page"/>
    <s v="Bug"/>
    <x v="1"/>
    <d v="2015-08-05T16:53:00"/>
    <x v="3"/>
    <x v="0"/>
    <x v="18"/>
    <n v="2"/>
    <m/>
    <n v="147.9"/>
    <n v="26.100000000000005"/>
  </r>
  <r>
    <s v="SBG - Desktop"/>
    <x v="2"/>
    <s v="Bug"/>
    <s v="DESK-6771"/>
    <s v="change http request tp https for membership page"/>
    <s v="Bug"/>
    <x v="1"/>
    <d v="2015-09-07T14:47:00"/>
    <x v="4"/>
    <x v="0"/>
    <x v="18"/>
    <n v="4"/>
    <m/>
    <n v="134.29999999999998"/>
    <n v="23.700000000000003"/>
  </r>
  <r>
    <s v="SBG - Desktop"/>
    <x v="0"/>
    <s v="Bug"/>
    <s v="DESK-6771"/>
    <s v="change http request tp https for membership page"/>
    <s v="Bug"/>
    <x v="1"/>
    <d v="2015-09-07T18:33:00"/>
    <x v="4"/>
    <x v="0"/>
    <x v="7"/>
    <n v="7"/>
    <m/>
    <n v="79"/>
    <n v="79"/>
  </r>
  <r>
    <s v="SBG - Desktop"/>
    <x v="0"/>
    <s v="Bug"/>
    <s v="DESK-6771"/>
    <s v="change http request tp https for membership page"/>
    <s v="Bug"/>
    <x v="1"/>
    <d v="2015-09-14T14:16:00"/>
    <x v="4"/>
    <x v="0"/>
    <x v="7"/>
    <n v="20"/>
    <m/>
    <n v="79"/>
    <n v="79"/>
  </r>
  <r>
    <s v="SBG - Desktop"/>
    <x v="0"/>
    <s v="Bug"/>
    <s v="DESK-6771"/>
    <s v="change http request tp https for membership page"/>
    <s v="Bug"/>
    <x v="1"/>
    <d v="2015-09-23T12:44:00"/>
    <x v="4"/>
    <x v="0"/>
    <x v="7"/>
    <n v="2"/>
    <m/>
    <n v="79"/>
    <n v="79"/>
  </r>
  <r>
    <s v="SBG - Desktop"/>
    <x v="0"/>
    <s v="Bug"/>
    <s v="DESK-6771"/>
    <s v="change http request tp https for membership page"/>
    <s v="Bug"/>
    <x v="1"/>
    <d v="2015-09-23T15:14:00"/>
    <x v="4"/>
    <x v="0"/>
    <x v="7"/>
    <n v="2"/>
    <m/>
    <n v="79"/>
    <n v="79"/>
  </r>
  <r>
    <s v="SBG - Desktop"/>
    <x v="0"/>
    <s v="Bug"/>
    <s v="DESK-6771"/>
    <s v="change http request tp https for membership page"/>
    <s v="Bug"/>
    <x v="1"/>
    <d v="2015-09-24T18:38:00"/>
    <x v="4"/>
    <x v="0"/>
    <x v="7"/>
    <n v="5"/>
    <m/>
    <n v="79"/>
    <n v="79"/>
  </r>
  <r>
    <s v="SBG - Desktop"/>
    <x v="2"/>
    <s v="Sub-task"/>
    <s v="DESK-6850"/>
    <s v="DESK-6706&gt; Referral via FaceBook and via Email function is broken"/>
    <s v="Sub-task"/>
    <x v="0"/>
    <d v="2015-08-17T15:16:00"/>
    <x v="3"/>
    <x v="0"/>
    <x v="10"/>
    <n v="3"/>
    <m/>
    <n v="147.9"/>
    <n v="26.100000000000005"/>
  </r>
  <r>
    <s v="SBG - Desktop"/>
    <x v="2"/>
    <s v="Sub-task"/>
    <s v="DESK-6850"/>
    <s v="DESK-6706&gt; Referral via FaceBook and via Email function is broken"/>
    <s v="Sub-task"/>
    <x v="0"/>
    <d v="2015-08-21T12:31:00"/>
    <x v="3"/>
    <x v="0"/>
    <x v="10"/>
    <n v="5"/>
    <m/>
    <n v="147.9"/>
    <n v="26.100000000000005"/>
  </r>
  <r>
    <s v="SBG - Desktop"/>
    <x v="2"/>
    <s v="Sub-task"/>
    <s v="DESK-6850"/>
    <s v="DESK-6706&gt; Referral via FaceBook and via Email function is broken"/>
    <s v="Sub-task"/>
    <x v="0"/>
    <d v="2015-08-24T13:19:00"/>
    <x v="3"/>
    <x v="0"/>
    <x v="10"/>
    <n v="5"/>
    <m/>
    <n v="147.9"/>
    <n v="26.100000000000005"/>
  </r>
  <r>
    <s v="SBG - Desktop"/>
    <x v="2"/>
    <s v="Sub-task"/>
    <s v="DESK-6852"/>
    <s v="DESK-6706&gt; [Refferal] Fix tracking link on SBG Home page REFER A FRIEND banner"/>
    <s v="Sub-task"/>
    <x v="0"/>
    <d v="2015-08-14T10:16:00"/>
    <x v="3"/>
    <x v="0"/>
    <x v="10"/>
    <n v="8"/>
    <m/>
    <n v="147.9"/>
    <n v="26.100000000000005"/>
  </r>
  <r>
    <s v="SBG - Desktop"/>
    <x v="2"/>
    <s v="Sub-task"/>
    <s v="DESK-6852"/>
    <s v="DESK-6706&gt; [Refferal] Fix tracking link on SBG Home page REFER A FRIEND banner"/>
    <s v="Sub-task"/>
    <x v="0"/>
    <d v="2015-08-18T12:32:00"/>
    <x v="3"/>
    <x v="0"/>
    <x v="10"/>
    <n v="2"/>
    <m/>
    <n v="147.9"/>
    <n v="26.100000000000005"/>
  </r>
  <r>
    <s v="SBG - Desktop"/>
    <x v="2"/>
    <s v="Technical task"/>
    <s v="DESK-6935"/>
    <s v="DESK-6819&gt; translation issues"/>
    <s v="Technical task"/>
    <x v="0"/>
    <d v="2015-09-07T14:21:00"/>
    <x v="4"/>
    <x v="0"/>
    <x v="10"/>
    <n v="4"/>
    <m/>
    <n v="134.29999999999998"/>
    <n v="23.700000000000003"/>
  </r>
  <r>
    <s v="SBG - Desktop"/>
    <x v="2"/>
    <s v="Technical task"/>
    <s v="DESK-6935"/>
    <s v="DESK-6819&gt; translation issues"/>
    <s v="Technical task"/>
    <x v="0"/>
    <d v="2015-09-11T15:17:00"/>
    <x v="4"/>
    <x v="0"/>
    <x v="10"/>
    <n v="3"/>
    <m/>
    <n v="134.29999999999998"/>
    <n v="23.700000000000003"/>
  </r>
  <r>
    <s v="SBG - Desktop"/>
    <x v="2"/>
    <s v="Technical task"/>
    <s v="DESK-6935"/>
    <s v="DESK-6819&gt; translation issues"/>
    <s v="Technical task"/>
    <x v="0"/>
    <d v="2015-09-15T16:17:00"/>
    <x v="4"/>
    <x v="0"/>
    <x v="10"/>
    <n v="1"/>
    <m/>
    <n v="134.29999999999998"/>
    <n v="23.700000000000003"/>
  </r>
  <r>
    <s v="SBG - Desktop"/>
    <x v="2"/>
    <s v="Task"/>
    <s v="DESK-7023"/>
    <s v="Brand compliance- Vuarnet"/>
    <s v="Task"/>
    <x v="0"/>
    <d v="2015-09-15T10:09:00"/>
    <x v="4"/>
    <x v="0"/>
    <x v="10"/>
    <n v="3"/>
    <m/>
    <n v="134.29999999999998"/>
    <n v="23.700000000000003"/>
  </r>
  <r>
    <s v="SBG - Desktop"/>
    <x v="2"/>
    <s v="Task"/>
    <s v="DESK-7023"/>
    <s v="Brand compliance- Vuarnet"/>
    <s v="Task"/>
    <x v="0"/>
    <d v="2015-09-21T17:15:00"/>
    <x v="4"/>
    <x v="0"/>
    <x v="10"/>
    <n v="4"/>
    <m/>
    <n v="134.29999999999998"/>
    <n v="23.700000000000003"/>
  </r>
  <r>
    <s v="SBG - Desktop"/>
    <x v="2"/>
    <s v="Task"/>
    <s v="DESK-7023"/>
    <s v="Brand compliance- Vuarnet"/>
    <s v="Task"/>
    <x v="0"/>
    <d v="2015-09-22T14:59:00"/>
    <x v="4"/>
    <x v="0"/>
    <x v="10"/>
    <n v="2"/>
    <m/>
    <n v="134.29999999999998"/>
    <n v="23.700000000000003"/>
  </r>
  <r>
    <s v="SBG - Desktop"/>
    <x v="2"/>
    <s v="Task"/>
    <s v="DESK-7078"/>
    <s v="Add CL Page Group to Spanish Page Group"/>
    <s v="Task"/>
    <x v="0"/>
    <d v="2015-09-15T11:10:00"/>
    <x v="4"/>
    <x v="0"/>
    <x v="2"/>
    <n v="3"/>
    <m/>
    <n v="134.29999999999998"/>
    <n v="23.700000000000003"/>
  </r>
  <r>
    <s v="SBG - Desktop"/>
    <x v="2"/>
    <s v="Task"/>
    <s v="DESK-7078"/>
    <s v="Add CL Page Group to Spanish Page Group"/>
    <s v="Task"/>
    <x v="0"/>
    <d v="2015-09-16T12:48:00"/>
    <x v="4"/>
    <x v="0"/>
    <x v="2"/>
    <n v="1"/>
    <m/>
    <n v="134.29999999999998"/>
    <n v="23.700000000000003"/>
  </r>
  <r>
    <s v="SBG - Desktop"/>
    <x v="2"/>
    <s v="Task"/>
    <s v="DESK-7078"/>
    <s v="Add CL Page Group to Spanish Page Group"/>
    <s v="Task"/>
    <x v="0"/>
    <d v="2015-09-22T12:48:00"/>
    <x v="4"/>
    <x v="0"/>
    <x v="2"/>
    <n v="8"/>
    <m/>
    <n v="134.29999999999998"/>
    <n v="23.700000000000003"/>
  </r>
  <r>
    <s v="SBG - Desktop"/>
    <x v="2"/>
    <s v="Task"/>
    <s v="DESK-7078"/>
    <s v="Add CL Page Group to Spanish Page Group"/>
    <s v="Task"/>
    <x v="0"/>
    <d v="2015-09-23T12:48:00"/>
    <x v="4"/>
    <x v="0"/>
    <x v="2"/>
    <n v="3"/>
    <m/>
    <n v="134.29999999999998"/>
    <n v="23.700000000000003"/>
  </r>
  <r>
    <s v="SBG - Desktop"/>
    <x v="2"/>
    <s v="Task"/>
    <s v="DESK-7125"/>
    <s v="remove decimals of price in NO, DK &amp; SE for SUN, EYE &amp; CONTACT categories"/>
    <s v="Task"/>
    <x v="0"/>
    <d v="2015-08-04T09:17:00"/>
    <x v="3"/>
    <x v="0"/>
    <x v="22"/>
    <n v="8"/>
    <m/>
    <n v="147.9"/>
    <n v="26.100000000000005"/>
  </r>
  <r>
    <s v="SBG - Desktop"/>
    <x v="2"/>
    <s v="Task"/>
    <s v="DESK-7125"/>
    <s v="remove decimals of price in NO, DK &amp; SE for SUN, EYE &amp; CONTACT categories"/>
    <s v="Task"/>
    <x v="0"/>
    <d v="2015-08-05T09:17:00"/>
    <x v="3"/>
    <x v="0"/>
    <x v="22"/>
    <n v="8"/>
    <m/>
    <n v="147.9"/>
    <n v="26.100000000000005"/>
  </r>
  <r>
    <s v="SBG - Desktop"/>
    <x v="2"/>
    <s v="Task"/>
    <s v="DESK-7125"/>
    <s v="remove decimals of price in NO, DK &amp; SE for SUN, EYE &amp; CONTACT categories"/>
    <s v="Task"/>
    <x v="0"/>
    <d v="2015-08-06T09:17:00"/>
    <x v="3"/>
    <x v="0"/>
    <x v="22"/>
    <n v="8"/>
    <m/>
    <n v="147.9"/>
    <n v="26.100000000000005"/>
  </r>
  <r>
    <s v="SBG - Desktop"/>
    <x v="2"/>
    <s v="Task"/>
    <s v="DESK-7125"/>
    <s v="remove decimals of price in NO, DK &amp; SE for SUN, EYE &amp; CONTACT categories"/>
    <s v="Task"/>
    <x v="0"/>
    <d v="2015-08-07T09:18:00"/>
    <x v="3"/>
    <x v="0"/>
    <x v="22"/>
    <n v="8"/>
    <m/>
    <n v="147.9"/>
    <n v="26.100000000000005"/>
  </r>
  <r>
    <s v="SBG - Desktop"/>
    <x v="2"/>
    <s v="Task"/>
    <s v="DESK-7125"/>
    <s v="remove decimals of price in NO, DK &amp; SE for SUN, EYE &amp; CONTACT categories"/>
    <s v="Task"/>
    <x v="0"/>
    <d v="2015-08-10T09:18:00"/>
    <x v="3"/>
    <x v="0"/>
    <x v="22"/>
    <n v="8"/>
    <m/>
    <n v="147.9"/>
    <n v="26.100000000000005"/>
  </r>
  <r>
    <s v="SBG - Desktop"/>
    <x v="2"/>
    <s v="Task"/>
    <s v="DESK-7125"/>
    <s v="remove decimals of price in NO, DK &amp; SE for SUN, EYE &amp; CONTACT categories"/>
    <s v="Task"/>
    <x v="0"/>
    <d v="2015-08-11T09:18:00"/>
    <x v="3"/>
    <x v="0"/>
    <x v="22"/>
    <n v="8"/>
    <m/>
    <n v="147.9"/>
    <n v="26.100000000000005"/>
  </r>
  <r>
    <s v="SBG - Desktop"/>
    <x v="4"/>
    <s v="Task"/>
    <s v="DESK-7125"/>
    <s v="remove decimals of price in NO, DK &amp; SE for SUN, EYE &amp; CONTACT categories"/>
    <s v="Task"/>
    <x v="0"/>
    <d v="2015-08-11T11:09:00"/>
    <x v="3"/>
    <x v="0"/>
    <x v="13"/>
    <n v="3"/>
    <m/>
    <n v="147.9"/>
    <n v="26.100000000000005"/>
  </r>
  <r>
    <s v="SBG - Desktop"/>
    <x v="2"/>
    <s v="Task"/>
    <s v="DESK-7125"/>
    <s v="remove decimals of price in NO, DK &amp; SE for SUN, EYE &amp; CONTACT categories"/>
    <s v="Task"/>
    <x v="0"/>
    <d v="2015-08-12T09:18:00"/>
    <x v="3"/>
    <x v="0"/>
    <x v="22"/>
    <n v="8"/>
    <m/>
    <n v="147.9"/>
    <n v="26.100000000000005"/>
  </r>
  <r>
    <s v="SBG - Desktop"/>
    <x v="2"/>
    <s v="Task"/>
    <s v="DESK-7125"/>
    <s v="remove decimals of price in NO, DK &amp; SE for SUN, EYE &amp; CONTACT categories"/>
    <s v="Task"/>
    <x v="0"/>
    <d v="2015-08-13T09:18:00"/>
    <x v="3"/>
    <x v="0"/>
    <x v="22"/>
    <n v="8"/>
    <m/>
    <n v="147.9"/>
    <n v="26.100000000000005"/>
  </r>
  <r>
    <s v="SBG - Desktop"/>
    <x v="2"/>
    <s v="Task"/>
    <s v="DESK-7125"/>
    <s v="remove decimals of price in NO, DK &amp; SE for SUN, EYE &amp; CONTACT categories"/>
    <s v="Task"/>
    <x v="0"/>
    <d v="2015-08-14T09:18:00"/>
    <x v="3"/>
    <x v="0"/>
    <x v="22"/>
    <n v="8"/>
    <m/>
    <n v="147.9"/>
    <n v="26.100000000000005"/>
  </r>
  <r>
    <s v="SBG - Desktop"/>
    <x v="2"/>
    <s v="Task"/>
    <s v="DESK-7125"/>
    <s v="remove decimals of price in NO, DK &amp; SE for SUN, EYE &amp; CONTACT categories"/>
    <s v="Task"/>
    <x v="0"/>
    <d v="2015-08-17T09:18:00"/>
    <x v="3"/>
    <x v="0"/>
    <x v="22"/>
    <n v="8"/>
    <m/>
    <n v="147.9"/>
    <n v="26.100000000000005"/>
  </r>
  <r>
    <s v="SBG - Desktop"/>
    <x v="2"/>
    <s v="Task"/>
    <s v="DESK-7125"/>
    <s v="remove decimals of price in NO, DK &amp; SE for SUN, EYE &amp; CONTACT categories"/>
    <s v="Task"/>
    <x v="0"/>
    <d v="2015-08-18T09:18:00"/>
    <x v="3"/>
    <x v="0"/>
    <x v="22"/>
    <n v="8"/>
    <m/>
    <n v="147.9"/>
    <n v="26.100000000000005"/>
  </r>
  <r>
    <s v="SBG - Desktop"/>
    <x v="2"/>
    <s v="Task"/>
    <s v="DESK-7125"/>
    <s v="remove decimals of price in NO, DK &amp; SE for SUN, EYE &amp; CONTACT categories"/>
    <s v="Task"/>
    <x v="0"/>
    <d v="2015-08-19T09:18:00"/>
    <x v="3"/>
    <x v="0"/>
    <x v="22"/>
    <n v="8"/>
    <m/>
    <n v="147.9"/>
    <n v="26.100000000000005"/>
  </r>
  <r>
    <s v="SBG - Desktop"/>
    <x v="2"/>
    <s v="Task"/>
    <s v="DESK-7125"/>
    <s v="remove decimals of price in NO, DK &amp; SE for SUN, EYE &amp; CONTACT categories"/>
    <s v="Task"/>
    <x v="0"/>
    <d v="2015-08-20T09:18:00"/>
    <x v="3"/>
    <x v="0"/>
    <x v="22"/>
    <n v="8"/>
    <m/>
    <n v="147.9"/>
    <n v="26.100000000000005"/>
  </r>
  <r>
    <s v="SBG - Desktop"/>
    <x v="2"/>
    <s v="Task"/>
    <s v="DESK-7125"/>
    <s v="remove decimals of price in NO, DK &amp; SE for SUN, EYE &amp; CONTACT categories"/>
    <s v="Task"/>
    <x v="0"/>
    <d v="2015-08-21T09:19:00"/>
    <x v="3"/>
    <x v="0"/>
    <x v="22"/>
    <n v="8"/>
    <m/>
    <n v="147.9"/>
    <n v="26.100000000000005"/>
  </r>
  <r>
    <s v="SBG - Desktop"/>
    <x v="4"/>
    <s v="Task"/>
    <s v="DESK-7125"/>
    <s v="remove decimals of price in NO, DK &amp; SE for SUN, EYE &amp; CONTACT categories"/>
    <s v="Task"/>
    <x v="0"/>
    <d v="2015-08-24T10:26:00"/>
    <x v="3"/>
    <x v="0"/>
    <x v="13"/>
    <n v="3"/>
    <m/>
    <n v="147.9"/>
    <n v="26.100000000000005"/>
  </r>
  <r>
    <s v="SBG - Desktop"/>
    <x v="2"/>
    <s v="Task"/>
    <s v="DESK-7125"/>
    <s v="remove decimals of price in NO, DK &amp; SE for SUN, EYE &amp; CONTACT categories"/>
    <s v="Task"/>
    <x v="0"/>
    <d v="2015-08-26T09:21:00"/>
    <x v="3"/>
    <x v="0"/>
    <x v="22"/>
    <n v="8"/>
    <m/>
    <n v="147.9"/>
    <n v="26.100000000000005"/>
  </r>
  <r>
    <s v="SBG - Desktop"/>
    <x v="2"/>
    <s v="Task"/>
    <s v="DESK-7125"/>
    <s v="remove decimals of price in NO, DK &amp; SE for SUN, EYE &amp; CONTACT categories"/>
    <s v="Task"/>
    <x v="0"/>
    <d v="2015-08-27T09:21:00"/>
    <x v="3"/>
    <x v="0"/>
    <x v="22"/>
    <n v="8"/>
    <m/>
    <n v="147.9"/>
    <n v="26.100000000000005"/>
  </r>
  <r>
    <s v="SBG - Desktop"/>
    <x v="2"/>
    <s v="Task"/>
    <s v="DESK-7125"/>
    <s v="remove decimals of price in NO, DK &amp; SE for SUN, EYE &amp; CONTACT categories"/>
    <s v="Task"/>
    <x v="0"/>
    <d v="2015-08-28T13:22:00"/>
    <x v="3"/>
    <x v="0"/>
    <x v="22"/>
    <n v="4"/>
    <m/>
    <n v="147.9"/>
    <n v="26.100000000000005"/>
  </r>
  <r>
    <s v="SBG - Desktop"/>
    <x v="2"/>
    <s v="Task"/>
    <s v="DESK-7125"/>
    <s v="remove decimals of price in NO, DK &amp; SE for SUN, EYE &amp; CONTACT categories"/>
    <s v="Task"/>
    <x v="0"/>
    <d v="2015-08-31T09:23:00"/>
    <x v="3"/>
    <x v="0"/>
    <x v="22"/>
    <n v="8"/>
    <m/>
    <n v="147.9"/>
    <n v="26.100000000000005"/>
  </r>
  <r>
    <s v="SBG - Desktop"/>
    <x v="4"/>
    <s v="Task"/>
    <s v="DESK-7141"/>
    <s v="Facebook new pixel implementation"/>
    <s v="Task"/>
    <x v="0"/>
    <d v="2015-08-10T11:04:00"/>
    <x v="3"/>
    <x v="0"/>
    <x v="13"/>
    <n v="4"/>
    <m/>
    <n v="147.9"/>
    <n v="26.100000000000005"/>
  </r>
  <r>
    <s v="SBG - Desktop"/>
    <x v="4"/>
    <s v="Task"/>
    <s v="DESK-7141"/>
    <s v="Facebook new pixel implementation"/>
    <s v="Task"/>
    <x v="0"/>
    <d v="2015-08-11T11:05:00"/>
    <x v="3"/>
    <x v="0"/>
    <x v="13"/>
    <n v="4"/>
    <m/>
    <n v="147.9"/>
    <n v="26.100000000000005"/>
  </r>
  <r>
    <s v="SBG - Desktop"/>
    <x v="4"/>
    <s v="Task"/>
    <s v="DESK-7141"/>
    <s v="Facebook new pixel implementation"/>
    <s v="Task"/>
    <x v="0"/>
    <d v="2015-08-12T11:05:00"/>
    <x v="3"/>
    <x v="0"/>
    <x v="13"/>
    <n v="4"/>
    <m/>
    <n v="147.9"/>
    <n v="26.100000000000005"/>
  </r>
  <r>
    <s v="SBG - Desktop"/>
    <x v="4"/>
    <s v="Task"/>
    <s v="DESK-7141"/>
    <s v="Facebook new pixel implementation"/>
    <s v="Task"/>
    <x v="0"/>
    <d v="2015-08-13T11:06:00"/>
    <x v="3"/>
    <x v="0"/>
    <x v="13"/>
    <n v="4"/>
    <m/>
    <n v="147.9"/>
    <n v="26.100000000000005"/>
  </r>
  <r>
    <s v="SBG - Desktop"/>
    <x v="4"/>
    <s v="Task"/>
    <s v="DESK-7161"/>
    <s v="Marketing Top Bar promotion - Polarized Sunglasses push"/>
    <s v="Task"/>
    <x v="0"/>
    <d v="2015-08-03T11:00:00"/>
    <x v="3"/>
    <x v="0"/>
    <x v="13"/>
    <n v="3"/>
    <m/>
    <n v="147.9"/>
    <n v="26.100000000000005"/>
  </r>
  <r>
    <s v="SBG - Desktop"/>
    <x v="0"/>
    <s v="Task"/>
    <s v="DESK-7163"/>
    <s v="HTML Code For NPS Survey"/>
    <s v="Task"/>
    <x v="0"/>
    <d v="2015-09-08T18:32:00"/>
    <x v="4"/>
    <x v="0"/>
    <x v="7"/>
    <n v="3.5"/>
    <m/>
    <n v="79"/>
    <n v="79"/>
  </r>
  <r>
    <s v="SBG - Desktop"/>
    <x v="0"/>
    <s v="Task"/>
    <s v="DESK-7163"/>
    <s v="HTML Code For NPS Survey"/>
    <s v="Task"/>
    <x v="0"/>
    <d v="2015-09-09T17:51:00"/>
    <x v="4"/>
    <x v="0"/>
    <x v="7"/>
    <n v="3.5"/>
    <m/>
    <n v="79"/>
    <n v="79"/>
  </r>
  <r>
    <s v="SBG - Desktop"/>
    <x v="2"/>
    <s v="Task"/>
    <s v="DESK-7171"/>
    <s v="CLONE - Packaging Photo Activation"/>
    <s v="Task"/>
    <x v="0"/>
    <d v="2015-08-25T15:02:00"/>
    <x v="3"/>
    <x v="0"/>
    <x v="22"/>
    <n v="16"/>
    <m/>
    <n v="147.9"/>
    <n v="26.100000000000005"/>
  </r>
  <r>
    <s v="SBG - Desktop"/>
    <x v="1"/>
    <s v="Task"/>
    <s v="DESK-7192"/>
    <s v="Remove Hidden Footer Links"/>
    <s v="Task"/>
    <x v="0"/>
    <d v="2015-08-24T08:14:00"/>
    <x v="3"/>
    <x v="0"/>
    <x v="21"/>
    <n v="8"/>
    <m/>
    <n v="147.9"/>
    <n v="26.100000000000005"/>
  </r>
  <r>
    <s v="SBG - Desktop"/>
    <x v="1"/>
    <s v="Task"/>
    <s v="DESK-7192"/>
    <s v="Remove Hidden Footer Links"/>
    <s v="Task"/>
    <x v="0"/>
    <d v="2015-08-28T16:16:00"/>
    <x v="3"/>
    <x v="0"/>
    <x v="21"/>
    <n v="2"/>
    <m/>
    <n v="147.9"/>
    <n v="26.100000000000005"/>
  </r>
  <r>
    <s v="SBG - Desktop"/>
    <x v="0"/>
    <s v="Task"/>
    <s v="DESK-7192"/>
    <s v="Remove Hidden Footer Links"/>
    <s v="Task"/>
    <x v="0"/>
    <d v="2015-08-28T16:18:00"/>
    <x v="3"/>
    <x v="0"/>
    <x v="19"/>
    <n v="1"/>
    <m/>
    <n v="87"/>
    <n v="87"/>
  </r>
  <r>
    <s v="SBG - Desktop"/>
    <x v="4"/>
    <s v="Task"/>
    <s v="DESK-7192"/>
    <s v="Remove Hidden Footer Links"/>
    <s v="Task"/>
    <x v="0"/>
    <d v="2015-09-10T16:53:00"/>
    <x v="4"/>
    <x v="0"/>
    <x v="13"/>
    <n v="3"/>
    <m/>
    <n v="134.29999999999998"/>
    <n v="23.700000000000003"/>
  </r>
  <r>
    <s v="SBG - Desktop"/>
    <x v="2"/>
    <s v="Task"/>
    <s v="DESK-7273"/>
    <s v="OMNI Store update"/>
    <s v="Task"/>
    <x v="0"/>
    <d v="2015-09-28T11:22:00"/>
    <x v="4"/>
    <x v="0"/>
    <x v="11"/>
    <n v="1"/>
    <m/>
    <n v="134.29999999999998"/>
    <n v="23.700000000000003"/>
  </r>
  <r>
    <s v="SBG - Desktop"/>
    <x v="2"/>
    <s v="Task"/>
    <s v="DESK-7273"/>
    <s v="OMNI Store update"/>
    <s v="Task"/>
    <x v="0"/>
    <d v="2015-09-28T12:00:00"/>
    <x v="4"/>
    <x v="0"/>
    <x v="11"/>
    <n v="1"/>
    <m/>
    <n v="134.29999999999998"/>
    <n v="23.700000000000003"/>
  </r>
  <r>
    <s v="SBG - Desktop"/>
    <x v="0"/>
    <s v="Task"/>
    <s v="DESK-7295"/>
    <s v="ipad order tracking page js issue"/>
    <s v="Task"/>
    <x v="0"/>
    <d v="2015-08-04T16:56:00"/>
    <x v="3"/>
    <x v="0"/>
    <x v="19"/>
    <n v="1"/>
    <m/>
    <n v="87"/>
    <n v="87"/>
  </r>
  <r>
    <s v="SBG - Desktop"/>
    <x v="2"/>
    <s v="Task"/>
    <s v="DESK-7304"/>
    <s v="incorporate new header/footer into SBG website"/>
    <s v="Task"/>
    <x v="0"/>
    <d v="2015-09-11T18:38:00"/>
    <x v="4"/>
    <x v="0"/>
    <x v="22"/>
    <n v="4"/>
    <m/>
    <n v="134.29999999999998"/>
    <n v="23.700000000000003"/>
  </r>
  <r>
    <s v="SBG - Desktop"/>
    <x v="0"/>
    <s v="Task"/>
    <s v="DESK-7304"/>
    <s v="incorporate new header/footer into SBG website"/>
    <s v="Task"/>
    <x v="0"/>
    <d v="2015-09-16T00:00:00"/>
    <x v="4"/>
    <x v="0"/>
    <x v="19"/>
    <n v="24"/>
    <m/>
    <n v="79"/>
    <n v="79"/>
  </r>
  <r>
    <s v="SBG - Desktop"/>
    <x v="0"/>
    <s v="Task"/>
    <s v="DESK-7304"/>
    <s v="incorporate new header/footer into SBG website"/>
    <s v="Task"/>
    <x v="0"/>
    <d v="2015-09-16T16:50:00"/>
    <x v="4"/>
    <x v="0"/>
    <x v="19"/>
    <n v="8"/>
    <m/>
    <n v="79"/>
    <n v="79"/>
  </r>
  <r>
    <s v="SBG - Desktop"/>
    <x v="0"/>
    <s v="Task"/>
    <s v="DESK-7304"/>
    <s v="incorporate new header/footer into SBG website"/>
    <s v="Task"/>
    <x v="0"/>
    <d v="2015-09-16T16:51:00"/>
    <x v="4"/>
    <x v="0"/>
    <x v="19"/>
    <n v="8"/>
    <m/>
    <n v="79"/>
    <n v="79"/>
  </r>
  <r>
    <s v="SBG - Desktop"/>
    <x v="0"/>
    <s v="Task"/>
    <s v="DESK-7304"/>
    <s v="incorporate new header/footer into SBG website"/>
    <s v="Task"/>
    <x v="0"/>
    <d v="2015-09-21T18:39:00"/>
    <x v="4"/>
    <x v="0"/>
    <x v="19"/>
    <n v="4"/>
    <m/>
    <n v="79"/>
    <n v="79"/>
  </r>
  <r>
    <s v="SBG - Desktop"/>
    <x v="2"/>
    <s v="Task"/>
    <s v="DESK-7304"/>
    <s v="incorporate new header/footer into SBG website"/>
    <s v="Task"/>
    <x v="0"/>
    <d v="2015-09-22T18:23:00"/>
    <x v="4"/>
    <x v="0"/>
    <x v="22"/>
    <n v="8"/>
    <m/>
    <n v="134.29999999999998"/>
    <n v="23.700000000000003"/>
  </r>
  <r>
    <s v="SBG - Desktop"/>
    <x v="0"/>
    <s v="Task"/>
    <s v="DESK-7304"/>
    <s v="incorporate new header/footer into SBG website"/>
    <s v="Task"/>
    <x v="0"/>
    <d v="2015-09-23T18:34:00"/>
    <x v="4"/>
    <x v="0"/>
    <x v="7"/>
    <n v="1"/>
    <m/>
    <n v="79"/>
    <n v="79"/>
  </r>
  <r>
    <s v="SBG - Desktop"/>
    <x v="0"/>
    <s v="Task"/>
    <s v="DESK-7304"/>
    <s v="incorporate new header/footer into SBG website"/>
    <s v="Task"/>
    <x v="0"/>
    <d v="2015-09-28T18:27:00"/>
    <x v="4"/>
    <x v="0"/>
    <x v="7"/>
    <n v="3"/>
    <m/>
    <n v="79"/>
    <n v="79"/>
  </r>
  <r>
    <s v="SBG - Desktop"/>
    <x v="2"/>
    <s v="Task"/>
    <s v="DESK-7307"/>
    <s v="RX Phase 2 -- Translation 'click here' button txt"/>
    <s v="Task"/>
    <x v="0"/>
    <d v="2015-08-05T12:53:00"/>
    <x v="3"/>
    <x v="0"/>
    <x v="18"/>
    <n v="6"/>
    <m/>
    <n v="147.9"/>
    <n v="26.100000000000005"/>
  </r>
  <r>
    <s v="SBG - Desktop"/>
    <x v="2"/>
    <s v="Task"/>
    <s v="DESK-7307"/>
    <s v="RX Phase 2 -- Translation 'click here' button txt"/>
    <s v="Task"/>
    <x v="0"/>
    <d v="2015-09-22T17:04:00"/>
    <x v="4"/>
    <x v="0"/>
    <x v="18"/>
    <n v="4"/>
    <m/>
    <n v="134.29999999999998"/>
    <n v="23.700000000000003"/>
  </r>
  <r>
    <s v="SBG - Desktop"/>
    <x v="4"/>
    <s v="Task"/>
    <s v="DESK-7314"/>
    <s v="Remove Old Tracking Code"/>
    <s v="Task"/>
    <x v="0"/>
    <d v="2015-08-18T10:35:00"/>
    <x v="3"/>
    <x v="0"/>
    <x v="13"/>
    <n v="3"/>
    <m/>
    <n v="147.9"/>
    <n v="26.100000000000005"/>
  </r>
  <r>
    <s v="SBG - Desktop"/>
    <x v="4"/>
    <s v="Task"/>
    <s v="DESK-7314"/>
    <s v="Remove Old Tracking Code"/>
    <s v="Task"/>
    <x v="0"/>
    <d v="2015-09-03T16:51:00"/>
    <x v="4"/>
    <x v="0"/>
    <x v="13"/>
    <n v="3"/>
    <m/>
    <n v="134.29999999999998"/>
    <n v="23.700000000000003"/>
  </r>
  <r>
    <s v="SBG - Desktop"/>
    <x v="4"/>
    <s v="Task"/>
    <s v="DESK-7314"/>
    <s v="Remove Old Tracking Code"/>
    <s v="Task"/>
    <x v="0"/>
    <d v="2015-09-09T16:52:00"/>
    <x v="4"/>
    <x v="0"/>
    <x v="13"/>
    <n v="4"/>
    <m/>
    <n v="134.29999999999998"/>
    <n v="23.700000000000003"/>
  </r>
  <r>
    <s v="SBG - Desktop"/>
    <x v="2"/>
    <s v="Improvement"/>
    <s v="DESK-7341"/>
    <s v="Missing quantity for gift card purchase VD0214033203GF"/>
    <s v="Improvement"/>
    <x v="0"/>
    <d v="2015-08-13T17:02:00"/>
    <x v="3"/>
    <x v="0"/>
    <x v="20"/>
    <n v="8"/>
    <m/>
    <n v="147.9"/>
    <n v="26.100000000000005"/>
  </r>
  <r>
    <s v="SBG - Desktop"/>
    <x v="2"/>
    <s v="Improvement"/>
    <s v="DESK-7341"/>
    <s v="Missing quantity for gift card purchase VD0214033203GF"/>
    <s v="Improvement"/>
    <x v="0"/>
    <d v="2015-08-14T17:02:00"/>
    <x v="3"/>
    <x v="0"/>
    <x v="20"/>
    <n v="8"/>
    <m/>
    <n v="147.9"/>
    <n v="26.100000000000005"/>
  </r>
  <r>
    <s v="SBG - Desktop"/>
    <x v="2"/>
    <s v="Improvement"/>
    <s v="DESK-7341"/>
    <s v="Missing quantity for gift card purchase VD0214033203GF"/>
    <s v="Improvement"/>
    <x v="0"/>
    <d v="2015-08-17T17:02:00"/>
    <x v="3"/>
    <x v="0"/>
    <x v="20"/>
    <n v="8"/>
    <m/>
    <n v="147.9"/>
    <n v="26.100000000000005"/>
  </r>
  <r>
    <s v="SBG - Desktop"/>
    <x v="2"/>
    <s v="Improvement"/>
    <s v="DESK-7341"/>
    <s v="Missing quantity for gift card purchase VD0214033203GF"/>
    <s v="Improvement"/>
    <x v="0"/>
    <d v="2015-08-18T17:02:00"/>
    <x v="3"/>
    <x v="0"/>
    <x v="20"/>
    <n v="3"/>
    <m/>
    <n v="147.9"/>
    <n v="26.100000000000005"/>
  </r>
  <r>
    <s v="SBG - Desktop"/>
    <x v="2"/>
    <s v="Improvement"/>
    <s v="DESK-7341"/>
    <s v="Missing quantity for gift card purchase VD0214033203GF"/>
    <s v="Improvement"/>
    <x v="0"/>
    <d v="2015-08-20T17:02:00"/>
    <x v="3"/>
    <x v="0"/>
    <x v="20"/>
    <n v="4"/>
    <m/>
    <n v="147.9"/>
    <n v="26.100000000000005"/>
  </r>
  <r>
    <s v="SBG - Desktop"/>
    <x v="2"/>
    <s v="Improvement"/>
    <s v="DESK-7341"/>
    <s v="Missing quantity for gift card purchase VD0214033203GF"/>
    <s v="Improvement"/>
    <x v="0"/>
    <d v="2015-08-27T11:00:00"/>
    <x v="3"/>
    <x v="0"/>
    <x v="20"/>
    <n v="7"/>
    <m/>
    <n v="147.9"/>
    <n v="26.100000000000005"/>
  </r>
  <r>
    <s v="SBG - Desktop"/>
    <x v="2"/>
    <s v="Task"/>
    <s v="DESK-7347"/>
    <s v="extend current prada top banner to 10/27"/>
    <s v="Task"/>
    <x v="0"/>
    <d v="2015-09-02T13:21:00"/>
    <x v="4"/>
    <x v="0"/>
    <x v="10"/>
    <n v="5"/>
    <m/>
    <n v="134.29999999999998"/>
    <n v="23.700000000000003"/>
  </r>
  <r>
    <s v="SBG - Desktop"/>
    <x v="2"/>
    <s v="Task"/>
    <s v="DESK-7347"/>
    <s v="extend current prada top banner to 10/27"/>
    <s v="Task"/>
    <x v="0"/>
    <d v="2015-09-08T10:22:00"/>
    <x v="4"/>
    <x v="0"/>
    <x v="10"/>
    <n v="8"/>
    <m/>
    <n v="134.29999999999998"/>
    <n v="23.700000000000003"/>
  </r>
  <r>
    <s v="SBG - Desktop"/>
    <x v="0"/>
    <s v="Task"/>
    <s v="DESK-7354"/>
    <s v="[Referral Section] Hide SHARE VIA FACEBOOK button"/>
    <s v="Task"/>
    <x v="0"/>
    <d v="2015-08-03T12:45:00"/>
    <x v="3"/>
    <x v="0"/>
    <x v="7"/>
    <n v="0.5"/>
    <m/>
    <n v="87"/>
    <n v="87"/>
  </r>
  <r>
    <s v="SBG - Desktop"/>
    <x v="0"/>
    <s v="Sub-task"/>
    <s v="DESK-7395"/>
    <s v="DESK-7146&gt; [CSS] Move outlined CSS files to &lt;head&gt;"/>
    <s v="Sub-task"/>
    <x v="0"/>
    <d v="2015-09-14T00:00:00"/>
    <x v="4"/>
    <x v="0"/>
    <x v="19"/>
    <n v="20"/>
    <m/>
    <n v="79"/>
    <n v="79"/>
  </r>
  <r>
    <s v="SBG - Desktop"/>
    <x v="0"/>
    <s v="Sub-task"/>
    <s v="DESK-7395"/>
    <s v="DESK-7146&gt; [CSS] Move outlined CSS files to &lt;head&gt;"/>
    <s v="Sub-task"/>
    <x v="0"/>
    <d v="2015-09-15T16:55:00"/>
    <x v="4"/>
    <x v="0"/>
    <x v="19"/>
    <n v="8"/>
    <m/>
    <n v="79"/>
    <n v="79"/>
  </r>
  <r>
    <s v="SBG - Desktop"/>
    <x v="0"/>
    <s v="Sub-task"/>
    <s v="DESK-7397"/>
    <s v="DESK-7146&gt; [JS] Move outlined JS files to page bottom or &lt;head&gt;"/>
    <s v="Sub-task"/>
    <x v="0"/>
    <d v="2015-09-14T14:59:00"/>
    <x v="4"/>
    <x v="0"/>
    <x v="19"/>
    <n v="32"/>
    <m/>
    <n v="79"/>
    <n v="79"/>
  </r>
  <r>
    <s v="SBG - Desktop"/>
    <x v="0"/>
    <s v="Sub-task"/>
    <s v="DESK-7397"/>
    <s v="DESK-7146&gt; [JS] Move outlined JS files to page bottom or &lt;head&gt;"/>
    <s v="Sub-task"/>
    <x v="0"/>
    <d v="2015-09-15T16:55:00"/>
    <x v="4"/>
    <x v="0"/>
    <x v="19"/>
    <n v="8"/>
    <m/>
    <n v="79"/>
    <n v="79"/>
  </r>
  <r>
    <s v="SBG - Desktop"/>
    <x v="0"/>
    <s v="Sub-task"/>
    <s v="DESK-7397"/>
    <s v="DESK-7146&gt; [JS] Move outlined JS files to page bottom or &lt;head&gt;"/>
    <s v="Sub-task"/>
    <x v="0"/>
    <d v="2015-09-18T16:51:00"/>
    <x v="4"/>
    <x v="0"/>
    <x v="19"/>
    <n v="8"/>
    <m/>
    <n v="79"/>
    <n v="79"/>
  </r>
  <r>
    <s v="SBG - Desktop"/>
    <x v="0"/>
    <s v="Technical task"/>
    <s v="DESK-7516"/>
    <s v="DESK-7044&gt; Compress JS before sending to CDN"/>
    <s v="Technical task"/>
    <x v="0"/>
    <d v="2015-09-04T18:17:00"/>
    <x v="4"/>
    <x v="0"/>
    <x v="24"/>
    <n v="8"/>
    <m/>
    <n v="79"/>
    <n v="79"/>
  </r>
  <r>
    <s v="SBG - Desktop"/>
    <x v="0"/>
    <s v="Technical task"/>
    <s v="DESK-7516"/>
    <s v="DESK-7044&gt; Compress JS before sending to CDN"/>
    <s v="Technical task"/>
    <x v="0"/>
    <d v="2015-09-08T10:06:00"/>
    <x v="4"/>
    <x v="0"/>
    <x v="24"/>
    <n v="8"/>
    <m/>
    <n v="79"/>
    <n v="79"/>
  </r>
  <r>
    <s v="SBG - Desktop"/>
    <x v="0"/>
    <s v="Technical task"/>
    <s v="DESK-7516"/>
    <s v="DESK-7044&gt; Compress JS before sending to CDN"/>
    <s v="Technical task"/>
    <x v="0"/>
    <d v="2015-09-11T10:06:00"/>
    <x v="4"/>
    <x v="0"/>
    <x v="24"/>
    <n v="8"/>
    <m/>
    <n v="79"/>
    <n v="79"/>
  </r>
  <r>
    <s v="SBG - Desktop"/>
    <x v="0"/>
    <s v="Technical task"/>
    <s v="DESK-7516"/>
    <s v="DESK-7044&gt; Compress JS before sending to CDN"/>
    <s v="Technical task"/>
    <x v="0"/>
    <d v="2015-09-16T11:06:00"/>
    <x v="4"/>
    <x v="0"/>
    <x v="24"/>
    <n v="7"/>
    <m/>
    <n v="79"/>
    <n v="79"/>
  </r>
  <r>
    <s v="SBG - Desktop"/>
    <x v="0"/>
    <s v="Technical task"/>
    <s v="DESK-7517"/>
    <s v="DESK-7044&gt; Cache time setting up for CDN resouces"/>
    <s v="Technical task"/>
    <x v="0"/>
    <d v="2015-09-09T18:19:00"/>
    <x v="4"/>
    <x v="0"/>
    <x v="24"/>
    <n v="2"/>
    <m/>
    <n v="79"/>
    <n v="79"/>
  </r>
  <r>
    <s v="SBG - Desktop"/>
    <x v="0"/>
    <s v="Technical task"/>
    <s v="DESK-7517"/>
    <s v="DESK-7044&gt; Cache time setting up for CDN resouces"/>
    <s v="Technical task"/>
    <x v="0"/>
    <d v="2015-09-10T17:38:00"/>
    <x v="4"/>
    <x v="0"/>
    <x v="24"/>
    <n v="4"/>
    <m/>
    <n v="79"/>
    <n v="79"/>
  </r>
  <r>
    <s v="SBG - Desktop"/>
    <x v="0"/>
    <s v="Technical task"/>
    <s v="DESK-7517"/>
    <s v="DESK-7044&gt; Cache time setting up for CDN resouces"/>
    <s v="Technical task"/>
    <x v="0"/>
    <d v="2015-09-14T10:09:00"/>
    <x v="4"/>
    <x v="0"/>
    <x v="24"/>
    <n v="2"/>
    <m/>
    <n v="79"/>
    <n v="79"/>
  </r>
  <r>
    <s v="SBG - Desktop"/>
    <x v="0"/>
    <s v="Technical task"/>
    <s v="DESK-7517"/>
    <s v="DESK-7044&gt; Cache time setting up for CDN resouces"/>
    <s v="Technical task"/>
    <x v="0"/>
    <d v="2015-09-17T17:29:00"/>
    <x v="4"/>
    <x v="0"/>
    <x v="24"/>
    <n v="1"/>
    <m/>
    <n v="79"/>
    <n v="79"/>
  </r>
  <r>
    <s v="SBG - Desktop"/>
    <x v="0"/>
    <s v="Technical task"/>
    <s v="DESK-7517"/>
    <s v="DESK-7044&gt; Cache time setting up for CDN resouces"/>
    <s v="Technical task"/>
    <x v="0"/>
    <d v="2015-09-28T09:37:00"/>
    <x v="4"/>
    <x v="0"/>
    <x v="24"/>
    <n v="8"/>
    <m/>
    <n v="79"/>
    <n v="79"/>
  </r>
  <r>
    <s v="SBG - Desktop"/>
    <x v="0"/>
    <s v="Technical task"/>
    <s v="DESK-7517"/>
    <s v="DESK-7044&gt; Cache time setting up for CDN resouces"/>
    <s v="Technical task"/>
    <x v="0"/>
    <d v="2015-09-29T11:58:00"/>
    <x v="4"/>
    <x v="0"/>
    <x v="24"/>
    <n v="8"/>
    <m/>
    <n v="79"/>
    <n v="79"/>
  </r>
  <r>
    <s v="SBG - Desktop"/>
    <x v="0"/>
    <s v="Technical task"/>
    <s v="DESK-7518"/>
    <s v="DESK-7044&gt; replace TrustPilot with instagram feed"/>
    <s v="Technical task"/>
    <x v="0"/>
    <d v="2015-09-03T13:16:00"/>
    <x v="4"/>
    <x v="0"/>
    <x v="24"/>
    <n v="5"/>
    <m/>
    <n v="79"/>
    <n v="79"/>
  </r>
  <r>
    <s v="SBG - Desktop"/>
    <x v="0"/>
    <s v="Technical task"/>
    <s v="DESK-7518"/>
    <s v="DESK-7044&gt; replace TrustPilot with instagram feed"/>
    <s v="Technical task"/>
    <x v="0"/>
    <d v="2015-09-10T17:33:00"/>
    <x v="4"/>
    <x v="0"/>
    <x v="24"/>
    <n v="4"/>
    <m/>
    <n v="79"/>
    <n v="79"/>
  </r>
  <r>
    <s v="SBG - Desktop"/>
    <x v="0"/>
    <s v="Technical task"/>
    <s v="DESK-7518"/>
    <s v="DESK-7044&gt; replace TrustPilot with instagram feed"/>
    <s v="Technical task"/>
    <x v="0"/>
    <d v="2015-09-14T14:24:00"/>
    <x v="4"/>
    <x v="0"/>
    <x v="24"/>
    <n v="1"/>
    <m/>
    <n v="79"/>
    <n v="79"/>
  </r>
  <r>
    <s v="SBG - Desktop"/>
    <x v="4"/>
    <s v="Task"/>
    <s v="DESK-7600"/>
    <s v="Add conversion tracking in baidu analytic"/>
    <s v="Task"/>
    <x v="0"/>
    <d v="2015-08-05T10:34:00"/>
    <x v="3"/>
    <x v="0"/>
    <x v="13"/>
    <n v="3"/>
    <m/>
    <n v="147.9"/>
    <n v="26.100000000000005"/>
  </r>
  <r>
    <s v="SBG - Desktop"/>
    <x v="4"/>
    <s v="Task"/>
    <s v="DESK-7600"/>
    <s v="Add conversion tracking in baidu analytic"/>
    <s v="Task"/>
    <x v="0"/>
    <d v="2015-08-06T16:43:00"/>
    <x v="3"/>
    <x v="0"/>
    <x v="13"/>
    <n v="4"/>
    <m/>
    <n v="147.9"/>
    <n v="26.100000000000005"/>
  </r>
  <r>
    <s v="SBG - Desktop"/>
    <x v="2"/>
    <s v="Improvement"/>
    <s v="DESK-7602"/>
    <s v="Project Management of China Website Improvement"/>
    <s v="Improvement"/>
    <x v="0"/>
    <d v="2015-09-15T16:18:00"/>
    <x v="4"/>
    <x v="0"/>
    <x v="25"/>
    <n v="32"/>
    <s v="average 1 working day per week."/>
    <n v="134.29999999999998"/>
    <n v="23.700000000000003"/>
  </r>
  <r>
    <s v="SBG - Desktop"/>
    <x v="0"/>
    <s v="Sub-task"/>
    <s v="DESK-7637"/>
    <s v="DESK-7628&gt; Create the new design page (HTML/CSS/JS)"/>
    <s v="Sub-task"/>
    <x v="0"/>
    <d v="2015-09-18T15:52:00"/>
    <x v="4"/>
    <x v="0"/>
    <x v="24"/>
    <n v="4"/>
    <m/>
    <n v="79"/>
    <n v="79"/>
  </r>
  <r>
    <s v="SBG - Desktop"/>
    <x v="0"/>
    <s v="Sub-task"/>
    <s v="DESK-7637"/>
    <s v="DESK-7628&gt; Create the new design page (HTML/CSS/JS)"/>
    <s v="Sub-task"/>
    <x v="0"/>
    <d v="2015-09-21T15:53:00"/>
    <x v="4"/>
    <x v="0"/>
    <x v="24"/>
    <n v="8"/>
    <m/>
    <n v="79"/>
    <n v="79"/>
  </r>
  <r>
    <s v="SBG - Desktop"/>
    <x v="0"/>
    <s v="Sub-task"/>
    <s v="DESK-7637"/>
    <s v="DESK-7628&gt; Create the new design page (HTML/CSS/JS)"/>
    <s v="Sub-task"/>
    <x v="0"/>
    <d v="2015-09-22T14:21:00"/>
    <x v="4"/>
    <x v="0"/>
    <x v="24"/>
    <n v="4"/>
    <m/>
    <n v="79"/>
    <n v="79"/>
  </r>
  <r>
    <s v="SBG - Desktop"/>
    <x v="0"/>
    <s v="Sub-task"/>
    <s v="DESK-7637"/>
    <s v="DESK-7628&gt; Create the new design page (HTML/CSS/JS)"/>
    <s v="Sub-task"/>
    <x v="0"/>
    <d v="2015-09-22T17:26:00"/>
    <x v="4"/>
    <x v="0"/>
    <x v="24"/>
    <n v="4"/>
    <m/>
    <n v="79"/>
    <n v="79"/>
  </r>
  <r>
    <s v="SBG - Desktop"/>
    <x v="2"/>
    <s v="New Feature"/>
    <s v="DESK-7681"/>
    <s v="Project Management for Pimcore"/>
    <s v="New Feature"/>
    <x v="0"/>
    <d v="2015-08-23T22:44:00"/>
    <x v="3"/>
    <x v="0"/>
    <x v="25"/>
    <n v="32"/>
    <m/>
    <n v="147.9"/>
    <n v="26.100000000000005"/>
  </r>
  <r>
    <s v="SBG - Desktop"/>
    <x v="2"/>
    <s v="New Feature"/>
    <s v="DESK-7681"/>
    <s v="Project Management for Pimcore"/>
    <s v="New Feature"/>
    <x v="0"/>
    <d v="2015-09-01T16:10:00"/>
    <x v="4"/>
    <x v="0"/>
    <x v="25"/>
    <n v="80"/>
    <s v="average 2 working days per week"/>
    <n v="134.29999999999998"/>
    <n v="23.700000000000003"/>
  </r>
  <r>
    <s v="SBG - Desktop"/>
    <x v="2"/>
    <s v="Improvement"/>
    <s v="DESK-7865"/>
    <s v="YJ Management Work log ticket-New Feature"/>
    <s v="Improvement"/>
    <x v="0"/>
    <d v="2015-08-05T13:11:00"/>
    <x v="3"/>
    <x v="0"/>
    <x v="14"/>
    <n v="148"/>
    <m/>
    <n v="147.9"/>
    <n v="26.100000000000005"/>
  </r>
  <r>
    <s v="SBG - Desktop"/>
    <x v="2"/>
    <s v="Improvement"/>
    <s v="DESK-7865"/>
    <s v="YJ Management Work log ticket-New Feature"/>
    <s v="Improvement"/>
    <x v="0"/>
    <d v="2015-08-25T17:18:00"/>
    <x v="3"/>
    <x v="0"/>
    <x v="14"/>
    <n v="136"/>
    <m/>
    <n v="147.9"/>
    <n v="26.100000000000005"/>
  </r>
  <r>
    <s v="SBG - Desktop"/>
    <x v="2"/>
    <s v="Improvement"/>
    <s v="DESK-7865"/>
    <s v="YJ Management Work log ticket-New Feature"/>
    <s v="Improvement"/>
    <x v="0"/>
    <d v="2015-08-25T17:18:00"/>
    <x v="3"/>
    <x v="0"/>
    <x v="14"/>
    <n v="136"/>
    <m/>
    <n v="147.9"/>
    <n v="26.100000000000005"/>
  </r>
  <r>
    <s v="SBG - Desktop"/>
    <x v="2"/>
    <s v="Improvement"/>
    <s v="DESK-7865"/>
    <s v="YJ Management Work log ticket-New Feature"/>
    <s v="Improvement"/>
    <x v="0"/>
    <d v="2015-09-25T17:19:00"/>
    <x v="4"/>
    <x v="0"/>
    <x v="14"/>
    <n v="136"/>
    <m/>
    <n v="134.29999999999998"/>
    <n v="23.700000000000003"/>
  </r>
  <r>
    <s v="SBG - Desktop"/>
    <x v="2"/>
    <s v="Bug"/>
    <s v="DESK-7866"/>
    <s v="YJ Management Work log ticket-maintainance"/>
    <s v="Bug"/>
    <x v="1"/>
    <d v="2015-08-25T17:21:00"/>
    <x v="3"/>
    <x v="0"/>
    <x v="14"/>
    <n v="24"/>
    <m/>
    <n v="147.9"/>
    <n v="26.100000000000005"/>
  </r>
  <r>
    <s v="Database Support"/>
    <x v="1"/>
    <s v="Task"/>
    <s v="DS-2708"/>
    <s v="Gucci Kids"/>
    <s v="Task"/>
    <x v="0"/>
    <d v="2015-09-10T11:52:00"/>
    <x v="4"/>
    <x v="0"/>
    <x v="1"/>
    <n v="2"/>
    <m/>
    <n v="134.29999999999998"/>
    <n v="23.700000000000003"/>
  </r>
  <r>
    <s v="Database Support"/>
    <x v="1"/>
    <s v="Task"/>
    <s v="DS-2708"/>
    <s v="Gucci Kids"/>
    <s v="Task"/>
    <x v="0"/>
    <d v="2015-09-16T19:31:00"/>
    <x v="4"/>
    <x v="0"/>
    <x v="1"/>
    <n v="8"/>
    <m/>
    <n v="134.29999999999998"/>
    <n v="23.700000000000003"/>
  </r>
  <r>
    <s v="Database Support"/>
    <x v="1"/>
    <s v="Task"/>
    <s v="DS-2708"/>
    <s v="Gucci Kids"/>
    <s v="Task"/>
    <x v="0"/>
    <d v="2015-09-22T19:32:00"/>
    <x v="4"/>
    <x v="0"/>
    <x v="1"/>
    <n v="8"/>
    <m/>
    <n v="134.29999999999998"/>
    <n v="23.700000000000003"/>
  </r>
  <r>
    <s v="Database Support"/>
    <x v="1"/>
    <s v="Task"/>
    <s v="DS-2708"/>
    <s v="Gucci Kids"/>
    <s v="Task"/>
    <x v="0"/>
    <d v="2015-09-23T19:32:00"/>
    <x v="4"/>
    <x v="0"/>
    <x v="1"/>
    <n v="8"/>
    <m/>
    <n v="134.29999999999998"/>
    <n v="23.700000000000003"/>
  </r>
  <r>
    <s v="SBG - Mobile"/>
    <x v="0"/>
    <s v="Task"/>
    <s v="MOBL-183"/>
    <s v="NEW DESIGN MOBILE Home Page Banners"/>
    <s v="Task"/>
    <x v="0"/>
    <d v="2015-09-09T17:51:00"/>
    <x v="4"/>
    <x v="0"/>
    <x v="7"/>
    <n v="3"/>
    <m/>
    <n v="79"/>
    <n v="79"/>
  </r>
  <r>
    <s v="SBG - Mobile"/>
    <x v="0"/>
    <s v="Task"/>
    <s v="MOBL-183"/>
    <s v="NEW DESIGN MOBILE Home Page Banners"/>
    <s v="Task"/>
    <x v="0"/>
    <d v="2015-09-14T18:21:00"/>
    <x v="4"/>
    <x v="0"/>
    <x v="7"/>
    <n v="1.5"/>
    <m/>
    <n v="79"/>
    <n v="79"/>
  </r>
  <r>
    <s v="SBG - Mobile"/>
    <x v="1"/>
    <s v="New Feature"/>
    <s v="MOBL-185"/>
    <s v="Sitemaps update - Mobile implementation"/>
    <s v="New Feature"/>
    <x v="0"/>
    <d v="2015-08-04T19:18:00"/>
    <x v="3"/>
    <x v="0"/>
    <x v="1"/>
    <n v="4"/>
    <m/>
    <n v="147.9"/>
    <n v="26.100000000000005"/>
  </r>
  <r>
    <s v="SBG - Mobile"/>
    <x v="1"/>
    <s v="New Feature"/>
    <s v="MOBL-185"/>
    <s v="Sitemaps update - Mobile implementation"/>
    <s v="New Feature"/>
    <x v="0"/>
    <d v="2015-08-11T10:19:00"/>
    <x v="3"/>
    <x v="0"/>
    <x v="1"/>
    <n v="1"/>
    <m/>
    <n v="147.9"/>
    <n v="26.100000000000005"/>
  </r>
  <r>
    <s v="SBG - Mobile"/>
    <x v="1"/>
    <s v="New Feature"/>
    <s v="MOBL-185"/>
    <s v="Sitemaps update - Mobile implementation"/>
    <s v="New Feature"/>
    <x v="0"/>
    <d v="2015-08-13T19:21:00"/>
    <x v="3"/>
    <x v="0"/>
    <x v="1"/>
    <n v="8"/>
    <m/>
    <n v="147.9"/>
    <n v="26.100000000000005"/>
  </r>
  <r>
    <s v="SBG - Mobile"/>
    <x v="2"/>
    <s v="New Feature"/>
    <s v="MOBL-282"/>
    <s v="New filters on mobile: Polarisation and Prescription"/>
    <s v="New Feature"/>
    <x v="0"/>
    <d v="2015-09-04T17:21:00"/>
    <x v="4"/>
    <x v="0"/>
    <x v="22"/>
    <n v="6"/>
    <m/>
    <n v="134.29999999999998"/>
    <n v="23.700000000000003"/>
  </r>
  <r>
    <s v="SBG - Mobile"/>
    <x v="4"/>
    <s v="New Feature"/>
    <s v="MOBL-282"/>
    <s v="New filters on mobile: Polarisation and Prescription"/>
    <s v="New Feature"/>
    <x v="0"/>
    <d v="2015-09-16T17:33:00"/>
    <x v="4"/>
    <x v="0"/>
    <x v="13"/>
    <n v="3"/>
    <m/>
    <n v="134.29999999999998"/>
    <n v="23.700000000000003"/>
  </r>
  <r>
    <s v="SBG - Mobile"/>
    <x v="2"/>
    <s v="Bug"/>
    <s v="MOBL-329"/>
    <s v="Translation issue"/>
    <s v="Bug"/>
    <x v="1"/>
    <d v="2015-08-04T14:14:00"/>
    <x v="3"/>
    <x v="0"/>
    <x v="10"/>
    <n v="4"/>
    <m/>
    <n v="147.9"/>
    <n v="26.100000000000005"/>
  </r>
  <r>
    <s v="SBG - Mobile"/>
    <x v="2"/>
    <s v="Bug"/>
    <s v="MOBL-329"/>
    <s v="Translation issue"/>
    <s v="Bug"/>
    <x v="1"/>
    <d v="2015-08-18T12:22:00"/>
    <x v="3"/>
    <x v="0"/>
    <x v="10"/>
    <n v="3"/>
    <m/>
    <n v="147.9"/>
    <n v="26.100000000000005"/>
  </r>
  <r>
    <s v="SBG - Mobile"/>
    <x v="2"/>
    <s v="Bug"/>
    <s v="MOBL-336"/>
    <s v="Translation Search title"/>
    <s v="Bug"/>
    <x v="1"/>
    <d v="2015-08-17T12:21:00"/>
    <x v="3"/>
    <x v="0"/>
    <x v="10"/>
    <n v="3"/>
    <m/>
    <n v="147.9"/>
    <n v="26.100000000000005"/>
  </r>
  <r>
    <s v="SBG - Mobile"/>
    <x v="2"/>
    <s v="Sub-task"/>
    <s v="MOBL-477"/>
    <s v="MOBL-308&gt; UK CheckOut Page- state can not select"/>
    <s v="Sub-task"/>
    <x v="0"/>
    <d v="2015-08-03T10:35:00"/>
    <x v="3"/>
    <x v="0"/>
    <x v="11"/>
    <n v="0.5"/>
    <m/>
    <n v="147.9"/>
    <n v="26.100000000000005"/>
  </r>
  <r>
    <s v="SBG - Mobile"/>
    <x v="1"/>
    <s v="Sub-task"/>
    <s v="MOBL-477"/>
    <s v="MOBL-308&gt; UK CheckOut Page- state can not select"/>
    <s v="Sub-task"/>
    <x v="0"/>
    <d v="2015-08-28T10:14:00"/>
    <x v="3"/>
    <x v="0"/>
    <x v="21"/>
    <n v="2"/>
    <m/>
    <n v="147.9"/>
    <n v="26.100000000000005"/>
  </r>
  <r>
    <s v="SBG - Mobile"/>
    <x v="2"/>
    <s v="Sub-task"/>
    <s v="MOBL-484"/>
    <s v="MOBL-308&gt; TRANSLATION ISSUES"/>
    <s v="Sub-task"/>
    <x v="0"/>
    <d v="2015-08-07T10:53:00"/>
    <x v="3"/>
    <x v="0"/>
    <x v="18"/>
    <n v="8"/>
    <m/>
    <n v="147.9"/>
    <n v="26.100000000000005"/>
  </r>
  <r>
    <s v="SBG - Mobile"/>
    <x v="2"/>
    <s v="Sub-task"/>
    <s v="MOBL-484"/>
    <s v="MOBL-308&gt; TRANSLATION ISSUES"/>
    <s v="Sub-task"/>
    <x v="0"/>
    <d v="2015-09-29T11:40:00"/>
    <x v="4"/>
    <x v="0"/>
    <x v="18"/>
    <n v="93"/>
    <m/>
    <n v="134.29999999999998"/>
    <n v="23.700000000000003"/>
  </r>
  <r>
    <s v="SBG - Mobile"/>
    <x v="2"/>
    <s v="Bug"/>
    <s v="MOBL-495"/>
    <s v="Discontinued Products on mobile Home page"/>
    <s v="Bug"/>
    <x v="1"/>
    <d v="2015-08-07T09:30:00"/>
    <x v="3"/>
    <x v="0"/>
    <x v="11"/>
    <n v="2"/>
    <m/>
    <n v="147.9"/>
    <n v="26.100000000000005"/>
  </r>
  <r>
    <s v="SBG - Mobile"/>
    <x v="2"/>
    <s v="Sub-task"/>
    <s v="MOBL-498"/>
    <s v="MOBL-308&gt; HOMEPAGE-some domains returns blank page"/>
    <s v="Sub-task"/>
    <x v="0"/>
    <d v="2015-08-06T12:00:00"/>
    <x v="3"/>
    <x v="0"/>
    <x v="2"/>
    <n v="4"/>
    <m/>
    <n v="147.9"/>
    <n v="26.100000000000005"/>
  </r>
  <r>
    <s v="SBG - Mobile"/>
    <x v="2"/>
    <s v="Sub-task"/>
    <s v="MOBL-498"/>
    <s v="MOBL-308&gt; HOMEPAGE-some domains returns blank page"/>
    <s v="Sub-task"/>
    <x v="0"/>
    <d v="2015-08-07T12:00:00"/>
    <x v="3"/>
    <x v="0"/>
    <x v="2"/>
    <n v="5"/>
    <m/>
    <n v="147.9"/>
    <n v="26.100000000000005"/>
  </r>
  <r>
    <s v="SBG - Mobile"/>
    <x v="2"/>
    <s v="Sub-task"/>
    <s v="MOBL-498"/>
    <s v="MOBL-308&gt; HOMEPAGE-some domains returns blank page"/>
    <s v="Sub-task"/>
    <x v="0"/>
    <d v="2015-08-10T12:19:00"/>
    <x v="3"/>
    <x v="0"/>
    <x v="2"/>
    <n v="1"/>
    <m/>
    <n v="147.9"/>
    <n v="26.100000000000005"/>
  </r>
  <r>
    <s v="SBG - Mobile"/>
    <x v="2"/>
    <s v="Sub-task"/>
    <s v="MOBL-498"/>
    <s v="MOBL-308&gt; HOMEPAGE-some domains returns blank page"/>
    <s v="Sub-task"/>
    <x v="0"/>
    <d v="2015-08-11T10:21:00"/>
    <x v="3"/>
    <x v="0"/>
    <x v="2"/>
    <n v="5"/>
    <s v="It's ok now"/>
    <n v="147.9"/>
    <n v="26.100000000000005"/>
  </r>
  <r>
    <s v="SBG - Mobile"/>
    <x v="2"/>
    <s v="Sub-task"/>
    <s v="MOBL-498"/>
    <s v="MOBL-308&gt; HOMEPAGE-some domains returns blank page"/>
    <s v="Sub-task"/>
    <x v="0"/>
    <d v="2015-08-13T12:19:00"/>
    <x v="3"/>
    <x v="0"/>
    <x v="2"/>
    <n v="4"/>
    <m/>
    <n v="147.9"/>
    <n v="26.100000000000005"/>
  </r>
  <r>
    <s v="SBG - Mobile"/>
    <x v="1"/>
    <s v="Sub-task"/>
    <s v="MOBL-516"/>
    <s v="MOBL-473&gt; shopping cart page progress bar display twice"/>
    <s v="Sub-task"/>
    <x v="0"/>
    <d v="2015-08-27T08:14:00"/>
    <x v="3"/>
    <x v="0"/>
    <x v="21"/>
    <n v="8"/>
    <m/>
    <n v="147.9"/>
    <n v="26.100000000000005"/>
  </r>
  <r>
    <s v="SBG - Mobile"/>
    <x v="1"/>
    <s v="Sub-task"/>
    <s v="MOBL-516"/>
    <s v="MOBL-473&gt; shopping cart page progress bar display twice"/>
    <s v="Sub-task"/>
    <x v="0"/>
    <d v="2015-09-01T08:13:00"/>
    <x v="4"/>
    <x v="0"/>
    <x v="21"/>
    <n v="8"/>
    <m/>
    <n v="134.29999999999998"/>
    <n v="23.700000000000003"/>
  </r>
  <r>
    <s v="SBG - Mobile"/>
    <x v="1"/>
    <s v="Sub-task"/>
    <s v="MOBL-516"/>
    <s v="MOBL-473&gt; shopping cart page progress bar display twice"/>
    <s v="Sub-task"/>
    <x v="0"/>
    <d v="2015-09-02T17:44:00"/>
    <x v="4"/>
    <x v="0"/>
    <x v="21"/>
    <n v="2"/>
    <m/>
    <n v="134.29999999999998"/>
    <n v="23.700000000000003"/>
  </r>
  <r>
    <s v="SBG - Mobile"/>
    <x v="1"/>
    <s v="Technical task"/>
    <s v="MOBL-534"/>
    <s v="MOBL-308&gt; don't show Filter when search result=0"/>
    <s v="Technical task"/>
    <x v="0"/>
    <d v="2015-08-18T17:02:00"/>
    <x v="3"/>
    <x v="0"/>
    <x v="21"/>
    <n v="3"/>
    <m/>
    <n v="147.9"/>
    <n v="26.100000000000005"/>
  </r>
  <r>
    <s v="SBG - Mobile"/>
    <x v="1"/>
    <s v="Technical task"/>
    <s v="MOBL-534"/>
    <s v="MOBL-308&gt; don't show Filter when search result=0"/>
    <s v="Technical task"/>
    <x v="0"/>
    <d v="2015-08-28T09:42:00"/>
    <x v="3"/>
    <x v="0"/>
    <x v="21"/>
    <n v="2"/>
    <m/>
    <n v="147.9"/>
    <n v="26.100000000000005"/>
  </r>
  <r>
    <s v="SBG - Mobile"/>
    <x v="4"/>
    <s v="Bug"/>
    <s v="MOBL-554"/>
    <s v="Filter and hyphen fix new mobile website"/>
    <s v="Bug"/>
    <x v="1"/>
    <d v="2015-08-25T11:15:00"/>
    <x v="3"/>
    <x v="0"/>
    <x v="13"/>
    <n v="3"/>
    <m/>
    <n v="147.9"/>
    <n v="26.100000000000005"/>
  </r>
  <r>
    <s v="SBG - Mobile"/>
    <x v="0"/>
    <s v="Sub-task"/>
    <s v="MOBL-558"/>
    <s v="MOBL-308&gt; Checkout Page-Letter case should be lower case"/>
    <s v="Sub-task"/>
    <x v="0"/>
    <d v="2015-08-03T17:12:00"/>
    <x v="3"/>
    <x v="0"/>
    <x v="19"/>
    <n v="1"/>
    <m/>
    <n v="87"/>
    <n v="87"/>
  </r>
  <r>
    <s v="SBG - Mobile"/>
    <x v="1"/>
    <s v="Sub-task"/>
    <s v="MOBL-558"/>
    <s v="MOBL-308&gt; Checkout Page-Letter case should be lower case"/>
    <s v="Sub-task"/>
    <x v="0"/>
    <d v="2015-08-14T12:57:00"/>
    <x v="3"/>
    <x v="0"/>
    <x v="21"/>
    <n v="2"/>
    <m/>
    <n v="147.9"/>
    <n v="26.100000000000005"/>
  </r>
  <r>
    <s v="SBG - Mobile"/>
    <x v="1"/>
    <s v="Technical task"/>
    <s v="MOBL-559"/>
    <s v="MOBL-308&gt; Checkout Page-gc payment error message display is too hidden"/>
    <s v="Technical task"/>
    <x v="0"/>
    <d v="2015-08-18T17:21:00"/>
    <x v="3"/>
    <x v="0"/>
    <x v="21"/>
    <n v="4"/>
    <m/>
    <n v="147.9"/>
    <n v="26.100000000000005"/>
  </r>
  <r>
    <s v="SBG - Mobile"/>
    <x v="1"/>
    <s v="Sub-task"/>
    <s v="MOBL-560"/>
    <s v="MOBL-308&gt; Checkout Page-gc JCB payment error message"/>
    <s v="Sub-task"/>
    <x v="0"/>
    <d v="2015-08-18T17:25:00"/>
    <x v="3"/>
    <x v="0"/>
    <x v="21"/>
    <n v="2"/>
    <m/>
    <n v="147.9"/>
    <n v="26.100000000000005"/>
  </r>
  <r>
    <s v="SBG - Mobile"/>
    <x v="2"/>
    <s v="New Feature"/>
    <s v="MOBL-563"/>
    <s v="Change new mobile js and css to CDN"/>
    <s v="New Feature"/>
    <x v="0"/>
    <d v="2015-08-05T11:27:00"/>
    <x v="3"/>
    <x v="0"/>
    <x v="2"/>
    <n v="8"/>
    <m/>
    <n v="147.9"/>
    <n v="26.100000000000005"/>
  </r>
  <r>
    <s v="SBG - Mobile"/>
    <x v="2"/>
    <s v="New Feature"/>
    <s v="MOBL-564"/>
    <s v="shut down A/B testing for all mobile domains"/>
    <s v="New Feature"/>
    <x v="0"/>
    <d v="2015-08-07T12:00:00"/>
    <x v="3"/>
    <x v="0"/>
    <x v="2"/>
    <n v="3"/>
    <m/>
    <n v="147.9"/>
    <n v="26.100000000000005"/>
  </r>
  <r>
    <s v="SBG - Mobile"/>
    <x v="2"/>
    <s v="New Feature"/>
    <s v="MOBL-564"/>
    <s v="shut down A/B testing for all mobile domains"/>
    <s v="New Feature"/>
    <x v="0"/>
    <d v="2015-08-12T12:09:00"/>
    <x v="3"/>
    <x v="0"/>
    <x v="2"/>
    <n v="8"/>
    <m/>
    <n v="147.9"/>
    <n v="26.100000000000005"/>
  </r>
  <r>
    <s v="SBG - Mobile"/>
    <x v="0"/>
    <s v="Improvement"/>
    <s v="MOBL-565"/>
    <s v="New mobile header improvements"/>
    <s v="Improvement"/>
    <x v="0"/>
    <d v="2015-08-11T14:17:00"/>
    <x v="3"/>
    <x v="0"/>
    <x v="19"/>
    <n v="2"/>
    <m/>
    <n v="87"/>
    <n v="87"/>
  </r>
  <r>
    <s v="SBG - Mobile"/>
    <x v="1"/>
    <s v="Improvement"/>
    <s v="MOBL-565"/>
    <s v="New mobile header improvements"/>
    <s v="Improvement"/>
    <x v="0"/>
    <d v="2015-08-12T18:29:00"/>
    <x v="3"/>
    <x v="0"/>
    <x v="21"/>
    <n v="3"/>
    <m/>
    <n v="147.9"/>
    <n v="26.100000000000005"/>
  </r>
  <r>
    <s v="SBG - Mobile"/>
    <x v="0"/>
    <s v="Task"/>
    <s v="MOBL-567"/>
    <s v="SBG mobile CL - Grid Page issues"/>
    <s v="Task"/>
    <x v="0"/>
    <d v="2015-08-24T16:14:00"/>
    <x v="3"/>
    <x v="0"/>
    <x v="7"/>
    <n v="2"/>
    <m/>
    <n v="87"/>
    <n v="87"/>
  </r>
  <r>
    <s v="SBG - Mobile"/>
    <x v="1"/>
    <s v="Task"/>
    <s v="MOBL-567"/>
    <s v="SBG mobile CL - Grid Page issues"/>
    <s v="Task"/>
    <x v="0"/>
    <d v="2015-08-26T15:25:00"/>
    <x v="3"/>
    <x v="0"/>
    <x v="21"/>
    <n v="5"/>
    <m/>
    <n v="147.9"/>
    <n v="26.100000000000005"/>
  </r>
  <r>
    <s v="SBG - Mobile"/>
    <x v="2"/>
    <s v="Sub-task"/>
    <s v="MOBL-569"/>
    <s v="MOBL-185&gt; implement new mobile site map with new filters and hypens."/>
    <s v="Sub-task"/>
    <x v="0"/>
    <d v="2015-08-31T09:30:00"/>
    <x v="3"/>
    <x v="0"/>
    <x v="11"/>
    <n v="1"/>
    <m/>
    <n v="147.9"/>
    <n v="26.100000000000005"/>
  </r>
  <r>
    <s v="SBG - Mobile"/>
    <x v="2"/>
    <s v="Sub-task"/>
    <s v="MOBL-569"/>
    <s v="MOBL-185&gt; implement new mobile site map with new filters and hypens."/>
    <s v="Sub-task"/>
    <x v="0"/>
    <d v="2015-08-31T10:30:00"/>
    <x v="3"/>
    <x v="0"/>
    <x v="11"/>
    <n v="7"/>
    <m/>
    <n v="147.9"/>
    <n v="26.100000000000005"/>
  </r>
  <r>
    <s v="SBG - Mobile"/>
    <x v="2"/>
    <s v="Sub-task"/>
    <s v="MOBL-569"/>
    <s v="MOBL-185&gt; implement new mobile site map with new filters and hypens."/>
    <s v="Sub-task"/>
    <x v="0"/>
    <d v="2015-09-01T11:00:00"/>
    <x v="4"/>
    <x v="0"/>
    <x v="11"/>
    <n v="6"/>
    <m/>
    <n v="134.29999999999998"/>
    <n v="23.700000000000003"/>
  </r>
  <r>
    <s v="SBG - Mobile"/>
    <x v="4"/>
    <s v="New Feature"/>
    <s v="MOBL-570"/>
    <s v="RocketFuel Tracking Pixel Mobile"/>
    <s v="New Feature"/>
    <x v="0"/>
    <d v="2015-08-20T12:14:00"/>
    <x v="3"/>
    <x v="0"/>
    <x v="13"/>
    <n v="2"/>
    <m/>
    <n v="147.9"/>
    <n v="26.100000000000005"/>
  </r>
  <r>
    <s v="SBG - Mobile"/>
    <x v="4"/>
    <s v="New Feature"/>
    <s v="MOBL-570"/>
    <s v="RocketFuel Tracking Pixel Mobile"/>
    <s v="New Feature"/>
    <x v="0"/>
    <d v="2015-08-24T10:30:00"/>
    <x v="3"/>
    <x v="0"/>
    <x v="13"/>
    <n v="3"/>
    <m/>
    <n v="147.9"/>
    <n v="26.100000000000005"/>
  </r>
  <r>
    <s v="SBG - Mobile"/>
    <x v="1"/>
    <s v="New Feature"/>
    <s v="MOBL-570"/>
    <s v="RocketFuel Tracking Pixel Mobile"/>
    <s v="New Feature"/>
    <x v="0"/>
    <d v="2015-09-17T17:58:00"/>
    <x v="4"/>
    <x v="0"/>
    <x v="1"/>
    <n v="1.5"/>
    <m/>
    <n v="134.29999999999998"/>
    <n v="23.700000000000003"/>
  </r>
  <r>
    <s v="SBG - Mobile"/>
    <x v="1"/>
    <s v="Task"/>
    <s v="MOBL-575"/>
    <s v="Mobile UX - Create Codes for Test Purchases"/>
    <s v="Task"/>
    <x v="0"/>
    <d v="2015-09-09T19:10:00"/>
    <x v="4"/>
    <x v="0"/>
    <x v="8"/>
    <n v="0.5"/>
    <m/>
    <n v="134.29999999999998"/>
    <n v="23.700000000000003"/>
  </r>
  <r>
    <s v="SBG - Mobile"/>
    <x v="2"/>
    <s v="Sub-task"/>
    <s v="MOBL-579"/>
    <s v="MOBL-580&gt; NEW MOBILE-nothing displays when clicking on &quot;enets&quot; button of sg gc-checkout page"/>
    <s v="Sub-task"/>
    <x v="0"/>
    <d v="2015-08-11T10:54:00"/>
    <x v="3"/>
    <x v="0"/>
    <x v="18"/>
    <n v="8"/>
    <m/>
    <n v="147.9"/>
    <n v="26.100000000000005"/>
  </r>
  <r>
    <s v="SBG - Mobile"/>
    <x v="2"/>
    <s v="Sub-task"/>
    <s v="MOBL-579"/>
    <s v="MOBL-580&gt; NEW MOBILE-nothing displays when clicking on &quot;enets&quot; button of sg gc-checkout page"/>
    <s v="Sub-task"/>
    <x v="0"/>
    <d v="2015-09-16T15:52:00"/>
    <x v="4"/>
    <x v="0"/>
    <x v="18"/>
    <n v="8"/>
    <m/>
    <n v="134.29999999999998"/>
    <n v="23.700000000000003"/>
  </r>
  <r>
    <s v="SBG - Mobile"/>
    <x v="2"/>
    <s v="Technical task"/>
    <s v="MOBL-581"/>
    <s v="MOBL-580&gt; it returns 500 on CN(en) gc-checkout page"/>
    <s v="Technical task"/>
    <x v="0"/>
    <d v="2015-08-19T10:55:00"/>
    <x v="3"/>
    <x v="0"/>
    <x v="18"/>
    <n v="8"/>
    <m/>
    <n v="147.9"/>
    <n v="26.100000000000005"/>
  </r>
  <r>
    <s v="SBG - Mobile"/>
    <x v="2"/>
    <s v="Technical task"/>
    <s v="MOBL-581"/>
    <s v="MOBL-580&gt; it returns 500 on CN(en) gc-checkout page"/>
    <s v="Technical task"/>
    <x v="0"/>
    <d v="2015-09-17T11:14:00"/>
    <x v="4"/>
    <x v="0"/>
    <x v="18"/>
    <n v="4"/>
    <m/>
    <n v="134.29999999999998"/>
    <n v="23.700000000000003"/>
  </r>
  <r>
    <s v="SBG - Mobile"/>
    <x v="0"/>
    <s v="Technical task"/>
    <s v="MOBL-583"/>
    <s v="MOBL-580&gt; lack of domain logos on homepages of MY/ID/VN"/>
    <s v="Technical task"/>
    <x v="0"/>
    <d v="2015-09-17T12:10:00"/>
    <x v="4"/>
    <x v="0"/>
    <x v="19"/>
    <n v="0.5"/>
    <m/>
    <n v="79"/>
    <n v="79"/>
  </r>
  <r>
    <s v="SBG - Mobile"/>
    <x v="0"/>
    <s v="Technical task"/>
    <s v="MOBL-583"/>
    <s v="MOBL-580&gt; lack of domain logos on homepages of MY/ID/VN"/>
    <s v="Technical task"/>
    <x v="0"/>
    <d v="2015-09-23T00:00:00"/>
    <x v="4"/>
    <x v="0"/>
    <x v="19"/>
    <n v="40"/>
    <m/>
    <n v="79"/>
    <n v="79"/>
  </r>
  <r>
    <s v="SBG - Mobile"/>
    <x v="1"/>
    <s v="Sub-task"/>
    <s v="MOBL-585"/>
    <s v="MOBL-308&gt; Checkout--GC payment can not load"/>
    <s v="Sub-task"/>
    <x v="0"/>
    <d v="2015-09-14T08:13:00"/>
    <x v="4"/>
    <x v="0"/>
    <x v="21"/>
    <n v="8"/>
    <m/>
    <n v="134.29999999999998"/>
    <n v="23.700000000000003"/>
  </r>
  <r>
    <s v="SBG - Mobile"/>
    <x v="1"/>
    <s v="Sub-task"/>
    <s v="MOBL-585"/>
    <s v="MOBL-308&gt; Checkout--GC payment can not load"/>
    <s v="Sub-task"/>
    <x v="0"/>
    <d v="2015-09-18T11:13:00"/>
    <x v="4"/>
    <x v="0"/>
    <x v="21"/>
    <n v="5"/>
    <m/>
    <n v="134.29999999999998"/>
    <n v="23.700000000000003"/>
  </r>
  <r>
    <s v="SBG - Mobile"/>
    <x v="2"/>
    <s v="Sub-task"/>
    <s v="MOBL-585"/>
    <s v="MOBL-308&gt; Checkout--GC payment can not load"/>
    <s v="Sub-task"/>
    <x v="0"/>
    <d v="2015-09-22T16:00:00"/>
    <x v="4"/>
    <x v="0"/>
    <x v="11"/>
    <n v="1.5"/>
    <m/>
    <n v="134.29999999999998"/>
    <n v="23.700000000000003"/>
  </r>
  <r>
    <s v="SBG - Mobile"/>
    <x v="1"/>
    <s v="Sub-task"/>
    <s v="MOBL-585"/>
    <s v="MOBL-308&gt; Checkout--GC payment can not load"/>
    <s v="Sub-task"/>
    <x v="0"/>
    <d v="2015-09-23T10:14:00"/>
    <x v="4"/>
    <x v="0"/>
    <x v="21"/>
    <n v="4"/>
    <m/>
    <n v="134.29999999999998"/>
    <n v="23.700000000000003"/>
  </r>
  <r>
    <s v="SBG - Mobile"/>
    <x v="1"/>
    <s v="Bug"/>
    <s v="MOBL-586"/>
    <s v="sbg logo on paypal checkout page on mobile site doesnt show up for some of domains"/>
    <s v="Bug"/>
    <x v="1"/>
    <d v="2015-08-31T08:13:00"/>
    <x v="3"/>
    <x v="0"/>
    <x v="21"/>
    <n v="8"/>
    <m/>
    <n v="147.9"/>
    <n v="26.100000000000005"/>
  </r>
  <r>
    <s v="SBG - Mobile"/>
    <x v="1"/>
    <s v="Bug"/>
    <s v="MOBL-586"/>
    <s v="sbg logo on paypal checkout page on mobile site doesnt show up for some of domains"/>
    <s v="Bug"/>
    <x v="1"/>
    <d v="2015-09-03T08:13:00"/>
    <x v="4"/>
    <x v="0"/>
    <x v="21"/>
    <n v="8"/>
    <m/>
    <n v="134.29999999999998"/>
    <n v="23.700000000000003"/>
  </r>
  <r>
    <s v="SBG - Mobile"/>
    <x v="1"/>
    <s v="Bug"/>
    <s v="MOBL-586"/>
    <s v="sbg logo on paypal checkout page on mobile site doesnt show up for some of domains"/>
    <s v="Bug"/>
    <x v="1"/>
    <d v="2015-09-07T08:13:00"/>
    <x v="4"/>
    <x v="0"/>
    <x v="21"/>
    <n v="8"/>
    <m/>
    <n v="134.29999999999998"/>
    <n v="23.700000000000003"/>
  </r>
  <r>
    <s v="SBG - Mobile"/>
    <x v="1"/>
    <s v="Bug"/>
    <s v="MOBL-586"/>
    <s v="sbg logo on paypal checkout page on mobile site doesnt show up for some of domains"/>
    <s v="Bug"/>
    <x v="1"/>
    <d v="2015-09-11T08:13:00"/>
    <x v="4"/>
    <x v="0"/>
    <x v="21"/>
    <n v="8"/>
    <m/>
    <n v="134.29999999999998"/>
    <n v="23.700000000000003"/>
  </r>
  <r>
    <s v="SBG - Mobile"/>
    <x v="1"/>
    <s v="Bug"/>
    <s v="MOBL-586"/>
    <s v="sbg logo on paypal checkout page on mobile site doesnt show up for some of domains"/>
    <s v="Bug"/>
    <x v="1"/>
    <d v="2015-09-16T08:13:00"/>
    <x v="4"/>
    <x v="0"/>
    <x v="21"/>
    <n v="8"/>
    <m/>
    <n v="134.29999999999998"/>
    <n v="23.700000000000003"/>
  </r>
  <r>
    <s v="SBG - Mobile"/>
    <x v="1"/>
    <s v="Bug"/>
    <s v="MOBL-586"/>
    <s v="sbg logo on paypal checkout page on mobile site doesnt show up for some of domains"/>
    <s v="Bug"/>
    <x v="1"/>
    <d v="2015-09-22T08:12:00"/>
    <x v="4"/>
    <x v="0"/>
    <x v="21"/>
    <n v="8"/>
    <m/>
    <n v="134.29999999999998"/>
    <n v="23.700000000000003"/>
  </r>
  <r>
    <s v="SBG - Mobile"/>
    <x v="1"/>
    <s v="Bug"/>
    <s v="MOBL-586"/>
    <s v="sbg logo on paypal checkout page on mobile site doesnt show up for some of domains"/>
    <s v="Bug"/>
    <x v="1"/>
    <d v="2015-09-24T16:50:00"/>
    <x v="4"/>
    <x v="0"/>
    <x v="21"/>
    <n v="3"/>
    <m/>
    <n v="134.29999999999998"/>
    <n v="23.700000000000003"/>
  </r>
  <r>
    <s v="SBG - Mobile"/>
    <x v="1"/>
    <s v="Bug"/>
    <s v="MOBL-586"/>
    <s v="sbg logo on paypal checkout page on mobile site doesnt show up for some of domains"/>
    <s v="Bug"/>
    <x v="1"/>
    <d v="2015-09-25T08:12:00"/>
    <x v="4"/>
    <x v="0"/>
    <x v="21"/>
    <n v="8"/>
    <m/>
    <n v="134.29999999999998"/>
    <n v="23.700000000000003"/>
  </r>
  <r>
    <s v="SBG - Mobile"/>
    <x v="4"/>
    <s v="Improvement"/>
    <s v="MOBL-587"/>
    <s v="Fix Mobile Home page banners ratio (Landscape view)"/>
    <s v="Improvement"/>
    <x v="0"/>
    <d v="2015-09-15T17:31:00"/>
    <x v="4"/>
    <x v="0"/>
    <x v="13"/>
    <n v="4"/>
    <m/>
    <n v="134.29999999999998"/>
    <n v="23.700000000000003"/>
  </r>
  <r>
    <s v="SBG - Mobile"/>
    <x v="0"/>
    <s v="Improvement"/>
    <s v="MOBL-587"/>
    <s v="Fix Mobile Home page banners ratio (Landscape view)"/>
    <s v="Improvement"/>
    <x v="0"/>
    <d v="2015-09-28T15:54:00"/>
    <x v="4"/>
    <x v="0"/>
    <x v="19"/>
    <n v="1"/>
    <m/>
    <n v="79"/>
    <n v="79"/>
  </r>
  <r>
    <s v="SBG - Mobile"/>
    <x v="4"/>
    <s v="Improvement"/>
    <s v="MOBL-588"/>
    <s v="Change CTA caption for GC payment button"/>
    <s v="Improvement"/>
    <x v="0"/>
    <d v="2015-09-15T17:30:00"/>
    <x v="4"/>
    <x v="0"/>
    <x v="13"/>
    <n v="2"/>
    <m/>
    <n v="134.29999999999998"/>
    <n v="23.700000000000003"/>
  </r>
  <r>
    <s v="SBG - Mobile"/>
    <x v="2"/>
    <s v="New Feature"/>
    <s v="MOBL-590"/>
    <s v="Add click-to-call function for US/AU/UK"/>
    <s v="New Feature"/>
    <x v="0"/>
    <d v="2015-09-04T13:21:00"/>
    <x v="4"/>
    <x v="0"/>
    <x v="10"/>
    <n v="5"/>
    <m/>
    <n v="134.29999999999998"/>
    <n v="23.700000000000003"/>
  </r>
  <r>
    <s v="SBG - Mobile"/>
    <x v="4"/>
    <s v="Improvement"/>
    <s v="MOBL-592"/>
    <s v="Registration/MyAccount on Mobile"/>
    <s v="Improvement"/>
    <x v="0"/>
    <d v="2015-09-29T17:38:00"/>
    <x v="4"/>
    <x v="0"/>
    <x v="13"/>
    <n v="4"/>
    <m/>
    <n v="134.29999999999998"/>
    <n v="23.700000000000003"/>
  </r>
  <r>
    <s v="SBG - Mobile"/>
    <x v="2"/>
    <s v="Bug"/>
    <s v="MOBL-679"/>
    <s v="top banner on mobile for all domains is broken"/>
    <s v="Bug"/>
    <x v="1"/>
    <d v="2015-09-02T15:20:00"/>
    <x v="4"/>
    <x v="0"/>
    <x v="10"/>
    <n v="3"/>
    <m/>
    <n v="134.29999999999998"/>
    <n v="23.700000000000003"/>
  </r>
  <r>
    <s v="SBG - Mobile"/>
    <x v="2"/>
    <s v="Bug"/>
    <s v="MOBL-681"/>
    <s v="please hide sofort payment method on DE checkout page"/>
    <s v="Bug"/>
    <x v="1"/>
    <d v="2015-09-16T11:34:00"/>
    <x v="4"/>
    <x v="0"/>
    <x v="2"/>
    <n v="2"/>
    <m/>
    <n v="134.29999999999998"/>
    <n v="23.700000000000003"/>
  </r>
  <r>
    <s v="SBG - Mobile"/>
    <x v="1"/>
    <s v="Bug"/>
    <s v="MOBL-703"/>
    <s v="Language and Spacing errors on Mobile English pages that can't be fixed on OM"/>
    <s v="Bug"/>
    <x v="1"/>
    <d v="2015-08-25T17:54:00"/>
    <x v="3"/>
    <x v="0"/>
    <x v="21"/>
    <n v="2"/>
    <m/>
    <n v="147.9"/>
    <n v="26.100000000000005"/>
  </r>
  <r>
    <s v="SBG - Mobile"/>
    <x v="4"/>
    <s v="Bug"/>
    <s v="MOBL-708"/>
    <s v="Mobile meta tag issue"/>
    <s v="Bug"/>
    <x v="1"/>
    <d v="2015-09-10T16:54:00"/>
    <x v="4"/>
    <x v="0"/>
    <x v="13"/>
    <n v="3"/>
    <m/>
    <n v="134.29999999999998"/>
    <n v="23.700000000000003"/>
  </r>
  <r>
    <s v="SBG - Mobile"/>
    <x v="4"/>
    <s v="Bug"/>
    <s v="MOBL-708"/>
    <s v="Mobile meta tag issue"/>
    <s v="Bug"/>
    <x v="1"/>
    <d v="2015-09-17T16:54:00"/>
    <x v="4"/>
    <x v="0"/>
    <x v="13"/>
    <n v="3"/>
    <m/>
    <n v="134.29999999999998"/>
    <n v="23.700000000000003"/>
  </r>
  <r>
    <s v="SBG - Mobile"/>
    <x v="4"/>
    <s v="Bug"/>
    <s v="MOBL-708"/>
    <s v="Mobile meta tag issue"/>
    <s v="Bug"/>
    <x v="1"/>
    <d v="2015-09-17T17:16:00"/>
    <x v="4"/>
    <x v="0"/>
    <x v="13"/>
    <n v="3"/>
    <m/>
    <n v="134.29999999999998"/>
    <n v="23.700000000000003"/>
  </r>
  <r>
    <s v="SBG - Mobile"/>
    <x v="2"/>
    <s v="Bug"/>
    <s v="MOBL-730"/>
    <s v="New Mobile UI state field on checkout page"/>
    <s v="Bug"/>
    <x v="1"/>
    <d v="2015-08-04T10:53:00"/>
    <x v="3"/>
    <x v="0"/>
    <x v="18"/>
    <n v="8"/>
    <m/>
    <n v="147.9"/>
    <n v="26.100000000000005"/>
  </r>
  <r>
    <s v="SBG - Mobile"/>
    <x v="1"/>
    <s v="Bug"/>
    <s v="MOBL-730"/>
    <s v="New Mobile UI state field on checkout page"/>
    <s v="Bug"/>
    <x v="1"/>
    <d v="2015-09-04T08:13:00"/>
    <x v="4"/>
    <x v="0"/>
    <x v="21"/>
    <n v="8"/>
    <m/>
    <n v="134.29999999999998"/>
    <n v="23.700000000000003"/>
  </r>
  <r>
    <s v="SBG - Mobile"/>
    <x v="1"/>
    <s v="Bug"/>
    <s v="MOBL-730"/>
    <s v="New Mobile UI state field on checkout page"/>
    <s v="Bug"/>
    <x v="1"/>
    <d v="2015-09-08T08:13:00"/>
    <x v="4"/>
    <x v="0"/>
    <x v="21"/>
    <n v="8"/>
    <m/>
    <n v="134.29999999999998"/>
    <n v="23.700000000000003"/>
  </r>
  <r>
    <s v="SBG - Mobile"/>
    <x v="1"/>
    <s v="Bug"/>
    <s v="MOBL-730"/>
    <s v="New Mobile UI state field on checkout page"/>
    <s v="Bug"/>
    <x v="1"/>
    <d v="2015-09-10T08:13:00"/>
    <x v="4"/>
    <x v="0"/>
    <x v="21"/>
    <n v="8"/>
    <m/>
    <n v="134.29999999999998"/>
    <n v="23.700000000000003"/>
  </r>
  <r>
    <s v="SBG - Mobile"/>
    <x v="2"/>
    <s v="Bug"/>
    <s v="MOBL-730"/>
    <s v="New Mobile UI state field on checkout page"/>
    <s v="Bug"/>
    <x v="1"/>
    <d v="2015-09-14T16:40:00"/>
    <x v="4"/>
    <x v="0"/>
    <x v="18"/>
    <n v="8"/>
    <m/>
    <n v="134.29999999999998"/>
    <n v="23.700000000000003"/>
  </r>
  <r>
    <s v="SBG - Mobile"/>
    <x v="1"/>
    <s v="Bug"/>
    <s v="MOBL-730"/>
    <s v="New Mobile UI state field on checkout page"/>
    <s v="Bug"/>
    <x v="1"/>
    <d v="2015-09-15T10:38:00"/>
    <x v="4"/>
    <x v="0"/>
    <x v="21"/>
    <n v="3"/>
    <m/>
    <n v="134.29999999999998"/>
    <n v="23.700000000000003"/>
  </r>
  <r>
    <s v="SBG - Mobile"/>
    <x v="1"/>
    <s v="Bug"/>
    <s v="MOBL-730"/>
    <s v="New Mobile UI state field on checkout page"/>
    <s v="Bug"/>
    <x v="1"/>
    <d v="2015-09-17T08:13:00"/>
    <x v="4"/>
    <x v="0"/>
    <x v="21"/>
    <n v="8"/>
    <m/>
    <n v="134.29999999999998"/>
    <n v="23.700000000000003"/>
  </r>
  <r>
    <s v="SBG - Mobile"/>
    <x v="2"/>
    <s v="Bug"/>
    <s v="MOBL-735"/>
    <s v="Compound brand names hyphen/space URL issue"/>
    <s v="Bug"/>
    <x v="1"/>
    <d v="2015-08-11T16:00:00"/>
    <x v="3"/>
    <x v="0"/>
    <x v="11"/>
    <n v="2"/>
    <m/>
    <n v="147.9"/>
    <n v="26.100000000000005"/>
  </r>
  <r>
    <s v="SBG - Mobile"/>
    <x v="2"/>
    <s v="Bug"/>
    <s v="MOBL-735"/>
    <s v="Compound brand names hyphen/space URL issue"/>
    <s v="Bug"/>
    <x v="1"/>
    <d v="2015-08-12T09:38:00"/>
    <x v="3"/>
    <x v="0"/>
    <x v="11"/>
    <n v="3"/>
    <m/>
    <n v="147.9"/>
    <n v="26.100000000000005"/>
  </r>
  <r>
    <s v="SBG - Mobile"/>
    <x v="1"/>
    <s v="Bug"/>
    <s v="MOBL-735"/>
    <s v="Compound brand names hyphen/space URL issue"/>
    <s v="Bug"/>
    <x v="1"/>
    <d v="2015-08-12T15:41:00"/>
    <x v="3"/>
    <x v="0"/>
    <x v="21"/>
    <n v="3"/>
    <m/>
    <n v="147.9"/>
    <n v="26.100000000000005"/>
  </r>
  <r>
    <s v="SBG - Mobile"/>
    <x v="1"/>
    <s v="Bug"/>
    <s v="MOBL-741"/>
    <s v="address section is missing from check out page on FR domain"/>
    <s v="Bug"/>
    <x v="1"/>
    <d v="2015-09-15T10:29:00"/>
    <x v="4"/>
    <x v="0"/>
    <x v="21"/>
    <n v="2"/>
    <m/>
    <n v="134.29999999999998"/>
    <n v="23.700000000000003"/>
  </r>
  <r>
    <s v="SBG - Mobile"/>
    <x v="2"/>
    <s v="Bug"/>
    <s v="MOBL-756"/>
    <s v="mobile new UI issue for Fr domain"/>
    <s v="Bug"/>
    <x v="1"/>
    <d v="2015-09-11T17:45:00"/>
    <x v="4"/>
    <x v="0"/>
    <x v="11"/>
    <n v="1"/>
    <m/>
    <n v="134.29999999999998"/>
    <n v="23.700000000000003"/>
  </r>
  <r>
    <s v="SBG - Mobile"/>
    <x v="2"/>
    <s v="Bug"/>
    <s v="MOBL-766"/>
    <s v="it returns blank page while paying with paypal on BR"/>
    <s v="Bug"/>
    <x v="1"/>
    <d v="2015-08-17T12:31:00"/>
    <x v="3"/>
    <x v="0"/>
    <x v="2"/>
    <n v="2"/>
    <m/>
    <n v="147.9"/>
    <n v="26.100000000000005"/>
  </r>
  <r>
    <s v="SBG - Mobile"/>
    <x v="2"/>
    <s v="Bug"/>
    <s v="MOBL-766"/>
    <s v="it returns blank page while paying with paypal on BR"/>
    <s v="Bug"/>
    <x v="1"/>
    <d v="2015-08-17T19:39:00"/>
    <x v="3"/>
    <x v="0"/>
    <x v="2"/>
    <n v="2"/>
    <m/>
    <n v="147.9"/>
    <n v="26.100000000000005"/>
  </r>
  <r>
    <s v="SBG - Mobile"/>
    <x v="1"/>
    <s v="Bug"/>
    <s v="MOBL-773"/>
    <s v="CSS issue on mobile CL grid and product"/>
    <s v="Bug"/>
    <x v="1"/>
    <d v="2015-08-14T11:39:00"/>
    <x v="3"/>
    <x v="0"/>
    <x v="21"/>
    <n v="3"/>
    <m/>
    <n v="147.9"/>
    <n v="26.100000000000005"/>
  </r>
  <r>
    <s v="SBG - Mobile"/>
    <x v="0"/>
    <s v="Bug"/>
    <s v="MOBL-773"/>
    <s v="CSS issue on mobile CL grid and product"/>
    <s v="Bug"/>
    <x v="1"/>
    <d v="2015-08-14T14:01:00"/>
    <x v="3"/>
    <x v="0"/>
    <x v="19"/>
    <n v="2"/>
    <m/>
    <n v="87"/>
    <n v="87"/>
  </r>
  <r>
    <s v="SBG - Mobile"/>
    <x v="0"/>
    <s v="Bug"/>
    <s v="MOBL-773"/>
    <s v="CSS issue on mobile CL grid and product"/>
    <s v="Bug"/>
    <x v="1"/>
    <d v="2015-08-17T00:00:00"/>
    <x v="3"/>
    <x v="0"/>
    <x v="19"/>
    <n v="40"/>
    <m/>
    <n v="87"/>
    <n v="87"/>
  </r>
  <r>
    <s v="SBG - Mobile"/>
    <x v="0"/>
    <s v="Bug"/>
    <s v="MOBL-773"/>
    <s v="CSS issue on mobile CL grid and product"/>
    <s v="Bug"/>
    <x v="1"/>
    <d v="2015-08-18T00:00:00"/>
    <x v="3"/>
    <x v="0"/>
    <x v="19"/>
    <n v="20"/>
    <m/>
    <n v="87"/>
    <n v="87"/>
  </r>
  <r>
    <s v="SBG - Mobile"/>
    <x v="0"/>
    <s v="Bug"/>
    <s v="MOBL-773"/>
    <s v="CSS issue on mobile CL grid and product"/>
    <s v="Bug"/>
    <x v="1"/>
    <d v="2015-08-20T09:05:00"/>
    <x v="3"/>
    <x v="0"/>
    <x v="19"/>
    <n v="8"/>
    <m/>
    <n v="87"/>
    <n v="87"/>
  </r>
  <r>
    <s v="SBG - Mobile"/>
    <x v="0"/>
    <s v="Bug"/>
    <s v="MOBL-773"/>
    <s v="CSS issue on mobile CL grid and product"/>
    <s v="Bug"/>
    <x v="1"/>
    <d v="2015-08-24T07:05:00"/>
    <x v="3"/>
    <x v="0"/>
    <x v="19"/>
    <n v="10"/>
    <m/>
    <n v="87"/>
    <n v="87"/>
  </r>
  <r>
    <s v="SBG - Mobile"/>
    <x v="2"/>
    <s v="Bug"/>
    <s v="MOBL-784"/>
    <s v="Ray-Ban products loaded via AJAX have Brand name / URL link corrupted"/>
    <s v="Bug"/>
    <x v="1"/>
    <d v="2015-08-24T16:00:00"/>
    <x v="3"/>
    <x v="0"/>
    <x v="11"/>
    <n v="2"/>
    <m/>
    <n v="147.9"/>
    <n v="26.100000000000005"/>
  </r>
  <r>
    <s v="SBG - Mobile"/>
    <x v="2"/>
    <s v="Bug"/>
    <s v="MOBL-784"/>
    <s v="Ray-Ban products loaded via AJAX have Brand name / URL link corrupted"/>
    <s v="Bug"/>
    <x v="1"/>
    <d v="2015-08-25T09:30:00"/>
    <x v="3"/>
    <x v="0"/>
    <x v="11"/>
    <n v="3.5"/>
    <m/>
    <n v="147.9"/>
    <n v="26.100000000000005"/>
  </r>
  <r>
    <s v="SBG - Mobile"/>
    <x v="2"/>
    <s v="Bug"/>
    <s v="MOBL-809"/>
    <s v="country id missing when calling GC  API"/>
    <s v="Bug"/>
    <x v="1"/>
    <d v="2015-09-15T09:32:00"/>
    <x v="4"/>
    <x v="0"/>
    <x v="11"/>
    <n v="6"/>
    <m/>
    <n v="134.29999999999998"/>
    <n v="23.700000000000003"/>
  </r>
  <r>
    <s v="SBG - Mobile"/>
    <x v="2"/>
    <s v="Bug"/>
    <s v="MOBL-809"/>
    <s v="country id missing when calling GC  API"/>
    <s v="Bug"/>
    <x v="1"/>
    <d v="2015-09-16T14:02:00"/>
    <x v="4"/>
    <x v="0"/>
    <x v="11"/>
    <n v="1"/>
    <s v="fix log, was 1d"/>
    <n v="134.29999999999998"/>
    <n v="23.700000000000003"/>
  </r>
  <r>
    <s v="SBG - Mobile"/>
    <x v="2"/>
    <s v="Bug"/>
    <s v="MOBL-811"/>
    <s v="can't get through check out page to step 3 when do testing purpose on FR site"/>
    <s v="Bug"/>
    <x v="1"/>
    <d v="2015-09-15T11:11:00"/>
    <x v="4"/>
    <x v="0"/>
    <x v="2"/>
    <n v="5"/>
    <m/>
    <n v="134.29999999999998"/>
    <n v="23.700000000000003"/>
  </r>
  <r>
    <s v="SBG - Mobile"/>
    <x v="0"/>
    <s v="Bug"/>
    <s v="MOBL-820"/>
    <s v="Wrong link for the Home page Eyewear banner"/>
    <s v="Bug"/>
    <x v="1"/>
    <d v="2015-09-07T09:07:00"/>
    <x v="4"/>
    <x v="0"/>
    <x v="19"/>
    <n v="8"/>
    <m/>
    <n v="79"/>
    <n v="79"/>
  </r>
  <r>
    <s v="SBG - Mobile"/>
    <x v="0"/>
    <s v="Bug"/>
    <s v="MOBL-820"/>
    <s v="Wrong link for the Home page Eyewear banner"/>
    <s v="Bug"/>
    <x v="1"/>
    <d v="2015-09-08T09:07:00"/>
    <x v="4"/>
    <x v="0"/>
    <x v="19"/>
    <n v="8"/>
    <m/>
    <n v="79"/>
    <n v="79"/>
  </r>
  <r>
    <s v="SBG - Mobile"/>
    <x v="0"/>
    <s v="Bug"/>
    <s v="MOBL-820"/>
    <s v="Wrong link for the Home page Eyewear banner"/>
    <s v="Bug"/>
    <x v="1"/>
    <d v="2015-09-09T15:25:00"/>
    <x v="4"/>
    <x v="0"/>
    <x v="19"/>
    <n v="0.5"/>
    <m/>
    <n v="79"/>
    <n v="79"/>
  </r>
  <r>
    <s v="SBG - Mobile"/>
    <x v="2"/>
    <s v="Bug"/>
    <s v="MOBL-820"/>
    <s v="Wrong link for the Home page Eyewear banner"/>
    <s v="Bug"/>
    <x v="1"/>
    <d v="2015-09-09T15:38:00"/>
    <x v="4"/>
    <x v="0"/>
    <x v="22"/>
    <n v="6"/>
    <m/>
    <n v="134.29999999999998"/>
    <n v="23.700000000000003"/>
  </r>
  <r>
    <s v="SBG - Mobile"/>
    <x v="2"/>
    <s v="Bug"/>
    <s v="MOBL-836"/>
    <s v="hide hotline numbers on page http://m.visiondirect.com.au/help for non-english domain"/>
    <s v="Bug"/>
    <x v="1"/>
    <d v="2015-08-03T10:53:00"/>
    <x v="3"/>
    <x v="0"/>
    <x v="18"/>
    <n v="8"/>
    <m/>
    <n v="147.9"/>
    <n v="26.100000000000005"/>
  </r>
  <r>
    <s v="SBG - Mobile"/>
    <x v="2"/>
    <s v="Bug"/>
    <s v="MOBL-836"/>
    <s v="hide hotline numbers on page http://m.visiondirect.com.au/help for non-english domain"/>
    <s v="Bug"/>
    <x v="1"/>
    <d v="2015-08-31T15:56:00"/>
    <x v="3"/>
    <x v="0"/>
    <x v="18"/>
    <n v="8"/>
    <m/>
    <n v="147.9"/>
    <n v="26.100000000000005"/>
  </r>
  <r>
    <s v="SBG - Mobile"/>
    <x v="1"/>
    <s v="Bug"/>
    <s v="MOBL-836"/>
    <s v="hide hotline numbers on page http://m.visiondirect.com.au/help for non-english domain"/>
    <s v="Bug"/>
    <x v="1"/>
    <d v="2015-09-02T11:21:00"/>
    <x v="4"/>
    <x v="0"/>
    <x v="21"/>
    <n v="3"/>
    <m/>
    <n v="134.29999999999998"/>
    <n v="23.700000000000003"/>
  </r>
  <r>
    <s v="SBG - Mobile"/>
    <x v="1"/>
    <s v="Bug"/>
    <s v="MOBL-836"/>
    <s v="hide hotline numbers on page http://m.visiondirect.com.au/help for non-english domain"/>
    <s v="Bug"/>
    <x v="1"/>
    <d v="2015-09-09T11:13:00"/>
    <x v="4"/>
    <x v="0"/>
    <x v="21"/>
    <n v="5"/>
    <m/>
    <n v="134.29999999999998"/>
    <n v="23.700000000000003"/>
  </r>
  <r>
    <s v="SBG - Mobile"/>
    <x v="1"/>
    <s v="Bug"/>
    <s v="MOBL-836"/>
    <s v="hide hotline numbers on page http://m.visiondirect.com.au/help for non-english domain"/>
    <s v="Bug"/>
    <x v="1"/>
    <d v="2015-09-18T18:27:00"/>
    <x v="4"/>
    <x v="0"/>
    <x v="21"/>
    <n v="3"/>
    <m/>
    <n v="134.29999999999998"/>
    <n v="23.700000000000003"/>
  </r>
  <r>
    <s v="SBG - Mobile"/>
    <x v="2"/>
    <s v="Bug"/>
    <s v="MOBL-844"/>
    <s v="Adding H1 Fields for Mobile in OM, Grid Pages"/>
    <s v="Bug"/>
    <x v="1"/>
    <d v="2015-09-21T14:00:00"/>
    <x v="4"/>
    <x v="0"/>
    <x v="11"/>
    <n v="2"/>
    <m/>
    <n v="134.29999999999998"/>
    <n v="23.700000000000003"/>
  </r>
  <r>
    <s v="SBG - Mobile"/>
    <x v="2"/>
    <s v="Bug"/>
    <s v="MOBL-844"/>
    <s v="Adding H1 Fields for Mobile in OM, Grid Pages"/>
    <s v="Bug"/>
    <x v="1"/>
    <d v="2015-09-21T16:00:00"/>
    <x v="4"/>
    <x v="0"/>
    <x v="11"/>
    <n v="2.5"/>
    <m/>
    <n v="134.29999999999998"/>
    <n v="23.700000000000003"/>
  </r>
  <r>
    <s v="SBG - Mobile"/>
    <x v="4"/>
    <s v="Bug"/>
    <s v="MOBL-844"/>
    <s v="Adding H1 Fields for Mobile in OM, Grid Pages"/>
    <s v="Bug"/>
    <x v="1"/>
    <d v="2015-09-21T16:59:00"/>
    <x v="4"/>
    <x v="0"/>
    <x v="13"/>
    <n v="2"/>
    <m/>
    <n v="134.29999999999998"/>
    <n v="23.700000000000003"/>
  </r>
  <r>
    <s v="SBG - Mobile"/>
    <x v="2"/>
    <s v="Bug"/>
    <s v="MOBL-844"/>
    <s v="Adding H1 Fields for Mobile in OM, Grid Pages"/>
    <s v="Bug"/>
    <x v="1"/>
    <d v="2015-09-22T09:30:00"/>
    <x v="4"/>
    <x v="0"/>
    <x v="11"/>
    <n v="5"/>
    <m/>
    <n v="134.29999999999998"/>
    <n v="23.700000000000003"/>
  </r>
  <r>
    <s v="SBG - Mobile"/>
    <x v="2"/>
    <s v="Bug"/>
    <s v="MOBL-844"/>
    <s v="Adding H1 Fields for Mobile in OM, Grid Pages"/>
    <s v="Bug"/>
    <x v="1"/>
    <d v="2015-09-23T09:31:00"/>
    <x v="4"/>
    <x v="0"/>
    <x v="11"/>
    <n v="8"/>
    <m/>
    <n v="134.29999999999998"/>
    <n v="23.700000000000003"/>
  </r>
  <r>
    <s v="SBG - Mobile"/>
    <x v="2"/>
    <s v="Bug"/>
    <s v="MOBL-844"/>
    <s v="Adding H1 Fields for Mobile in OM, Grid Pages"/>
    <s v="Bug"/>
    <x v="1"/>
    <d v="2015-09-24T09:30:00"/>
    <x v="4"/>
    <x v="0"/>
    <x v="11"/>
    <n v="2"/>
    <m/>
    <n v="134.29999999999998"/>
    <n v="23.700000000000003"/>
  </r>
  <r>
    <s v="SBG - Mobile"/>
    <x v="2"/>
    <s v="Bug"/>
    <s v="MOBL-844"/>
    <s v="Adding H1 Fields for Mobile in OM, Grid Pages"/>
    <s v="Bug"/>
    <x v="1"/>
    <d v="2015-09-30T09:32:00"/>
    <x v="4"/>
    <x v="0"/>
    <x v="11"/>
    <n v="4"/>
    <m/>
    <n v="134.29999999999998"/>
    <n v="23.700000000000003"/>
  </r>
  <r>
    <s v="SBG - Mobile"/>
    <x v="2"/>
    <s v="Bug"/>
    <s v="MOBL-844"/>
    <s v="Adding H1 Fields for Mobile in OM, Grid Pages"/>
    <s v="Bug"/>
    <x v="1"/>
    <d v="2015-09-30T14:00:00"/>
    <x v="4"/>
    <x v="0"/>
    <x v="11"/>
    <n v="3"/>
    <m/>
    <n v="134.29999999999998"/>
    <n v="23.700000000000003"/>
  </r>
  <r>
    <s v="SBG - Mobile"/>
    <x v="2"/>
    <s v="Technical task"/>
    <s v="MOBL-878"/>
    <s v="MOBL-753&gt; check out page on FR missing address section"/>
    <s v="Technical task"/>
    <x v="0"/>
    <d v="2015-09-11T16:25:00"/>
    <x v="4"/>
    <x v="0"/>
    <x v="11"/>
    <n v="2"/>
    <m/>
    <n v="134.29999999999998"/>
    <n v="23.700000000000003"/>
  </r>
  <r>
    <s v="SBG - Mobile"/>
    <x v="2"/>
    <s v="Technical task"/>
    <s v="MOBL-878"/>
    <s v="MOBL-753&gt; check out page on FR missing address section"/>
    <s v="Technical task"/>
    <x v="0"/>
    <d v="2015-09-14T14:52:00"/>
    <x v="4"/>
    <x v="0"/>
    <x v="11"/>
    <n v="4"/>
    <m/>
    <n v="134.29999999999998"/>
    <n v="23.700000000000003"/>
  </r>
  <r>
    <s v="SBG - Mobile"/>
    <x v="2"/>
    <s v="Technical task"/>
    <s v="MOBL-879"/>
    <s v="MOBL-753&gt; brand icons on catogery page leads blank page"/>
    <s v="Technical task"/>
    <x v="0"/>
    <d v="2015-09-11T14:34:00"/>
    <x v="4"/>
    <x v="0"/>
    <x v="11"/>
    <n v="4"/>
    <m/>
    <n v="134.29999999999998"/>
    <n v="23.700000000000003"/>
  </r>
  <r>
    <s v="SBG - Mobile"/>
    <x v="2"/>
    <s v="Technical task"/>
    <s v="MOBL-879"/>
    <s v="MOBL-753&gt; brand icons on catogery page leads blank page"/>
    <s v="Technical task"/>
    <x v="0"/>
    <d v="2015-09-14T09:35:00"/>
    <x v="4"/>
    <x v="0"/>
    <x v="11"/>
    <n v="4"/>
    <m/>
    <n v="134.29999999999998"/>
    <n v="23.700000000000003"/>
  </r>
  <r>
    <s v="SBG - Mobile"/>
    <x v="2"/>
    <s v="Technical task"/>
    <s v="MOBL-879"/>
    <s v="MOBL-753&gt; brand icons on catogery page leads blank page"/>
    <s v="Technical task"/>
    <x v="0"/>
    <d v="2015-09-14T14:00:00"/>
    <x v="4"/>
    <x v="0"/>
    <x v="11"/>
    <n v="4"/>
    <m/>
    <n v="134.29999999999998"/>
    <n v="23.700000000000003"/>
  </r>
  <r>
    <s v="SBG - Mobile"/>
    <x v="1"/>
    <s v="Technical task"/>
    <s v="MOBL-879"/>
    <s v="MOBL-753&gt; brand icons on catogery page leads blank page"/>
    <s v="Technical task"/>
    <x v="0"/>
    <d v="2015-09-15T10:38:00"/>
    <x v="4"/>
    <x v="0"/>
    <x v="21"/>
    <n v="2"/>
    <m/>
    <n v="134.29999999999998"/>
    <n v="23.700000000000003"/>
  </r>
  <r>
    <s v="SBG - Mobile"/>
    <x v="1"/>
    <s v="Task"/>
    <s v="MOBL-901"/>
    <s v="Optimization For Mobile CSS"/>
    <s v="Task"/>
    <x v="0"/>
    <d v="2015-09-29T11:12:00"/>
    <x v="4"/>
    <x v="0"/>
    <x v="21"/>
    <n v="5"/>
    <m/>
    <n v="134.29999999999998"/>
    <n v="23.700000000000003"/>
  </r>
  <r>
    <s v="SBG - Mobile"/>
    <x v="2"/>
    <s v="Task"/>
    <s v="MOBL-912"/>
    <s v="Upload Mobile Translations Phase 2 for JP, NO, DK domains"/>
    <s v="Task"/>
    <x v="0"/>
    <d v="2015-09-03T10:21:00"/>
    <x v="4"/>
    <x v="0"/>
    <x v="10"/>
    <n v="8"/>
    <m/>
    <n v="134.29999999999998"/>
    <n v="23.700000000000003"/>
  </r>
  <r>
    <s v="SBG - Mobile"/>
    <x v="2"/>
    <s v="Task"/>
    <s v="MOBL-912"/>
    <s v="Upload Mobile Translations Phase 2 for JP, NO, DK domains"/>
    <s v="Task"/>
    <x v="0"/>
    <d v="2015-09-09T16:24:00"/>
    <x v="4"/>
    <x v="0"/>
    <x v="10"/>
    <n v="2"/>
    <m/>
    <n v="134.29999999999998"/>
    <n v="23.700000000000003"/>
  </r>
  <r>
    <s v="SBG - Mobile"/>
    <x v="2"/>
    <s v="Task"/>
    <s v="MOBL-913"/>
    <s v="Turkey TR - Adding new language and new domain for algolia search"/>
    <s v="Task"/>
    <x v="0"/>
    <d v="2015-09-01T18:29:00"/>
    <x v="4"/>
    <x v="0"/>
    <x v="2"/>
    <n v="8"/>
    <m/>
    <n v="134.29999999999998"/>
    <n v="23.700000000000003"/>
  </r>
  <r>
    <s v="SBG - Mobile"/>
    <x v="2"/>
    <s v="Task"/>
    <s v="MOBL-913"/>
    <s v="Turkey TR - Adding new language and new domain for algolia search"/>
    <s v="Task"/>
    <x v="0"/>
    <d v="2015-09-02T12:35:00"/>
    <x v="4"/>
    <x v="0"/>
    <x v="2"/>
    <n v="8"/>
    <m/>
    <n v="134.29999999999998"/>
    <n v="23.700000000000003"/>
  </r>
  <r>
    <s v="SBG - Mobile"/>
    <x v="2"/>
    <s v="Task"/>
    <s v="MOBL-913"/>
    <s v="Turkey TR - Adding new language and new domain for algolia search"/>
    <s v="Task"/>
    <x v="0"/>
    <d v="2015-09-03T12:36:00"/>
    <x v="4"/>
    <x v="0"/>
    <x v="2"/>
    <n v="8"/>
    <m/>
    <n v="134.29999999999998"/>
    <n v="23.700000000000003"/>
  </r>
  <r>
    <s v="SBG - Mobile"/>
    <x v="2"/>
    <s v="Task"/>
    <s v="MOBL-913"/>
    <s v="Turkey TR - Adding new language and new domain for algolia search"/>
    <s v="Task"/>
    <x v="0"/>
    <d v="2015-09-04T18:55:00"/>
    <x v="4"/>
    <x v="0"/>
    <x v="2"/>
    <n v="8"/>
    <m/>
    <n v="134.29999999999998"/>
    <n v="23.700000000000003"/>
  </r>
  <r>
    <s v="SBG - Mobile"/>
    <x v="2"/>
    <s v="Task"/>
    <s v="MOBL-913"/>
    <s v="Turkey TR - Adding new language and new domain for algolia search"/>
    <s v="Task"/>
    <x v="0"/>
    <d v="2015-09-07T12:36:00"/>
    <x v="4"/>
    <x v="0"/>
    <x v="2"/>
    <n v="8"/>
    <m/>
    <n v="134.29999999999998"/>
    <n v="23.700000000000003"/>
  </r>
  <r>
    <s v="SBG - Mobile"/>
    <x v="2"/>
    <s v="Task"/>
    <s v="MOBL-913"/>
    <s v="Turkey TR - Adding new language and new domain for algolia search"/>
    <s v="Task"/>
    <x v="0"/>
    <d v="2015-09-08T12:40:00"/>
    <x v="4"/>
    <x v="0"/>
    <x v="2"/>
    <n v="2"/>
    <m/>
    <n v="134.29999999999998"/>
    <n v="23.700000000000003"/>
  </r>
  <r>
    <s v="SBG - Mobile"/>
    <x v="2"/>
    <s v="Task"/>
    <s v="MOBL-913"/>
    <s v="Turkey TR - Adding new language and new domain for algolia search"/>
    <s v="Task"/>
    <x v="0"/>
    <d v="2015-09-08T15:41:00"/>
    <x v="4"/>
    <x v="0"/>
    <x v="2"/>
    <n v="3"/>
    <m/>
    <n v="134.29999999999998"/>
    <n v="23.700000000000003"/>
  </r>
  <r>
    <s v="SBG - Mobile"/>
    <x v="2"/>
    <s v="Task"/>
    <s v="MOBL-913"/>
    <s v="Turkey TR - Adding new language and new domain for algolia search"/>
    <s v="Task"/>
    <x v="0"/>
    <d v="2015-09-10T12:41:00"/>
    <x v="4"/>
    <x v="0"/>
    <x v="2"/>
    <n v="8"/>
    <m/>
    <n v="134.29999999999998"/>
    <n v="23.700000000000003"/>
  </r>
  <r>
    <s v="SBG - Mobile"/>
    <x v="2"/>
    <s v="Task"/>
    <s v="MOBL-913"/>
    <s v="Turkey TR - Adding new language and new domain for algolia search"/>
    <s v="Task"/>
    <x v="0"/>
    <d v="2015-09-11T12:37:00"/>
    <x v="4"/>
    <x v="0"/>
    <x v="2"/>
    <n v="8"/>
    <m/>
    <n v="134.29999999999998"/>
    <n v="23.700000000000003"/>
  </r>
  <r>
    <s v="SBG - Mobile"/>
    <x v="1"/>
    <s v="Task"/>
    <s v="MOBL-913"/>
    <s v="Turkey TR - Adding new language and new domain for algolia search"/>
    <s v="Task"/>
    <x v="0"/>
    <d v="2015-09-14T18:30:00"/>
    <x v="4"/>
    <x v="0"/>
    <x v="1"/>
    <n v="2"/>
    <m/>
    <n v="134.29999999999998"/>
    <n v="23.700000000000003"/>
  </r>
  <r>
    <s v="SBG - Mobile"/>
    <x v="2"/>
    <s v="Task"/>
    <s v="MOBL-913"/>
    <s v="Turkey TR - Adding new language and new domain for algolia search"/>
    <s v="Task"/>
    <x v="0"/>
    <d v="2015-09-17T11:15:00"/>
    <x v="4"/>
    <x v="0"/>
    <x v="2"/>
    <n v="8"/>
    <m/>
    <n v="134.29999999999998"/>
    <n v="23.700000000000003"/>
  </r>
  <r>
    <s v="SBG - Mobile"/>
    <x v="1"/>
    <s v="Task"/>
    <s v="MOBL-913"/>
    <s v="Turkey TR - Adding new language and new domain for algolia search"/>
    <s v="Task"/>
    <x v="0"/>
    <d v="2015-09-17T17:58:00"/>
    <x v="4"/>
    <x v="0"/>
    <x v="1"/>
    <n v="0.5"/>
    <m/>
    <n v="134.29999999999998"/>
    <n v="23.700000000000003"/>
  </r>
  <r>
    <s v="Backend - OM"/>
    <x v="2"/>
    <s v="New Feature"/>
    <s v="OM-139"/>
    <s v="Courier Rule update"/>
    <s v="New Feature"/>
    <x v="0"/>
    <d v="2015-08-07T11:53:00"/>
    <x v="3"/>
    <x v="0"/>
    <x v="16"/>
    <n v="40"/>
    <m/>
    <n v="147.9"/>
    <n v="26.100000000000005"/>
  </r>
  <r>
    <s v="Backend - OM"/>
    <x v="2"/>
    <s v="New Feature"/>
    <s v="OM-139"/>
    <s v="Courier Rule update"/>
    <s v="New Feature"/>
    <x v="0"/>
    <d v="2015-08-10T11:54:00"/>
    <x v="3"/>
    <x v="0"/>
    <x v="16"/>
    <n v="16"/>
    <m/>
    <n v="147.9"/>
    <n v="26.100000000000005"/>
  </r>
  <r>
    <s v="Backend - OM"/>
    <x v="2"/>
    <s v="New Feature"/>
    <s v="OM-139"/>
    <s v="Courier Rule update"/>
    <s v="New Feature"/>
    <x v="0"/>
    <d v="2015-08-17T12:13:00"/>
    <x v="3"/>
    <x v="0"/>
    <x v="16"/>
    <n v="4"/>
    <m/>
    <n v="147.9"/>
    <n v="26.100000000000005"/>
  </r>
  <r>
    <s v="Backend - OM"/>
    <x v="2"/>
    <s v="New Feature"/>
    <s v="OM-139"/>
    <s v="Courier Rule update"/>
    <s v="New Feature"/>
    <x v="0"/>
    <d v="2015-08-18T12:15:00"/>
    <x v="3"/>
    <x v="0"/>
    <x v="16"/>
    <n v="4"/>
    <m/>
    <n v="147.9"/>
    <n v="26.100000000000005"/>
  </r>
  <r>
    <s v="Backend - OM"/>
    <x v="2"/>
    <s v="New Feature"/>
    <s v="OM-139"/>
    <s v="Courier Rule update"/>
    <s v="New Feature"/>
    <x v="0"/>
    <d v="2015-08-19T12:15:00"/>
    <x v="3"/>
    <x v="0"/>
    <x v="16"/>
    <n v="4"/>
    <m/>
    <n v="147.9"/>
    <n v="26.100000000000005"/>
  </r>
  <r>
    <s v="Backend - OM"/>
    <x v="1"/>
    <s v="New Feature"/>
    <s v="OM-139"/>
    <s v="Courier Rule update"/>
    <s v="New Feature"/>
    <x v="0"/>
    <d v="2015-08-19T18:22:00"/>
    <x v="3"/>
    <x v="0"/>
    <x v="8"/>
    <n v="1"/>
    <m/>
    <n v="147.9"/>
    <n v="26.100000000000005"/>
  </r>
  <r>
    <s v="Backend - OM"/>
    <x v="2"/>
    <s v="New Feature"/>
    <s v="OM-139"/>
    <s v="Courier Rule update"/>
    <s v="New Feature"/>
    <x v="0"/>
    <d v="2015-08-20T12:16:00"/>
    <x v="3"/>
    <x v="0"/>
    <x v="16"/>
    <n v="8"/>
    <m/>
    <n v="147.9"/>
    <n v="26.100000000000005"/>
  </r>
  <r>
    <s v="Backend - OM"/>
    <x v="2"/>
    <s v="New Feature"/>
    <s v="OM-139"/>
    <s v="Courier Rule update"/>
    <s v="New Feature"/>
    <x v="0"/>
    <d v="2015-08-21T16:46:00"/>
    <x v="3"/>
    <x v="0"/>
    <x v="16"/>
    <n v="6"/>
    <m/>
    <n v="147.9"/>
    <n v="26.100000000000005"/>
  </r>
  <r>
    <s v="Backend - OM"/>
    <x v="2"/>
    <s v="New Feature"/>
    <s v="OM-139"/>
    <s v="Courier Rule update"/>
    <s v="New Feature"/>
    <x v="0"/>
    <d v="2015-08-24T18:27:00"/>
    <x v="3"/>
    <x v="0"/>
    <x v="16"/>
    <n v="8"/>
    <m/>
    <n v="147.9"/>
    <n v="26.100000000000005"/>
  </r>
  <r>
    <s v="Backend - OM"/>
    <x v="1"/>
    <s v="New Feature"/>
    <s v="OM-139"/>
    <s v="Courier Rule update"/>
    <s v="New Feature"/>
    <x v="0"/>
    <d v="2015-08-26T20:05:00"/>
    <x v="3"/>
    <x v="0"/>
    <x v="8"/>
    <n v="4.5"/>
    <m/>
    <n v="147.9"/>
    <n v="26.100000000000005"/>
  </r>
  <r>
    <s v="Backend - OM"/>
    <x v="1"/>
    <s v="New Feature"/>
    <s v="OM-139"/>
    <s v="Courier Rule update"/>
    <s v="New Feature"/>
    <x v="0"/>
    <d v="2015-08-27T18:32:00"/>
    <x v="3"/>
    <x v="0"/>
    <x v="8"/>
    <n v="1"/>
    <m/>
    <n v="147.9"/>
    <n v="26.100000000000005"/>
  </r>
  <r>
    <s v="Backend - OM"/>
    <x v="1"/>
    <s v="New Feature"/>
    <s v="OM-139"/>
    <s v="Courier Rule update"/>
    <s v="New Feature"/>
    <x v="0"/>
    <d v="2015-08-31T19:55:00"/>
    <x v="3"/>
    <x v="0"/>
    <x v="8"/>
    <n v="7"/>
    <m/>
    <n v="147.9"/>
    <n v="26.100000000000005"/>
  </r>
  <r>
    <s v="Backend - OM"/>
    <x v="1"/>
    <s v="New Feature"/>
    <s v="OM-139"/>
    <s v="Courier Rule update"/>
    <s v="New Feature"/>
    <x v="0"/>
    <d v="2015-09-01T21:50:00"/>
    <x v="4"/>
    <x v="0"/>
    <x v="8"/>
    <n v="1"/>
    <m/>
    <n v="134.29999999999998"/>
    <n v="23.700000000000003"/>
  </r>
  <r>
    <s v="Backend - OM"/>
    <x v="2"/>
    <s v="New Feature"/>
    <s v="OM-403"/>
    <s v="Stop sending out rewards email"/>
    <s v="New Feature"/>
    <x v="0"/>
    <d v="2015-08-27T18:03:00"/>
    <x v="3"/>
    <x v="0"/>
    <x v="12"/>
    <n v="0.5"/>
    <m/>
    <n v="147.9"/>
    <n v="26.100000000000005"/>
  </r>
  <r>
    <s v="Backend - OM"/>
    <x v="1"/>
    <s v="New Feature"/>
    <s v="OM-406"/>
    <s v="Update cost if the record exists. Insert cost if the record does not exist."/>
    <s v="New Feature"/>
    <x v="0"/>
    <d v="2015-09-16T19:13:00"/>
    <x v="4"/>
    <x v="0"/>
    <x v="8"/>
    <n v="3"/>
    <m/>
    <n v="134.29999999999998"/>
    <n v="23.700000000000003"/>
  </r>
  <r>
    <s v="Backend - OM"/>
    <x v="4"/>
    <s v="New Feature"/>
    <s v="OM-407"/>
    <s v="New fraud check system (Riskified)"/>
    <s v="New Feature"/>
    <x v="0"/>
    <d v="2015-09-07T15:47:00"/>
    <x v="4"/>
    <x v="0"/>
    <x v="13"/>
    <n v="4"/>
    <m/>
    <n v="134.29999999999998"/>
    <n v="23.700000000000003"/>
  </r>
  <r>
    <s v="Backend - OM"/>
    <x v="0"/>
    <s v="New Feature"/>
    <s v="OM-450"/>
    <s v="Converting Email Design Template to HTML Pages"/>
    <s v="New Feature"/>
    <x v="0"/>
    <d v="2015-09-23T10:07:00"/>
    <x v="4"/>
    <x v="0"/>
    <x v="24"/>
    <n v="8"/>
    <m/>
    <n v="79"/>
    <n v="79"/>
  </r>
  <r>
    <s v="Backend - OM"/>
    <x v="0"/>
    <s v="New Feature"/>
    <s v="OM-450"/>
    <s v="Converting Email Design Template to HTML Pages"/>
    <s v="New Feature"/>
    <x v="0"/>
    <d v="2015-09-24T10:07:00"/>
    <x v="4"/>
    <x v="0"/>
    <x v="24"/>
    <n v="8"/>
    <m/>
    <n v="79"/>
    <n v="79"/>
  </r>
  <r>
    <s v="Backend - OM"/>
    <x v="2"/>
    <s v="New Feature"/>
    <s v="OM-450"/>
    <s v="Converting Email Design Template to HTML Pages"/>
    <s v="New Feature"/>
    <x v="0"/>
    <d v="2015-09-24T11:38:00"/>
    <x v="4"/>
    <x v="0"/>
    <x v="25"/>
    <n v="8"/>
    <m/>
    <n v="134.29999999999998"/>
    <n v="23.700000000000003"/>
  </r>
  <r>
    <s v="Backend - OM"/>
    <x v="2"/>
    <s v="Improvement"/>
    <s v="OM-463"/>
    <s v="Project Management for Auto Responder"/>
    <s v="Improvement"/>
    <x v="0"/>
    <d v="2015-09-07T23:05:00"/>
    <x v="4"/>
    <x v="0"/>
    <x v="25"/>
    <n v="24"/>
    <m/>
    <n v="134.29999999999998"/>
    <n v="23.700000000000003"/>
  </r>
  <r>
    <s v="Backend - OM"/>
    <x v="2"/>
    <s v="Bug"/>
    <s v="OM-515"/>
    <s v="Missing CN orders - Payments via Alipay - examples; CN0245524207G, CN0245524207G, CN0245526907G"/>
    <s v="Bug"/>
    <x v="1"/>
    <d v="2015-08-27T11:22:00"/>
    <x v="3"/>
    <x v="0"/>
    <x v="2"/>
    <n v="1"/>
    <m/>
    <n v="147.9"/>
    <n v="26.100000000000005"/>
  </r>
  <r>
    <s v="Backend - OM"/>
    <x v="2"/>
    <s v="Improvement"/>
    <s v="OM-589"/>
    <s v="Please make status: waiting for stock&quot; can be cancelled by CSR"/>
    <s v="Improvement"/>
    <x v="0"/>
    <d v="2015-09-09T11:00:00"/>
    <x v="4"/>
    <x v="0"/>
    <x v="20"/>
    <n v="6"/>
    <m/>
    <n v="134.29999999999998"/>
    <n v="23.700000000000003"/>
  </r>
  <r>
    <s v="Backend - OM"/>
    <x v="2"/>
    <s v="Improvement"/>
    <s v="OM-589"/>
    <s v="Please make status: waiting for stock&quot; can be cancelled by CSR"/>
    <s v="Improvement"/>
    <x v="0"/>
    <d v="2015-09-15T11:00:00"/>
    <x v="4"/>
    <x v="0"/>
    <x v="20"/>
    <n v="1"/>
    <m/>
    <n v="134.29999999999998"/>
    <n v="23.700000000000003"/>
  </r>
  <r>
    <s v="Backend - OM"/>
    <x v="2"/>
    <s v="Improvement"/>
    <s v="OM-589"/>
    <s v="Please make status: waiting for stock&quot; can be cancelled by CSR"/>
    <s v="Improvement"/>
    <x v="0"/>
    <d v="2015-09-16T11:00:00"/>
    <x v="4"/>
    <x v="0"/>
    <x v="20"/>
    <n v="8"/>
    <m/>
    <n v="134.29999999999998"/>
    <n v="23.700000000000003"/>
  </r>
  <r>
    <s v="Backend - OM"/>
    <x v="2"/>
    <s v="Improvement"/>
    <s v="OM-589"/>
    <s v="Please make status: waiting for stock&quot; can be cancelled by CSR"/>
    <s v="Improvement"/>
    <x v="0"/>
    <d v="2015-09-17T16:38:00"/>
    <x v="4"/>
    <x v="0"/>
    <x v="20"/>
    <n v="2"/>
    <m/>
    <n v="134.29999999999998"/>
    <n v="23.700000000000003"/>
  </r>
  <r>
    <s v="Backend - OM"/>
    <x v="1"/>
    <s v="Improvement"/>
    <s v="OM-589"/>
    <s v="Please make status: waiting for stock&quot; can be cancelled by CSR"/>
    <s v="Improvement"/>
    <x v="0"/>
    <d v="2015-09-17T19:01:00"/>
    <x v="4"/>
    <x v="0"/>
    <x v="8"/>
    <n v="1"/>
    <m/>
    <n v="134.29999999999998"/>
    <n v="23.700000000000003"/>
  </r>
  <r>
    <s v="Backend - OM"/>
    <x v="2"/>
    <s v="Improvement"/>
    <s v="OM-663"/>
    <s v="RX entry in OM does not update RX status"/>
    <s v="Improvement"/>
    <x v="0"/>
    <d v="2015-08-19T11:25:00"/>
    <x v="3"/>
    <x v="0"/>
    <x v="20"/>
    <n v="5"/>
    <m/>
    <n v="147.9"/>
    <n v="26.100000000000005"/>
  </r>
  <r>
    <s v="Backend - OM"/>
    <x v="2"/>
    <s v="Improvement"/>
    <s v="OM-663"/>
    <s v="RX entry in OM does not update RX status"/>
    <s v="Improvement"/>
    <x v="0"/>
    <d v="2015-09-10T11:00:00"/>
    <x v="4"/>
    <x v="0"/>
    <x v="20"/>
    <n v="16"/>
    <m/>
    <n v="134.29999999999998"/>
    <n v="23.700000000000003"/>
  </r>
  <r>
    <s v="Backend - OM"/>
    <x v="2"/>
    <s v="Improvement"/>
    <s v="OM-663"/>
    <s v="RX entry in OM does not update RX status"/>
    <s v="Improvement"/>
    <x v="0"/>
    <d v="2015-09-14T16:04:00"/>
    <x v="4"/>
    <x v="0"/>
    <x v="20"/>
    <n v="8"/>
    <m/>
    <n v="134.29999999999998"/>
    <n v="23.700000000000003"/>
  </r>
  <r>
    <s v="Backend - OM"/>
    <x v="2"/>
    <s v="Bug"/>
    <s v="OM-737"/>
    <s v="Can not email Referral Code to domain with &quot;-&quot;"/>
    <s v="Bug"/>
    <x v="1"/>
    <d v="2015-09-01T10:20:00"/>
    <x v="4"/>
    <x v="0"/>
    <x v="10"/>
    <n v="8"/>
    <m/>
    <n v="134.29999999999998"/>
    <n v="23.700000000000003"/>
  </r>
  <r>
    <s v="Backend - OM"/>
    <x v="2"/>
    <s v="Bug"/>
    <s v="OM-939"/>
    <s v="OM RX Filter -- does not work properly"/>
    <s v="Bug"/>
    <x v="1"/>
    <d v="2015-08-18T11:30:00"/>
    <x v="3"/>
    <x v="0"/>
    <x v="20"/>
    <n v="5"/>
    <m/>
    <n v="147.9"/>
    <n v="26.100000000000005"/>
  </r>
  <r>
    <s v="Backend - OM"/>
    <x v="1"/>
    <s v="Bug"/>
    <s v="OM-939"/>
    <s v="OM RX Filter -- does not work properly"/>
    <s v="Bug"/>
    <x v="1"/>
    <d v="2015-08-27T16:17:00"/>
    <x v="3"/>
    <x v="0"/>
    <x v="8"/>
    <n v="2"/>
    <m/>
    <n v="147.9"/>
    <n v="26.100000000000005"/>
  </r>
  <r>
    <s v="Backend - OM"/>
    <x v="2"/>
    <s v="Improvement"/>
    <s v="OM-956"/>
    <s v="OM automatically adds 0.01 cent after order adjustment"/>
    <s v="Improvement"/>
    <x v="0"/>
    <d v="2015-09-16T22:12:00"/>
    <x v="4"/>
    <x v="0"/>
    <x v="9"/>
    <n v="2"/>
    <m/>
    <n v="134.29999999999998"/>
    <n v="23.700000000000003"/>
  </r>
  <r>
    <s v="Backend - OM"/>
    <x v="2"/>
    <s v="Bug"/>
    <s v="OM-964"/>
    <s v="Customer was stating that she cannot log in to her membership account."/>
    <s v="Bug"/>
    <x v="1"/>
    <d v="2015-08-06T09:08:00"/>
    <x v="3"/>
    <x v="0"/>
    <x v="12"/>
    <n v="0.5"/>
    <m/>
    <n v="147.9"/>
    <n v="26.100000000000005"/>
  </r>
  <r>
    <s v="Backend - OM"/>
    <x v="2"/>
    <s v="Bug"/>
    <s v="OM-964"/>
    <s v="Customer was stating that she cannot log in to her membership account."/>
    <s v="Bug"/>
    <x v="1"/>
    <d v="2015-08-06T17:28:00"/>
    <x v="3"/>
    <x v="0"/>
    <x v="12"/>
    <n v="1"/>
    <m/>
    <n v="147.9"/>
    <n v="26.100000000000005"/>
  </r>
  <r>
    <s v="Backend - OM"/>
    <x v="2"/>
    <s v="Bug"/>
    <s v="OM-1048"/>
    <s v="please make the RMA active so that HK can accept the RMA"/>
    <s v="Bug"/>
    <x v="1"/>
    <d v="2015-08-18T18:50:00"/>
    <x v="3"/>
    <x v="0"/>
    <x v="12"/>
    <n v="2"/>
    <m/>
    <n v="147.9"/>
    <n v="26.100000000000005"/>
  </r>
  <r>
    <s v="Backend - OM"/>
    <x v="1"/>
    <s v="Improvement"/>
    <s v="OM-1121"/>
    <s v="Daily Supply Chain / Warehouse Issues"/>
    <s v="Improvement"/>
    <x v="0"/>
    <d v="2015-09-18T15:42:00"/>
    <x v="4"/>
    <x v="0"/>
    <x v="8"/>
    <n v="2"/>
    <m/>
    <n v="134.29999999999998"/>
    <n v="23.700000000000003"/>
  </r>
  <r>
    <s v="Backend - OM"/>
    <x v="2"/>
    <s v="Improvement"/>
    <s v="OM-1121"/>
    <s v="Daily Supply Chain / Warehouse Issues"/>
    <s v="Improvement"/>
    <x v="0"/>
    <d v="2015-09-28T18:51:00"/>
    <x v="4"/>
    <x v="0"/>
    <x v="9"/>
    <n v="2"/>
    <m/>
    <n v="134.29999999999998"/>
    <n v="23.700000000000003"/>
  </r>
  <r>
    <s v="Backend - OM"/>
    <x v="2"/>
    <s v="Bug"/>
    <s v="OM-1204"/>
    <s v="plx change to shipped"/>
    <s v="Bug"/>
    <x v="1"/>
    <d v="2015-09-10T18:54:00"/>
    <x v="4"/>
    <x v="0"/>
    <x v="16"/>
    <n v="8"/>
    <m/>
    <n v="134.29999999999998"/>
    <n v="23.700000000000003"/>
  </r>
  <r>
    <s v="Backend - OM"/>
    <x v="2"/>
    <s v="Bug"/>
    <s v="OM-1219"/>
    <s v="RX - Canceled Items coming in JIT are still allocated in RX Mini inventory"/>
    <s v="Bug"/>
    <x v="1"/>
    <d v="2015-08-19T10:12:00"/>
    <x v="3"/>
    <x v="0"/>
    <x v="9"/>
    <n v="1"/>
    <m/>
    <n v="147.9"/>
    <n v="26.100000000000005"/>
  </r>
  <r>
    <s v="Backend - OM"/>
    <x v="2"/>
    <s v="Bug"/>
    <s v="OM-1219"/>
    <s v="RX - Canceled Items coming in JIT are still allocated in RX Mini inventory"/>
    <s v="Bug"/>
    <x v="1"/>
    <d v="2015-08-24T11:27:00"/>
    <x v="3"/>
    <x v="0"/>
    <x v="9"/>
    <n v="8"/>
    <m/>
    <n v="147.9"/>
    <n v="26.100000000000005"/>
  </r>
  <r>
    <s v="Backend - OM"/>
    <x v="1"/>
    <s v="Bug"/>
    <s v="OM-1219"/>
    <s v="RX - Canceled Items coming in JIT are still allocated in RX Mini inventory"/>
    <s v="Bug"/>
    <x v="1"/>
    <d v="2015-08-25T18:23:00"/>
    <x v="3"/>
    <x v="0"/>
    <x v="8"/>
    <n v="2"/>
    <m/>
    <n v="147.9"/>
    <n v="26.100000000000005"/>
  </r>
  <r>
    <s v="Backend - OM"/>
    <x v="1"/>
    <s v="Bug"/>
    <s v="OM-1219"/>
    <s v="RX - Canceled Items coming in JIT are still allocated in RX Mini inventory"/>
    <s v="Bug"/>
    <x v="1"/>
    <d v="2015-08-26T19:36:00"/>
    <x v="3"/>
    <x v="0"/>
    <x v="8"/>
    <n v="1"/>
    <m/>
    <n v="147.9"/>
    <n v="26.100000000000005"/>
  </r>
  <r>
    <s v="Backend - OM"/>
    <x v="1"/>
    <s v="Bug"/>
    <s v="OM-1219"/>
    <s v="RX - Canceled Items coming in JIT are still allocated in RX Mini inventory"/>
    <s v="Bug"/>
    <x v="1"/>
    <d v="2015-08-27T16:55:00"/>
    <x v="3"/>
    <x v="0"/>
    <x v="8"/>
    <n v="1"/>
    <m/>
    <n v="147.9"/>
    <n v="26.100000000000005"/>
  </r>
  <r>
    <s v="Backend - OM"/>
    <x v="2"/>
    <s v="Bug"/>
    <s v="OM-1247"/>
    <s v="NO Auto-responder emails to non-finalized orders"/>
    <s v="Bug"/>
    <x v="1"/>
    <d v="2015-09-08T14:33:00"/>
    <x v="4"/>
    <x v="0"/>
    <x v="20"/>
    <n v="8"/>
    <m/>
    <n v="134.29999999999998"/>
    <n v="23.700000000000003"/>
  </r>
  <r>
    <s v="Backend - OM"/>
    <x v="2"/>
    <s v="Improvement"/>
    <s v="OM-1299"/>
    <s v="Refine OM create manifest function"/>
    <s v="Improvement"/>
    <x v="0"/>
    <d v="2015-09-25T16:50:00"/>
    <x v="4"/>
    <x v="0"/>
    <x v="9"/>
    <n v="3"/>
    <s v="write the document of this function."/>
    <n v="134.29999999999998"/>
    <n v="23.700000000000003"/>
  </r>
  <r>
    <s v="Backend - OM"/>
    <x v="2"/>
    <s v="Improvement"/>
    <s v="OM-1299"/>
    <s v="Refine OM create manifest function"/>
    <s v="Improvement"/>
    <x v="0"/>
    <d v="2015-09-28T20:47:00"/>
    <x v="4"/>
    <x v="0"/>
    <x v="9"/>
    <n v="4"/>
    <m/>
    <n v="134.29999999999998"/>
    <n v="23.700000000000003"/>
  </r>
  <r>
    <s v="Backend - OM"/>
    <x v="2"/>
    <s v="Improvement"/>
    <s v="OM-1299"/>
    <s v="Refine OM create manifest function"/>
    <s v="Improvement"/>
    <x v="0"/>
    <d v="2015-09-29T17:07:00"/>
    <x v="4"/>
    <x v="0"/>
    <x v="9"/>
    <n v="2"/>
    <m/>
    <n v="134.29999999999998"/>
    <n v="23.700000000000003"/>
  </r>
  <r>
    <s v="Backend - OM"/>
    <x v="2"/>
    <s v="Improvement"/>
    <s v="OM-1561"/>
    <s v="Rewards Related Issues"/>
    <s v="Improvement"/>
    <x v="0"/>
    <d v="2015-09-23T17:18:00"/>
    <x v="4"/>
    <x v="0"/>
    <x v="20"/>
    <n v="40"/>
    <m/>
    <n v="134.29999999999998"/>
    <n v="23.700000000000003"/>
  </r>
  <r>
    <s v="Backend - OM"/>
    <x v="2"/>
    <s v="Improvement"/>
    <s v="OM-1563"/>
    <s v="Daily tasks"/>
    <s v="Improvement"/>
    <x v="0"/>
    <d v="2015-08-17T19:12:00"/>
    <x v="3"/>
    <x v="0"/>
    <x v="9"/>
    <n v="2"/>
    <m/>
    <n v="147.9"/>
    <n v="26.100000000000005"/>
  </r>
  <r>
    <s v="Backend - OM"/>
    <x v="2"/>
    <s v="Improvement"/>
    <s v="OM-1563"/>
    <s v="Daily tasks"/>
    <s v="Improvement"/>
    <x v="0"/>
    <d v="2015-08-18T17:41:00"/>
    <x v="3"/>
    <x v="0"/>
    <x v="9"/>
    <n v="1"/>
    <s v="https://motionglobal.atlassian.net/browse/OQA-167"/>
    <n v="147.9"/>
    <n v="26.100000000000005"/>
  </r>
  <r>
    <s v="Backend - OM"/>
    <x v="2"/>
    <s v="Improvement"/>
    <s v="OM-1563"/>
    <s v="Daily tasks"/>
    <s v="Improvement"/>
    <x v="0"/>
    <d v="2015-08-19T19:07:00"/>
    <x v="3"/>
    <x v="0"/>
    <x v="9"/>
    <n v="3"/>
    <s v="help nancy to check some bugs."/>
    <n v="147.9"/>
    <n v="26.100000000000005"/>
  </r>
  <r>
    <s v="Backend - OM"/>
    <x v="2"/>
    <s v="Improvement"/>
    <s v="OM-1563"/>
    <s v="Daily tasks"/>
    <s v="Improvement"/>
    <x v="0"/>
    <d v="2015-08-21T18:31:00"/>
    <x v="3"/>
    <x v="0"/>
    <x v="9"/>
    <n v="3"/>
    <s v="Training Om+scan system for nancy."/>
    <n v="147.9"/>
    <n v="26.100000000000005"/>
  </r>
  <r>
    <s v="Backend - OM"/>
    <x v="2"/>
    <s v="Improvement"/>
    <s v="OM-1563"/>
    <s v="Daily tasks"/>
    <s v="Improvement"/>
    <x v="0"/>
    <d v="2015-08-21T18:36:00"/>
    <x v="3"/>
    <x v="0"/>
    <x v="9"/>
    <n v="1"/>
    <s v="[10:54:54 AM] Tracy: http://om.motionglobal.com/salesorder/edit/?oid=AT0234163208G [10:55:06 AM] Tracy: 帮我把这个的单子的状态改成shipped [10:55:13 AM] Tracy: Item been dispatched by TNT: 911324965"/>
    <n v="147.9"/>
    <n v="26.100000000000005"/>
  </r>
  <r>
    <s v="Backend - OM"/>
    <x v="2"/>
    <s v="Improvement"/>
    <s v="OM-1563"/>
    <s v="Daily tasks"/>
    <s v="Improvement"/>
    <x v="0"/>
    <d v="2015-09-22T20:49:00"/>
    <x v="4"/>
    <x v="0"/>
    <x v="9"/>
    <n v="8"/>
    <s v="resolve Scan IT issue"/>
    <n v="134.29999999999998"/>
    <n v="23.700000000000003"/>
  </r>
  <r>
    <s v="Backend - OM"/>
    <x v="2"/>
    <s v="Improvement"/>
    <s v="OM-1563"/>
    <s v="Daily tasks"/>
    <s v="Improvement"/>
    <x v="0"/>
    <d v="2015-09-23T20:50:00"/>
    <x v="4"/>
    <x v="0"/>
    <x v="9"/>
    <n v="3"/>
    <s v="resolve scanIT issues"/>
    <n v="134.29999999999998"/>
    <n v="23.700000000000003"/>
  </r>
  <r>
    <s v="Backend - OM"/>
    <x v="2"/>
    <s v="Improvement"/>
    <s v="OM-1563"/>
    <s v="Daily tasks"/>
    <s v="Improvement"/>
    <x v="0"/>
    <d v="2015-09-25T20:52:00"/>
    <x v="4"/>
    <x v="0"/>
    <x v="9"/>
    <n v="3"/>
    <s v="discuss rewards function."/>
    <n v="134.29999999999998"/>
    <n v="23.700000000000003"/>
  </r>
  <r>
    <s v="Backend - OM"/>
    <x v="2"/>
    <s v="Improvement"/>
    <s v="OM-1563"/>
    <s v="Daily tasks"/>
    <s v="Improvement"/>
    <x v="0"/>
    <d v="2015-09-25T20:54:00"/>
    <x v="4"/>
    <x v="0"/>
    <x v="9"/>
    <n v="2"/>
    <s v="resolve scan IT issues"/>
    <n v="134.29999999999998"/>
    <n v="23.700000000000003"/>
  </r>
  <r>
    <s v="Backend - OM"/>
    <x v="2"/>
    <s v="Improvement"/>
    <s v="OM-1563"/>
    <s v="Daily tasks"/>
    <s v="Improvement"/>
    <x v="0"/>
    <d v="2015-09-29T20:42:00"/>
    <x v="4"/>
    <x v="0"/>
    <x v="9"/>
    <n v="4"/>
    <s v="check the reason of om_order_cart_ship missing data"/>
    <n v="134.29999999999998"/>
    <n v="23.700000000000003"/>
  </r>
  <r>
    <s v="Backend - OM"/>
    <x v="2"/>
    <s v="Task"/>
    <s v="OM-1674"/>
    <s v="New Password"/>
    <s v="Task"/>
    <x v="0"/>
    <d v="2015-09-28T16:21:00"/>
    <x v="4"/>
    <x v="0"/>
    <x v="16"/>
    <n v="4"/>
    <m/>
    <n v="134.29999999999998"/>
    <n v="23.700000000000003"/>
  </r>
  <r>
    <s v="Backend - OM"/>
    <x v="1"/>
    <s v="Technical task"/>
    <s v="OM-1941"/>
    <s v="OM-1481&gt; Test case design and execution"/>
    <s v="Technical task"/>
    <x v="0"/>
    <d v="2015-09-28T08:15:00"/>
    <x v="4"/>
    <x v="0"/>
    <x v="26"/>
    <n v="8"/>
    <m/>
    <n v="134.29999999999998"/>
    <n v="23.700000000000003"/>
  </r>
  <r>
    <s v="Backend - OM"/>
    <x v="1"/>
    <s v="Technical task"/>
    <s v="OM-1941"/>
    <s v="OM-1481&gt; Test case design and execution"/>
    <s v="Technical task"/>
    <x v="0"/>
    <d v="2015-09-30T08:15:00"/>
    <x v="4"/>
    <x v="0"/>
    <x v="26"/>
    <n v="8"/>
    <m/>
    <n v="134.29999999999998"/>
    <n v="23.700000000000003"/>
  </r>
  <r>
    <s v="Backend - OM"/>
    <x v="2"/>
    <s v="New Feature"/>
    <s v="OM-1952"/>
    <s v="Payment Status Manual Confirmation"/>
    <s v="New Feature"/>
    <x v="0"/>
    <d v="2015-08-23T22:43:00"/>
    <x v="3"/>
    <x v="0"/>
    <x v="25"/>
    <n v="16"/>
    <m/>
    <n v="147.9"/>
    <n v="26.100000000000005"/>
  </r>
  <r>
    <s v="Backend - OM"/>
    <x v="2"/>
    <s v="New Feature"/>
    <s v="OM-1952"/>
    <s v="Payment Status Manual Confirmation"/>
    <s v="New Feature"/>
    <x v="0"/>
    <d v="2015-09-07T09:31:00"/>
    <x v="4"/>
    <x v="0"/>
    <x v="27"/>
    <n v="24"/>
    <m/>
    <n v="134.29999999999998"/>
    <n v="23.700000000000003"/>
  </r>
  <r>
    <s v="Backend - OM"/>
    <x v="2"/>
    <s v="New Feature"/>
    <s v="OM-1952"/>
    <s v="Payment Status Manual Confirmation"/>
    <s v="New Feature"/>
    <x v="0"/>
    <d v="2015-09-15T12:22:00"/>
    <x v="4"/>
    <x v="0"/>
    <x v="27"/>
    <n v="28"/>
    <m/>
    <n v="134.29999999999998"/>
    <n v="23.700000000000003"/>
  </r>
  <r>
    <s v="Backend - OM"/>
    <x v="1"/>
    <s v="New Feature"/>
    <s v="OM-1952"/>
    <s v="Payment Status Manual Confirmation"/>
    <s v="New Feature"/>
    <x v="0"/>
    <d v="2015-09-17T18:23:00"/>
    <x v="4"/>
    <x v="0"/>
    <x v="1"/>
    <n v="0.5"/>
    <m/>
    <n v="134.29999999999998"/>
    <n v="23.700000000000003"/>
  </r>
  <r>
    <s v="Backend - OM"/>
    <x v="1"/>
    <s v="New Feature"/>
    <s v="OM-1952"/>
    <s v="Payment Status Manual Confirmation"/>
    <s v="New Feature"/>
    <x v="0"/>
    <d v="2015-09-18T14:30:00"/>
    <x v="4"/>
    <x v="0"/>
    <x v="1"/>
    <n v="2"/>
    <m/>
    <n v="134.29999999999998"/>
    <n v="23.700000000000003"/>
  </r>
  <r>
    <s v="Backend - OM"/>
    <x v="2"/>
    <s v="New Feature"/>
    <s v="OM-1988"/>
    <s v="Product Basic Selling Price Batch Update"/>
    <s v="New Feature"/>
    <x v="0"/>
    <d v="2015-09-07T23:05:00"/>
    <x v="4"/>
    <x v="0"/>
    <x v="25"/>
    <n v="24"/>
    <m/>
    <n v="134.29999999999998"/>
    <n v="23.700000000000003"/>
  </r>
  <r>
    <s v="Backend - OM"/>
    <x v="2"/>
    <s v="New Feature"/>
    <s v="OM-1997"/>
    <s v="Add RX Slip ID in Order details page VIEW / EDIT page"/>
    <s v="New Feature"/>
    <x v="0"/>
    <d v="2015-08-21T11:00:00"/>
    <x v="3"/>
    <x v="0"/>
    <x v="20"/>
    <n v="8"/>
    <m/>
    <n v="147.9"/>
    <n v="26.100000000000005"/>
  </r>
  <r>
    <s v="Backend - OM"/>
    <x v="2"/>
    <s v="New Feature"/>
    <s v="OM-1997"/>
    <s v="Add RX Slip ID in Order details page VIEW / EDIT page"/>
    <s v="New Feature"/>
    <x v="0"/>
    <d v="2015-08-24T11:00:00"/>
    <x v="3"/>
    <x v="0"/>
    <x v="20"/>
    <n v="8"/>
    <m/>
    <n v="147.9"/>
    <n v="26.100000000000005"/>
  </r>
  <r>
    <s v="Backend - OM"/>
    <x v="1"/>
    <s v="New Feature"/>
    <s v="OM-1997"/>
    <s v="Add RX Slip ID in Order details page VIEW / EDIT page"/>
    <s v="New Feature"/>
    <x v="0"/>
    <d v="2015-08-25T18:30:00"/>
    <x v="3"/>
    <x v="0"/>
    <x v="8"/>
    <n v="1"/>
    <m/>
    <n v="147.9"/>
    <n v="26.100000000000005"/>
  </r>
  <r>
    <s v="Backend - OM"/>
    <x v="2"/>
    <s v="New Feature"/>
    <s v="OM-1997"/>
    <s v="Add RX Slip ID in Order details page VIEW / EDIT page"/>
    <s v="New Feature"/>
    <x v="0"/>
    <d v="2015-08-26T11:00:00"/>
    <x v="3"/>
    <x v="0"/>
    <x v="20"/>
    <n v="8"/>
    <m/>
    <n v="147.9"/>
    <n v="26.100000000000005"/>
  </r>
  <r>
    <s v="Backend - OM"/>
    <x v="1"/>
    <s v="New Feature"/>
    <s v="OM-1997"/>
    <s v="Add RX Slip ID in Order details page VIEW / EDIT page"/>
    <s v="New Feature"/>
    <x v="0"/>
    <d v="2015-08-26T19:36:00"/>
    <x v="3"/>
    <x v="0"/>
    <x v="8"/>
    <n v="2"/>
    <m/>
    <n v="147.9"/>
    <n v="26.100000000000005"/>
  </r>
  <r>
    <s v="Backend - OM"/>
    <x v="2"/>
    <s v="New Feature"/>
    <s v="OM-1997"/>
    <s v="Add RX Slip ID in Order details page VIEW / EDIT page"/>
    <s v="New Feature"/>
    <x v="0"/>
    <d v="2015-08-27T10:22:00"/>
    <x v="3"/>
    <x v="0"/>
    <x v="20"/>
    <n v="1"/>
    <m/>
    <n v="147.9"/>
    <n v="26.100000000000005"/>
  </r>
  <r>
    <s v="Backend - OM"/>
    <x v="1"/>
    <s v="New Feature"/>
    <s v="OM-1997"/>
    <s v="Add RX Slip ID in Order details page VIEW / EDIT page"/>
    <s v="New Feature"/>
    <x v="0"/>
    <d v="2015-08-27T17:08:00"/>
    <x v="3"/>
    <x v="0"/>
    <x v="8"/>
    <n v="2"/>
    <m/>
    <n v="147.9"/>
    <n v="26.100000000000005"/>
  </r>
  <r>
    <s v="Backend - OM"/>
    <x v="1"/>
    <s v="New Feature"/>
    <s v="OM-1997"/>
    <s v="Add RX Slip ID in Order details page VIEW / EDIT page"/>
    <s v="New Feature"/>
    <x v="0"/>
    <d v="2015-08-28T18:31:00"/>
    <x v="3"/>
    <x v="0"/>
    <x v="8"/>
    <n v="1"/>
    <m/>
    <n v="147.9"/>
    <n v="26.100000000000005"/>
  </r>
  <r>
    <s v="Backend - OM"/>
    <x v="2"/>
    <s v="New Feature"/>
    <s v="OM-1999"/>
    <s v="Batch Update For Product Attributes"/>
    <s v="New Feature"/>
    <x v="0"/>
    <d v="2015-08-10T12:13:00"/>
    <x v="3"/>
    <x v="0"/>
    <x v="27"/>
    <n v="88"/>
    <m/>
    <n v="147.9"/>
    <n v="26.100000000000005"/>
  </r>
  <r>
    <s v="Backend - OM"/>
    <x v="2"/>
    <s v="New Feature"/>
    <s v="OM-1999"/>
    <s v="Batch Update For Product Attributes"/>
    <s v="New Feature"/>
    <x v="0"/>
    <d v="2015-08-28T17:44:00"/>
    <x v="3"/>
    <x v="0"/>
    <x v="27"/>
    <n v="40"/>
    <m/>
    <n v="147.9"/>
    <n v="26.100000000000005"/>
  </r>
  <r>
    <s v="Backend - OM"/>
    <x v="2"/>
    <s v="New Feature"/>
    <s v="OM-2008"/>
    <s v="OM BACK-END: FROM MODEL LEVEL TO SIZE LEVEL"/>
    <s v="New Feature"/>
    <x v="0"/>
    <d v="2015-09-14T17:11:00"/>
    <x v="4"/>
    <x v="0"/>
    <x v="2"/>
    <n v="3"/>
    <m/>
    <n v="134.29999999999998"/>
    <n v="23.700000000000003"/>
  </r>
  <r>
    <s v="Backend - OM"/>
    <x v="2"/>
    <s v="New Feature"/>
    <s v="OM-2008"/>
    <s v="OM BACK-END: FROM MODEL LEVEL TO SIZE LEVEL"/>
    <s v="New Feature"/>
    <x v="0"/>
    <d v="2015-09-18T12:45:00"/>
    <x v="4"/>
    <x v="0"/>
    <x v="2"/>
    <n v="8"/>
    <m/>
    <n v="134.29999999999998"/>
    <n v="23.700000000000003"/>
  </r>
  <r>
    <s v="Backend - OM"/>
    <x v="2"/>
    <s v="New Feature"/>
    <s v="OM-2008"/>
    <s v="OM BACK-END: FROM MODEL LEVEL TO SIZE LEVEL"/>
    <s v="New Feature"/>
    <x v="0"/>
    <d v="2015-09-24T10:18:00"/>
    <x v="4"/>
    <x v="0"/>
    <x v="20"/>
    <n v="16"/>
    <m/>
    <n v="134.29999999999998"/>
    <n v="23.700000000000003"/>
  </r>
  <r>
    <s v="Backend - OM"/>
    <x v="2"/>
    <s v="New Feature"/>
    <s v="OM-2008"/>
    <s v="OM BACK-END: FROM MODEL LEVEL TO SIZE LEVEL"/>
    <s v="New Feature"/>
    <x v="0"/>
    <d v="2015-09-28T12:42:00"/>
    <x v="4"/>
    <x v="0"/>
    <x v="2"/>
    <n v="8"/>
    <m/>
    <n v="134.29999999999998"/>
    <n v="23.700000000000003"/>
  </r>
  <r>
    <s v="Backend - OM"/>
    <x v="2"/>
    <s v="New Feature"/>
    <s v="OM-2008"/>
    <s v="OM BACK-END: FROM MODEL LEVEL TO SIZE LEVEL"/>
    <s v="New Feature"/>
    <x v="0"/>
    <d v="2015-09-29T15:16:00"/>
    <x v="4"/>
    <x v="0"/>
    <x v="2"/>
    <n v="8"/>
    <m/>
    <n v="134.29999999999998"/>
    <n v="23.700000000000003"/>
  </r>
  <r>
    <s v="Backend - OM"/>
    <x v="2"/>
    <s v="New Feature"/>
    <s v="OM-2008"/>
    <s v="OM BACK-END: FROM MODEL LEVEL TO SIZE LEVEL"/>
    <s v="New Feature"/>
    <x v="0"/>
    <d v="2015-09-30T12:42:00"/>
    <x v="4"/>
    <x v="0"/>
    <x v="2"/>
    <n v="8"/>
    <m/>
    <n v="134.29999999999998"/>
    <n v="23.700000000000003"/>
  </r>
  <r>
    <s v="Backend - OM"/>
    <x v="2"/>
    <s v="New Feature"/>
    <s v="OM-2035"/>
    <s v="Product Price Multiplier Batch Update"/>
    <s v="New Feature"/>
    <x v="0"/>
    <d v="2015-08-23T22:43:00"/>
    <x v="3"/>
    <x v="0"/>
    <x v="25"/>
    <n v="32"/>
    <m/>
    <n v="147.9"/>
    <n v="26.100000000000005"/>
  </r>
  <r>
    <s v="Backend - OM"/>
    <x v="2"/>
    <s v="New Feature"/>
    <s v="OM-2035"/>
    <s v="Product Price Multiplier Batch Update"/>
    <s v="New Feature"/>
    <x v="0"/>
    <d v="2015-09-01T12:23:00"/>
    <x v="4"/>
    <x v="0"/>
    <x v="27"/>
    <n v="28"/>
    <m/>
    <n v="134.29999999999998"/>
    <n v="23.700000000000003"/>
  </r>
  <r>
    <s v="Backend - OM"/>
    <x v="2"/>
    <s v="New Feature"/>
    <s v="OM-2035"/>
    <s v="Product Price Multiplier Batch Update"/>
    <s v="New Feature"/>
    <x v="0"/>
    <d v="2015-09-28T10:15:00"/>
    <x v="4"/>
    <x v="0"/>
    <x v="27"/>
    <n v="12"/>
    <m/>
    <n v="134.29999999999998"/>
    <n v="23.700000000000003"/>
  </r>
  <r>
    <s v="Backend - OM"/>
    <x v="2"/>
    <s v="New Feature"/>
    <s v="OM-2057"/>
    <s v="Create Action Log for Manual Process"/>
    <s v="New Feature"/>
    <x v="0"/>
    <d v="2015-08-23T22:43:00"/>
    <x v="3"/>
    <x v="0"/>
    <x v="25"/>
    <n v="8"/>
    <m/>
    <n v="147.9"/>
    <n v="26.100000000000005"/>
  </r>
  <r>
    <s v="Backend - OM"/>
    <x v="2"/>
    <s v="New Feature"/>
    <s v="OM-2057"/>
    <s v="Create Action Log for Manual Process"/>
    <s v="New Feature"/>
    <x v="0"/>
    <d v="2015-09-08T12:24:00"/>
    <x v="4"/>
    <x v="0"/>
    <x v="27"/>
    <n v="28"/>
    <m/>
    <n v="134.29999999999998"/>
    <n v="23.700000000000003"/>
  </r>
  <r>
    <s v="Backend - OM"/>
    <x v="2"/>
    <s v="New Feature"/>
    <s v="OM-2057"/>
    <s v="Create Action Log for Manual Process"/>
    <s v="New Feature"/>
    <x v="0"/>
    <d v="2015-09-15T09:34:00"/>
    <x v="4"/>
    <x v="0"/>
    <x v="27"/>
    <n v="4"/>
    <m/>
    <n v="134.29999999999998"/>
    <n v="23.700000000000003"/>
  </r>
  <r>
    <s v="Backend - OM"/>
    <x v="1"/>
    <s v="New Feature"/>
    <s v="OM-2057"/>
    <s v="Create Action Log for Manual Process"/>
    <s v="New Feature"/>
    <x v="0"/>
    <d v="2015-09-18T14:30:00"/>
    <x v="4"/>
    <x v="0"/>
    <x v="1"/>
    <n v="1"/>
    <m/>
    <n v="134.29999999999998"/>
    <n v="23.700000000000003"/>
  </r>
  <r>
    <s v="Backend - OM"/>
    <x v="1"/>
    <s v="New Feature"/>
    <s v="OM-2057"/>
    <s v="Create Action Log for Manual Process"/>
    <s v="New Feature"/>
    <x v="0"/>
    <d v="2015-09-22T16:31:00"/>
    <x v="4"/>
    <x v="0"/>
    <x v="1"/>
    <n v="1"/>
    <m/>
    <n v="134.29999999999998"/>
    <n v="23.700000000000003"/>
  </r>
  <r>
    <s v="Backend - OM"/>
    <x v="1"/>
    <s v="New Feature"/>
    <s v="OM-2057"/>
    <s v="Create Action Log for Manual Process"/>
    <s v="New Feature"/>
    <x v="0"/>
    <d v="2015-09-30T19:34:00"/>
    <x v="4"/>
    <x v="0"/>
    <x v="1"/>
    <n v="8"/>
    <m/>
    <n v="134.29999999999998"/>
    <n v="23.700000000000003"/>
  </r>
  <r>
    <s v="Backend - OM"/>
    <x v="2"/>
    <s v="New Feature"/>
    <s v="OM-2059"/>
    <s v="Product Price Mode Batch Update"/>
    <s v="New Feature"/>
    <x v="0"/>
    <d v="2015-09-22T12:24:00"/>
    <x v="4"/>
    <x v="0"/>
    <x v="27"/>
    <n v="28"/>
    <m/>
    <n v="134.29999999999998"/>
    <n v="23.700000000000003"/>
  </r>
  <r>
    <s v="Backend - OM"/>
    <x v="2"/>
    <s v="New Feature"/>
    <s v="OM-2059"/>
    <s v="Product Price Mode Batch Update"/>
    <s v="New Feature"/>
    <x v="0"/>
    <d v="2015-09-29T10:27:00"/>
    <x v="4"/>
    <x v="0"/>
    <x v="27"/>
    <n v="6"/>
    <m/>
    <n v="134.29999999999998"/>
    <n v="23.700000000000003"/>
  </r>
  <r>
    <s v="Backend - OM"/>
    <x v="2"/>
    <s v="New Feature"/>
    <s v="OM-2059"/>
    <s v="Product Price Mode Batch Update"/>
    <s v="New Feature"/>
    <x v="0"/>
    <d v="2015-09-29T14:35:00"/>
    <x v="4"/>
    <x v="0"/>
    <x v="27"/>
    <n v="8"/>
    <m/>
    <n v="134.29999999999998"/>
    <n v="23.700000000000003"/>
  </r>
  <r>
    <s v="Backend - OM"/>
    <x v="1"/>
    <s v="Task"/>
    <s v="OM-2121"/>
    <s v="Italy US Shipping rules"/>
    <s v="Task"/>
    <x v="0"/>
    <d v="2015-08-19T18:47:00"/>
    <x v="3"/>
    <x v="0"/>
    <x v="8"/>
    <n v="4"/>
    <m/>
    <n v="147.9"/>
    <n v="26.100000000000005"/>
  </r>
  <r>
    <s v="Backend - OM"/>
    <x v="2"/>
    <s v="Improvement"/>
    <s v="OM-2186"/>
    <s v="EDM Generator - Second Banner"/>
    <s v="Improvement"/>
    <x v="0"/>
    <d v="2015-09-21T18:46:00"/>
    <x v="4"/>
    <x v="0"/>
    <x v="20"/>
    <n v="16"/>
    <m/>
    <n v="134.29999999999998"/>
    <n v="23.700000000000003"/>
  </r>
  <r>
    <s v="SBG Quality Assurance"/>
    <x v="1"/>
    <s v="Task"/>
    <s v="QA-180"/>
    <s v="Work Log 2015 Candy Gan"/>
    <s v="Task"/>
    <x v="0"/>
    <d v="2015-09-18T12:56:00"/>
    <x v="4"/>
    <x v="0"/>
    <x v="1"/>
    <n v="2"/>
    <s v="Test Mobile Payment"/>
    <n v="134.29999999999998"/>
    <n v="23.700000000000003"/>
  </r>
  <r>
    <s v="SBG Quality Assurance"/>
    <x v="1"/>
    <s v="Task"/>
    <s v="QA-180"/>
    <s v="Work Log 2015 Candy Gan"/>
    <s v="Task"/>
    <x v="0"/>
    <d v="2015-09-21T12:52:00"/>
    <x v="4"/>
    <x v="0"/>
    <x v="1"/>
    <n v="2"/>
    <s v="QA Meeting"/>
    <n v="134.29999999999998"/>
    <n v="23.700000000000003"/>
  </r>
  <r>
    <s v="SBG Quality Assurance"/>
    <x v="1"/>
    <s v="Task"/>
    <s v="QA-180"/>
    <s v="Work Log 2015 Candy Gan"/>
    <s v="Task"/>
    <x v="0"/>
    <d v="2015-09-21T16:35:00"/>
    <x v="4"/>
    <x v="0"/>
    <x v="1"/>
    <n v="1"/>
    <s v="QA Meeting"/>
    <n v="134.29999999999998"/>
    <n v="23.700000000000003"/>
  </r>
  <r>
    <s v="SBG Quality Assurance"/>
    <x v="1"/>
    <s v="Task"/>
    <s v="QA-196"/>
    <s v="work log 2015"/>
    <s v="Task"/>
    <x v="0"/>
    <d v="2015-08-12T18:56:00"/>
    <x v="3"/>
    <x v="0"/>
    <x v="8"/>
    <n v="1"/>
    <s v="meeting with OM team"/>
    <n v="147.9"/>
    <n v="26.100000000000005"/>
  </r>
  <r>
    <s v="SBG Quality Assurance"/>
    <x v="1"/>
    <s v="Task"/>
    <s v="QA-196"/>
    <s v="work log 2015"/>
    <s v="Task"/>
    <x v="0"/>
    <d v="2015-08-13T19:15:00"/>
    <x v="3"/>
    <x v="0"/>
    <x v="8"/>
    <n v="8.5"/>
    <s v="1. om &amp; scan release 2. training 3. help to handle live bugs 4. other things"/>
    <n v="147.9"/>
    <n v="26.100000000000005"/>
  </r>
  <r>
    <s v="SBG Quality Assurance"/>
    <x v="1"/>
    <s v="Task"/>
    <s v="QA-196"/>
    <s v="work log 2015"/>
    <s v="Task"/>
    <x v="0"/>
    <d v="2015-08-14T18:30:00"/>
    <x v="3"/>
    <x v="0"/>
    <x v="8"/>
    <n v="3"/>
    <s v="1. QA meeting 2. discussion with HK office 3. other things"/>
    <n v="147.9"/>
    <n v="26.100000000000005"/>
  </r>
  <r>
    <s v="SBG Quality Assurance"/>
    <x v="1"/>
    <s v="Task"/>
    <s v="QA-196"/>
    <s v="work log 2015"/>
    <s v="Task"/>
    <x v="0"/>
    <d v="2015-08-18T18:32:00"/>
    <x v="3"/>
    <x v="0"/>
    <x v="8"/>
    <n v="2"/>
    <s v="1. IT meeting 2. discussion with Gabriel"/>
    <n v="147.9"/>
    <n v="26.100000000000005"/>
  </r>
  <r>
    <s v="SBG Quality Assurance"/>
    <x v="1"/>
    <s v="Task"/>
    <s v="QA-196"/>
    <s v="work log 2015"/>
    <s v="Task"/>
    <x v="0"/>
    <d v="2015-08-19T18:46:00"/>
    <x v="3"/>
    <x v="0"/>
    <x v="8"/>
    <n v="1"/>
    <s v="help Felix check Meta"/>
    <n v="147.9"/>
    <n v="26.100000000000005"/>
  </r>
  <r>
    <s v="SBG Quality Assurance"/>
    <x v="1"/>
    <s v="Task"/>
    <s v="QA-196"/>
    <s v="work log 2015"/>
    <s v="Task"/>
    <x v="0"/>
    <d v="2015-08-20T18:34:00"/>
    <x v="3"/>
    <x v="0"/>
    <x v="8"/>
    <n v="8"/>
    <m/>
    <n v="147.9"/>
    <n v="26.100000000000005"/>
  </r>
  <r>
    <s v="SBG Quality Assurance"/>
    <x v="1"/>
    <s v="Task"/>
    <s v="QA-196"/>
    <s v="work log 2015"/>
    <s v="Task"/>
    <x v="0"/>
    <d v="2015-08-21T18:31:00"/>
    <x v="3"/>
    <x v="0"/>
    <x v="8"/>
    <n v="8"/>
    <m/>
    <n v="147.9"/>
    <n v="26.100000000000005"/>
  </r>
  <r>
    <s v="SBG Quality Assurance"/>
    <x v="1"/>
    <s v="Task"/>
    <s v="QA-196"/>
    <s v="work log 2015"/>
    <s v="Task"/>
    <x v="0"/>
    <d v="2015-08-24T10:49:00"/>
    <x v="3"/>
    <x v="0"/>
    <x v="8"/>
    <n v="6"/>
    <s v="1. test scanIT 2. other things"/>
    <n v="147.9"/>
    <n v="26.100000000000005"/>
  </r>
  <r>
    <s v="SBG Quality Assurance"/>
    <x v="1"/>
    <s v="Task"/>
    <s v="QA-196"/>
    <s v="work log 2015"/>
    <s v="Task"/>
    <x v="0"/>
    <d v="2015-08-26T19:12:00"/>
    <x v="3"/>
    <x v="0"/>
    <x v="8"/>
    <n v="1"/>
    <s v="welcome wednesday"/>
    <n v="147.9"/>
    <n v="26.100000000000005"/>
  </r>
  <r>
    <s v="SBG Quality Assurance"/>
    <x v="1"/>
    <s v="Task"/>
    <s v="QA-196"/>
    <s v="work log 2015"/>
    <s v="Task"/>
    <x v="0"/>
    <d v="2015-08-27T18:32:00"/>
    <x v="3"/>
    <x v="0"/>
    <x v="8"/>
    <n v="1"/>
    <m/>
    <n v="147.9"/>
    <n v="26.100000000000005"/>
  </r>
  <r>
    <s v="SBG Quality Assurance"/>
    <x v="1"/>
    <s v="Task"/>
    <s v="QA-196"/>
    <s v="work log 2015"/>
    <s v="Task"/>
    <x v="0"/>
    <d v="2015-08-28T18:31:00"/>
    <x v="3"/>
    <x v="0"/>
    <x v="8"/>
    <n v="3"/>
    <s v="1. QA meeting 2. birthday party 3. other things"/>
    <n v="147.9"/>
    <n v="26.100000000000005"/>
  </r>
  <r>
    <s v="SBG Quality Assurance"/>
    <x v="1"/>
    <s v="Task"/>
    <s v="QA-196"/>
    <s v="work log 2015"/>
    <s v="Task"/>
    <x v="0"/>
    <d v="2015-09-11T18:40:00"/>
    <x v="4"/>
    <x v="0"/>
    <x v="8"/>
    <n v="8"/>
    <s v="1. meeting 2. farewell party 3. other things"/>
    <n v="134.29999999999998"/>
    <n v="23.700000000000003"/>
  </r>
  <r>
    <s v="SBG Quality Assurance"/>
    <x v="1"/>
    <s v="Task"/>
    <s v="QA-196"/>
    <s v="work log 2015"/>
    <s v="Task"/>
    <x v="0"/>
    <d v="2015-09-14T18:31:00"/>
    <x v="4"/>
    <x v="0"/>
    <x v="8"/>
    <n v="7.5"/>
    <s v="1. QA meeting 2. discussion on scanIT 3. other things"/>
    <n v="134.29999999999998"/>
    <n v="23.700000000000003"/>
  </r>
  <r>
    <s v="SBG Quality Assurance"/>
    <x v="1"/>
    <s v="Task"/>
    <s v="QA-196"/>
    <s v="work log 2015"/>
    <s v="Task"/>
    <x v="0"/>
    <d v="2015-09-15T18:33:00"/>
    <x v="4"/>
    <x v="0"/>
    <x v="8"/>
    <n v="1"/>
    <s v="QA meeting"/>
    <n v="134.29999999999998"/>
    <n v="23.700000000000003"/>
  </r>
  <r>
    <s v="SBG Quality Assurance"/>
    <x v="1"/>
    <s v="Task"/>
    <s v="QA-196"/>
    <s v="work log 2015"/>
    <s v="Task"/>
    <x v="0"/>
    <d v="2015-09-18T18:30:00"/>
    <x v="4"/>
    <x v="0"/>
    <x v="8"/>
    <n v="1"/>
    <s v="farewell party"/>
    <n v="134.29999999999998"/>
    <n v="23.700000000000003"/>
  </r>
  <r>
    <s v="SBG Quality Assurance"/>
    <x v="1"/>
    <s v="Task"/>
    <s v="QA-196"/>
    <s v="work log 2015"/>
    <s v="Task"/>
    <x v="0"/>
    <d v="2015-09-21T18:36:00"/>
    <x v="4"/>
    <x v="0"/>
    <x v="8"/>
    <n v="1"/>
    <s v="QA meeting"/>
    <n v="134.29999999999998"/>
    <n v="23.700000000000003"/>
  </r>
  <r>
    <s v="SBG Quality Assurance"/>
    <x v="1"/>
    <s v="Task"/>
    <s v="QA-196"/>
    <s v="work log 2015"/>
    <s v="Task"/>
    <x v="0"/>
    <d v="2015-09-22T18:30:00"/>
    <x v="4"/>
    <x v="0"/>
    <x v="8"/>
    <n v="2"/>
    <s v="1. IT meeting 2. other things"/>
    <n v="134.29999999999998"/>
    <n v="23.700000000000003"/>
  </r>
  <r>
    <s v="SBG Quality Assurance"/>
    <x v="1"/>
    <s v="Task"/>
    <s v="QA-196"/>
    <s v="work log 2015"/>
    <s v="Task"/>
    <x v="0"/>
    <d v="2015-09-23T19:00:00"/>
    <x v="4"/>
    <x v="0"/>
    <x v="8"/>
    <n v="1"/>
    <m/>
    <n v="134.29999999999998"/>
    <n v="23.700000000000003"/>
  </r>
  <r>
    <s v="SBG Quality Assurance"/>
    <x v="1"/>
    <s v="Task"/>
    <s v="QA-196"/>
    <s v="work log 2015"/>
    <s v="Task"/>
    <x v="0"/>
    <d v="2015-09-25T17:47:00"/>
    <x v="4"/>
    <x v="0"/>
    <x v="8"/>
    <n v="3.5"/>
    <s v="1. welcome party 2. QA meeting 3. other things"/>
    <n v="134.29999999999998"/>
    <n v="23.700000000000003"/>
  </r>
  <r>
    <s v="SBG Quality Assurance"/>
    <x v="1"/>
    <s v="Task"/>
    <s v="QA-196"/>
    <s v="work log 2015"/>
    <s v="Task"/>
    <x v="0"/>
    <d v="2015-09-28T18:30:00"/>
    <x v="4"/>
    <x v="0"/>
    <x v="8"/>
    <n v="1"/>
    <s v="1.lottery party 2.other thing"/>
    <n v="134.29999999999998"/>
    <n v="23.700000000000003"/>
  </r>
  <r>
    <s v="Backend - Scan"/>
    <x v="1"/>
    <s v="New Feature"/>
    <s v="SCAN-409"/>
    <s v="Contact Lens Improvement (HK)"/>
    <s v="New Feature"/>
    <x v="0"/>
    <d v="2015-08-01T19:11:00"/>
    <x v="3"/>
    <x v="0"/>
    <x v="8"/>
    <n v="5"/>
    <m/>
    <n v="147.9"/>
    <n v="26.100000000000005"/>
  </r>
  <r>
    <s v="Backend - Scan"/>
    <x v="1"/>
    <s v="New Feature"/>
    <s v="SCAN-409"/>
    <s v="Contact Lens Improvement (HK)"/>
    <s v="New Feature"/>
    <x v="0"/>
    <d v="2015-08-03T18:51:00"/>
    <x v="3"/>
    <x v="0"/>
    <x v="8"/>
    <n v="8"/>
    <m/>
    <n v="147.9"/>
    <n v="26.100000000000005"/>
  </r>
  <r>
    <s v="Backend - Scan"/>
    <x v="2"/>
    <s v="New Feature"/>
    <s v="SCAN-409"/>
    <s v="Contact Lens Improvement (HK)"/>
    <s v="New Feature"/>
    <x v="0"/>
    <d v="2015-08-03T19:35:00"/>
    <x v="3"/>
    <x v="0"/>
    <x v="9"/>
    <n v="9"/>
    <m/>
    <n v="147.9"/>
    <n v="26.100000000000005"/>
  </r>
  <r>
    <s v="Backend - Scan"/>
    <x v="2"/>
    <s v="New Feature"/>
    <s v="SCAN-409"/>
    <s v="Contact Lens Improvement (HK)"/>
    <s v="New Feature"/>
    <x v="0"/>
    <d v="2015-08-04T19:20:00"/>
    <x v="3"/>
    <x v="0"/>
    <x v="9"/>
    <n v="9"/>
    <m/>
    <n v="147.9"/>
    <n v="26.100000000000005"/>
  </r>
  <r>
    <s v="Backend - Scan"/>
    <x v="1"/>
    <s v="New Feature"/>
    <s v="SCAN-409"/>
    <s v="Contact Lens Improvement (HK)"/>
    <s v="New Feature"/>
    <x v="0"/>
    <d v="2015-08-04T19:39:00"/>
    <x v="3"/>
    <x v="0"/>
    <x v="8"/>
    <n v="9"/>
    <m/>
    <n v="147.9"/>
    <n v="26.100000000000005"/>
  </r>
  <r>
    <s v="Backend - Scan"/>
    <x v="2"/>
    <s v="New Feature"/>
    <s v="SCAN-409"/>
    <s v="Contact Lens Improvement (HK)"/>
    <s v="New Feature"/>
    <x v="0"/>
    <d v="2015-08-05T19:20:00"/>
    <x v="3"/>
    <x v="0"/>
    <x v="9"/>
    <n v="8"/>
    <m/>
    <n v="147.9"/>
    <n v="26.100000000000005"/>
  </r>
  <r>
    <s v="Backend - Scan"/>
    <x v="1"/>
    <s v="New Feature"/>
    <s v="SCAN-409"/>
    <s v="Contact Lens Improvement (HK)"/>
    <s v="New Feature"/>
    <x v="0"/>
    <d v="2015-08-05T20:39:00"/>
    <x v="3"/>
    <x v="0"/>
    <x v="8"/>
    <n v="10"/>
    <m/>
    <n v="147.9"/>
    <n v="26.100000000000005"/>
  </r>
  <r>
    <s v="Backend - Scan"/>
    <x v="1"/>
    <s v="New Feature"/>
    <s v="SCAN-409"/>
    <s v="Contact Lens Improvement (HK)"/>
    <s v="New Feature"/>
    <x v="0"/>
    <d v="2015-08-06T10:46:00"/>
    <x v="3"/>
    <x v="0"/>
    <x v="8"/>
    <n v="8"/>
    <m/>
    <n v="147.9"/>
    <n v="26.100000000000005"/>
  </r>
  <r>
    <s v="Backend - Scan"/>
    <x v="2"/>
    <s v="New Feature"/>
    <s v="SCAN-409"/>
    <s v="Contact Lens Improvement (HK)"/>
    <s v="New Feature"/>
    <x v="0"/>
    <d v="2015-08-06T20:22:00"/>
    <x v="3"/>
    <x v="0"/>
    <x v="9"/>
    <n v="5"/>
    <m/>
    <n v="147.9"/>
    <n v="26.100000000000005"/>
  </r>
  <r>
    <s v="Backend - Scan"/>
    <x v="2"/>
    <s v="New Feature"/>
    <s v="SCAN-409"/>
    <s v="Contact Lens Improvement (HK)"/>
    <s v="New Feature"/>
    <x v="0"/>
    <d v="2015-08-09T15:25:00"/>
    <x v="3"/>
    <x v="0"/>
    <x v="12"/>
    <n v="120"/>
    <m/>
    <n v="147.9"/>
    <n v="26.100000000000005"/>
  </r>
  <r>
    <s v="Backend - Scan"/>
    <x v="2"/>
    <s v="New Feature"/>
    <s v="SCAN-409"/>
    <s v="Contact Lens Improvement (HK)"/>
    <s v="New Feature"/>
    <x v="0"/>
    <d v="2015-09-09T15:25:00"/>
    <x v="4"/>
    <x v="0"/>
    <x v="12"/>
    <n v="48"/>
    <m/>
    <n v="134.29999999999998"/>
    <n v="23.700000000000003"/>
  </r>
  <r>
    <s v="Backend - Scan"/>
    <x v="2"/>
    <s v="New Feature"/>
    <s v="SCAN-416"/>
    <s v="Fedex's shipment - Digital invoice (paperless)"/>
    <s v="New Feature"/>
    <x v="0"/>
    <d v="2015-09-07T12:06:00"/>
    <x v="4"/>
    <x v="0"/>
    <x v="16"/>
    <n v="8"/>
    <m/>
    <n v="134.29999999999998"/>
    <n v="23.700000000000003"/>
  </r>
  <r>
    <s v="Backend - Scan"/>
    <x v="2"/>
    <s v="New Feature"/>
    <s v="SCAN-416"/>
    <s v="Fedex's shipment - Digital invoice (paperless)"/>
    <s v="New Feature"/>
    <x v="0"/>
    <d v="2015-09-08T12:06:00"/>
    <x v="4"/>
    <x v="0"/>
    <x v="16"/>
    <n v="8"/>
    <m/>
    <n v="134.29999999999998"/>
    <n v="23.700000000000003"/>
  </r>
  <r>
    <s v="Backend - Scan"/>
    <x v="2"/>
    <s v="New Feature"/>
    <s v="SCAN-416"/>
    <s v="Fedex's shipment - Digital invoice (paperless)"/>
    <s v="New Feature"/>
    <x v="0"/>
    <d v="2015-09-09T12:06:00"/>
    <x v="4"/>
    <x v="0"/>
    <x v="16"/>
    <n v="8"/>
    <m/>
    <n v="134.29999999999998"/>
    <n v="23.700000000000003"/>
  </r>
  <r>
    <s v="Backend - Scan"/>
    <x v="2"/>
    <s v="New Feature"/>
    <s v="SCAN-416"/>
    <s v="Fedex's shipment - Digital invoice (paperless)"/>
    <s v="New Feature"/>
    <x v="0"/>
    <d v="2015-09-11T12:06:00"/>
    <x v="4"/>
    <x v="0"/>
    <x v="16"/>
    <n v="8"/>
    <m/>
    <n v="134.29999999999998"/>
    <n v="23.700000000000003"/>
  </r>
  <r>
    <s v="Backend - Scan"/>
    <x v="2"/>
    <s v="New Feature"/>
    <s v="SCAN-416"/>
    <s v="Fedex's shipment - Digital invoice (paperless)"/>
    <s v="New Feature"/>
    <x v="0"/>
    <d v="2015-09-14T17:14:00"/>
    <x v="4"/>
    <x v="0"/>
    <x v="16"/>
    <n v="8"/>
    <m/>
    <n v="134.29999999999998"/>
    <n v="23.700000000000003"/>
  </r>
  <r>
    <s v="Backend - Scan"/>
    <x v="2"/>
    <s v="New Feature"/>
    <s v="SCAN-416"/>
    <s v="Fedex's shipment - Digital invoice (paperless)"/>
    <s v="New Feature"/>
    <x v="0"/>
    <d v="2015-09-15T17:15:00"/>
    <x v="4"/>
    <x v="0"/>
    <x v="16"/>
    <n v="8"/>
    <m/>
    <n v="134.29999999999998"/>
    <n v="23.700000000000003"/>
  </r>
  <r>
    <s v="Backend - Scan"/>
    <x v="2"/>
    <s v="New Feature"/>
    <s v="SCAN-416"/>
    <s v="Fedex's shipment - Digital invoice (paperless)"/>
    <s v="New Feature"/>
    <x v="0"/>
    <d v="2015-09-16T17:15:00"/>
    <x v="4"/>
    <x v="0"/>
    <x v="16"/>
    <n v="8"/>
    <m/>
    <n v="134.29999999999998"/>
    <n v="23.700000000000003"/>
  </r>
  <r>
    <s v="Backend - Scan"/>
    <x v="2"/>
    <s v="New Feature"/>
    <s v="SCAN-416"/>
    <s v="Fedex's shipment - Digital invoice (paperless)"/>
    <s v="New Feature"/>
    <x v="0"/>
    <d v="2015-09-17T12:07:00"/>
    <x v="4"/>
    <x v="0"/>
    <x v="16"/>
    <n v="8"/>
    <m/>
    <n v="134.29999999999998"/>
    <n v="23.700000000000003"/>
  </r>
  <r>
    <s v="Backend - Scan"/>
    <x v="2"/>
    <s v="New Feature"/>
    <s v="SCAN-416"/>
    <s v="Fedex's shipment - Digital invoice (paperless)"/>
    <s v="New Feature"/>
    <x v="0"/>
    <d v="2015-09-18T12:07:00"/>
    <x v="4"/>
    <x v="0"/>
    <x v="16"/>
    <n v="8"/>
    <m/>
    <n v="134.29999999999998"/>
    <n v="23.700000000000003"/>
  </r>
  <r>
    <s v="Backend - Scan"/>
    <x v="2"/>
    <s v="New Feature"/>
    <s v="SCAN-416"/>
    <s v="Fedex's shipment - Digital invoice (paperless)"/>
    <s v="New Feature"/>
    <x v="0"/>
    <d v="2015-09-21T12:08:00"/>
    <x v="4"/>
    <x v="0"/>
    <x v="16"/>
    <n v="8"/>
    <m/>
    <n v="134.29999999999998"/>
    <n v="23.700000000000003"/>
  </r>
  <r>
    <s v="Backend - Scan"/>
    <x v="2"/>
    <s v="New Feature"/>
    <s v="SCAN-416"/>
    <s v="Fedex's shipment - Digital invoice (paperless)"/>
    <s v="New Feature"/>
    <x v="0"/>
    <d v="2015-09-22T12:08:00"/>
    <x v="4"/>
    <x v="0"/>
    <x v="16"/>
    <n v="8"/>
    <m/>
    <n v="134.29999999999998"/>
    <n v="23.700000000000003"/>
  </r>
  <r>
    <s v="Backend - Scan"/>
    <x v="2"/>
    <s v="New Feature"/>
    <s v="SCAN-416"/>
    <s v="Fedex's shipment - Digital invoice (paperless)"/>
    <s v="New Feature"/>
    <x v="0"/>
    <d v="2015-09-23T12:09:00"/>
    <x v="4"/>
    <x v="0"/>
    <x v="16"/>
    <n v="8"/>
    <m/>
    <n v="134.29999999999998"/>
    <n v="23.700000000000003"/>
  </r>
  <r>
    <s v="Backend - Scan"/>
    <x v="2"/>
    <s v="New Feature"/>
    <s v="SCAN-416"/>
    <s v="Fedex's shipment - Digital invoice (paperless)"/>
    <s v="New Feature"/>
    <x v="0"/>
    <d v="2015-09-24T12:14:00"/>
    <x v="4"/>
    <x v="0"/>
    <x v="16"/>
    <n v="4"/>
    <m/>
    <n v="134.29999999999998"/>
    <n v="23.700000000000003"/>
  </r>
  <r>
    <s v="Backend - Scan"/>
    <x v="2"/>
    <s v="Improvement"/>
    <s v="SCAN-432"/>
    <s v="Create Rewards"/>
    <s v="Improvement"/>
    <x v="0"/>
    <d v="2015-08-04T15:57:00"/>
    <x v="3"/>
    <x v="0"/>
    <x v="20"/>
    <n v="2"/>
    <m/>
    <n v="147.9"/>
    <n v="26.100000000000005"/>
  </r>
  <r>
    <s v="Backend - Scan"/>
    <x v="2"/>
    <s v="Technical task"/>
    <s v="SCAN-434"/>
    <s v="SCAN-409&gt; scan update"/>
    <s v="Technical task"/>
    <x v="0"/>
    <d v="2015-08-07T18:52:00"/>
    <x v="3"/>
    <x v="0"/>
    <x v="9"/>
    <n v="8"/>
    <m/>
    <n v="147.9"/>
    <n v="26.100000000000005"/>
  </r>
  <r>
    <s v="Backend - Scan"/>
    <x v="1"/>
    <s v="Technical task"/>
    <s v="SCAN-434"/>
    <s v="SCAN-409&gt; scan update"/>
    <s v="Technical task"/>
    <x v="0"/>
    <d v="2015-08-07T18:55:00"/>
    <x v="3"/>
    <x v="0"/>
    <x v="8"/>
    <n v="9.5"/>
    <m/>
    <n v="147.9"/>
    <n v="26.100000000000005"/>
  </r>
  <r>
    <s v="Backend - Scan"/>
    <x v="1"/>
    <s v="Technical task"/>
    <s v="SCAN-434"/>
    <s v="SCAN-409&gt; scan update"/>
    <s v="Technical task"/>
    <x v="0"/>
    <d v="2015-08-10T17:17:00"/>
    <x v="3"/>
    <x v="0"/>
    <x v="8"/>
    <n v="4"/>
    <m/>
    <n v="147.9"/>
    <n v="26.100000000000005"/>
  </r>
  <r>
    <s v="Backend - Scan"/>
    <x v="2"/>
    <s v="Technical task"/>
    <s v="SCAN-434"/>
    <s v="SCAN-409&gt; scan update"/>
    <s v="Technical task"/>
    <x v="0"/>
    <d v="2015-08-10T19:14:00"/>
    <x v="3"/>
    <x v="0"/>
    <x v="9"/>
    <n v="8"/>
    <m/>
    <n v="147.9"/>
    <n v="26.100000000000005"/>
  </r>
  <r>
    <s v="Backend - Scan"/>
    <x v="1"/>
    <s v="Technical task"/>
    <s v="SCAN-434"/>
    <s v="SCAN-409&gt; scan update"/>
    <s v="Technical task"/>
    <x v="0"/>
    <d v="2015-08-11T18:52:00"/>
    <x v="3"/>
    <x v="0"/>
    <x v="8"/>
    <n v="2"/>
    <m/>
    <n v="147.9"/>
    <n v="26.100000000000005"/>
  </r>
  <r>
    <s v="Backend - Scan"/>
    <x v="2"/>
    <s v="Technical task"/>
    <s v="SCAN-434"/>
    <s v="SCAN-409&gt; scan update"/>
    <s v="Technical task"/>
    <x v="0"/>
    <d v="2015-08-11T18:58:00"/>
    <x v="3"/>
    <x v="0"/>
    <x v="9"/>
    <n v="4"/>
    <s v="test"/>
    <n v="147.9"/>
    <n v="26.100000000000005"/>
  </r>
  <r>
    <s v="Backend - Scan"/>
    <x v="2"/>
    <s v="Technical task"/>
    <s v="SCAN-434"/>
    <s v="SCAN-409&gt; scan update"/>
    <s v="Technical task"/>
    <x v="0"/>
    <d v="2015-08-12T18:42:00"/>
    <x v="3"/>
    <x v="0"/>
    <x v="9"/>
    <n v="7"/>
    <s v="improvement for po/shipment contain cancel items (one order whole cancel or part cancel). and other detail complete."/>
    <n v="147.9"/>
    <n v="26.100000000000005"/>
  </r>
  <r>
    <s v="Backend - Scan"/>
    <x v="0"/>
    <s v="Improvement"/>
    <s v="SCAN-437"/>
    <s v="Contact lenses PO submit validation"/>
    <s v="Improvement"/>
    <x v="0"/>
    <d v="2015-08-12T17:27:00"/>
    <x v="3"/>
    <x v="0"/>
    <x v="19"/>
    <n v="0.33300000000000002"/>
    <m/>
    <n v="87"/>
    <n v="87"/>
  </r>
  <r>
    <s v="Backend - Scan"/>
    <x v="1"/>
    <s v="Improvement"/>
    <s v="SCAN-437"/>
    <s v="Contact lenses PO submit validation"/>
    <s v="Improvement"/>
    <x v="0"/>
    <d v="2015-08-12T19:17:00"/>
    <x v="3"/>
    <x v="0"/>
    <x v="8"/>
    <n v="4"/>
    <m/>
    <n v="147.9"/>
    <n v="26.100000000000005"/>
  </r>
  <r>
    <s v="Backend - Scan"/>
    <x v="2"/>
    <s v="New Feature"/>
    <s v="SCAN-438"/>
    <s v="CL Italy launch process"/>
    <s v="New Feature"/>
    <x v="0"/>
    <d v="2015-08-09T15:26:00"/>
    <x v="3"/>
    <x v="0"/>
    <x v="12"/>
    <n v="40"/>
    <m/>
    <n v="147.9"/>
    <n v="26.100000000000005"/>
  </r>
  <r>
    <s v="Backend - Scan"/>
    <x v="2"/>
    <s v="New Feature"/>
    <s v="SCAN-438"/>
    <s v="CL Italy launch process"/>
    <s v="New Feature"/>
    <x v="0"/>
    <d v="2015-08-17T19:12:00"/>
    <x v="3"/>
    <x v="0"/>
    <x v="9"/>
    <n v="2"/>
    <m/>
    <n v="147.9"/>
    <n v="26.100000000000005"/>
  </r>
  <r>
    <s v="Backend - Scan"/>
    <x v="2"/>
    <s v="New Feature"/>
    <s v="SCAN-438"/>
    <s v="CL Italy launch process"/>
    <s v="New Feature"/>
    <x v="0"/>
    <d v="2015-08-18T17:43:00"/>
    <x v="3"/>
    <x v="0"/>
    <x v="9"/>
    <n v="3"/>
    <m/>
    <n v="147.9"/>
    <n v="26.100000000000005"/>
  </r>
  <r>
    <s v="Backend - Scan"/>
    <x v="2"/>
    <s v="New Feature"/>
    <s v="SCAN-438"/>
    <s v="CL Italy launch process"/>
    <s v="New Feature"/>
    <x v="0"/>
    <d v="2015-08-19T19:07:00"/>
    <x v="3"/>
    <x v="0"/>
    <x v="9"/>
    <n v="5"/>
    <m/>
    <n v="147.9"/>
    <n v="26.100000000000005"/>
  </r>
  <r>
    <s v="Backend - Scan"/>
    <x v="2"/>
    <s v="New Feature"/>
    <s v="SCAN-438"/>
    <s v="CL Italy launch process"/>
    <s v="New Feature"/>
    <x v="0"/>
    <d v="2015-08-20T18:43:00"/>
    <x v="3"/>
    <x v="0"/>
    <x v="9"/>
    <n v="6"/>
    <s v="order for stock, stock out, warehouse stock SYNC to web inventory"/>
    <n v="147.9"/>
    <n v="26.100000000000005"/>
  </r>
  <r>
    <s v="Backend - Scan"/>
    <x v="2"/>
    <s v="New Feature"/>
    <s v="SCAN-438"/>
    <s v="CL Italy launch process"/>
    <s v="New Feature"/>
    <x v="0"/>
    <d v="2015-08-25T11:28:00"/>
    <x v="3"/>
    <x v="0"/>
    <x v="9"/>
    <n v="8"/>
    <m/>
    <n v="147.9"/>
    <n v="26.100000000000005"/>
  </r>
  <r>
    <s v="Backend - Scan"/>
    <x v="2"/>
    <s v="New Feature"/>
    <s v="SCAN-438"/>
    <s v="CL Italy launch process"/>
    <s v="New Feature"/>
    <x v="0"/>
    <d v="2015-08-26T22:28:00"/>
    <x v="3"/>
    <x v="0"/>
    <x v="9"/>
    <n v="13"/>
    <m/>
    <n v="147.9"/>
    <n v="26.100000000000005"/>
  </r>
  <r>
    <s v="Backend - Scan"/>
    <x v="2"/>
    <s v="New Feature"/>
    <s v="SCAN-438"/>
    <s v="CL Italy launch process"/>
    <s v="New Feature"/>
    <x v="0"/>
    <d v="2015-08-27T19:00:00"/>
    <x v="3"/>
    <x v="0"/>
    <x v="9"/>
    <n v="8"/>
    <m/>
    <n v="147.9"/>
    <n v="26.100000000000005"/>
  </r>
  <r>
    <s v="Backend - Scan"/>
    <x v="1"/>
    <s v="New Feature"/>
    <s v="SCAN-438"/>
    <s v="CL Italy launch process"/>
    <s v="New Feature"/>
    <x v="0"/>
    <d v="2015-08-28T18:31:00"/>
    <x v="3"/>
    <x v="0"/>
    <x v="8"/>
    <n v="4"/>
    <m/>
    <n v="147.9"/>
    <n v="26.100000000000005"/>
  </r>
  <r>
    <s v="Backend - Scan"/>
    <x v="2"/>
    <s v="New Feature"/>
    <s v="SCAN-438"/>
    <s v="CL Italy launch process"/>
    <s v="New Feature"/>
    <x v="0"/>
    <d v="2015-08-28T19:00:00"/>
    <x v="3"/>
    <x v="0"/>
    <x v="9"/>
    <n v="8"/>
    <m/>
    <n v="147.9"/>
    <n v="26.100000000000005"/>
  </r>
  <r>
    <s v="Backend - Scan"/>
    <x v="2"/>
    <s v="New Feature"/>
    <s v="SCAN-438"/>
    <s v="CL Italy launch process"/>
    <s v="New Feature"/>
    <x v="0"/>
    <d v="2015-08-31T11:29:00"/>
    <x v="3"/>
    <x v="0"/>
    <x v="9"/>
    <n v="8"/>
    <m/>
    <n v="147.9"/>
    <n v="26.100000000000005"/>
  </r>
  <r>
    <s v="Backend - Scan"/>
    <x v="1"/>
    <s v="New Feature"/>
    <s v="SCAN-438"/>
    <s v="CL Italy launch process"/>
    <s v="New Feature"/>
    <x v="0"/>
    <d v="2015-08-31T19:42:00"/>
    <x v="3"/>
    <x v="0"/>
    <x v="8"/>
    <n v="2"/>
    <m/>
    <n v="147.9"/>
    <n v="26.100000000000005"/>
  </r>
  <r>
    <s v="Backend - Scan"/>
    <x v="2"/>
    <s v="New Feature"/>
    <s v="SCAN-438"/>
    <s v="CL Italy launch process"/>
    <s v="New Feature"/>
    <x v="0"/>
    <d v="2015-09-01T19:12:00"/>
    <x v="4"/>
    <x v="0"/>
    <x v="9"/>
    <n v="8"/>
    <m/>
    <n v="134.29999999999998"/>
    <n v="23.700000000000003"/>
  </r>
  <r>
    <s v="Backend - Scan"/>
    <x v="1"/>
    <s v="New Feature"/>
    <s v="SCAN-438"/>
    <s v="CL Italy launch process"/>
    <s v="New Feature"/>
    <x v="0"/>
    <d v="2015-09-01T21:50:00"/>
    <x v="4"/>
    <x v="0"/>
    <x v="8"/>
    <n v="10.5"/>
    <m/>
    <n v="134.29999999999998"/>
    <n v="23.700000000000003"/>
  </r>
  <r>
    <s v="Backend - Scan"/>
    <x v="1"/>
    <s v="New Feature"/>
    <s v="SCAN-438"/>
    <s v="CL Italy launch process"/>
    <s v="New Feature"/>
    <x v="0"/>
    <d v="2015-09-02T18:54:00"/>
    <x v="4"/>
    <x v="0"/>
    <x v="8"/>
    <n v="8"/>
    <m/>
    <n v="134.29999999999998"/>
    <n v="23.700000000000003"/>
  </r>
  <r>
    <s v="Backend - Scan"/>
    <x v="2"/>
    <s v="New Feature"/>
    <s v="SCAN-438"/>
    <s v="CL Italy launch process"/>
    <s v="New Feature"/>
    <x v="0"/>
    <d v="2015-09-02T19:12:00"/>
    <x v="4"/>
    <x v="0"/>
    <x v="9"/>
    <n v="8"/>
    <m/>
    <n v="134.29999999999998"/>
    <n v="23.700000000000003"/>
  </r>
  <r>
    <s v="Backend - Scan"/>
    <x v="2"/>
    <s v="New Feature"/>
    <s v="SCAN-438"/>
    <s v="CL Italy launch process"/>
    <s v="New Feature"/>
    <x v="0"/>
    <d v="2015-09-03T16:49:00"/>
    <x v="4"/>
    <x v="0"/>
    <x v="9"/>
    <n v="8"/>
    <m/>
    <n v="134.29999999999998"/>
    <n v="23.700000000000003"/>
  </r>
  <r>
    <s v="Backend - Scan"/>
    <x v="2"/>
    <s v="New Feature"/>
    <s v="SCAN-438"/>
    <s v="CL Italy launch process"/>
    <s v="New Feature"/>
    <x v="0"/>
    <d v="2015-09-04T19:13:00"/>
    <x v="4"/>
    <x v="0"/>
    <x v="9"/>
    <n v="8"/>
    <m/>
    <n v="134.29999999999998"/>
    <n v="23.700000000000003"/>
  </r>
  <r>
    <s v="Backend - Scan"/>
    <x v="1"/>
    <s v="New Feature"/>
    <s v="SCAN-438"/>
    <s v="CL Italy launch process"/>
    <s v="New Feature"/>
    <x v="0"/>
    <d v="2015-09-07T19:41:00"/>
    <x v="4"/>
    <x v="0"/>
    <x v="8"/>
    <n v="9"/>
    <m/>
    <n v="134.29999999999998"/>
    <n v="23.700000000000003"/>
  </r>
  <r>
    <s v="Backend - Scan"/>
    <x v="1"/>
    <s v="New Feature"/>
    <s v="SCAN-438"/>
    <s v="CL Italy launch process"/>
    <s v="New Feature"/>
    <x v="0"/>
    <d v="2015-09-08T23:36:00"/>
    <x v="4"/>
    <x v="0"/>
    <x v="8"/>
    <n v="13"/>
    <m/>
    <n v="134.29999999999998"/>
    <n v="23.700000000000003"/>
  </r>
  <r>
    <s v="Backend - Scan"/>
    <x v="2"/>
    <s v="New Feature"/>
    <s v="SCAN-438"/>
    <s v="CL Italy launch process"/>
    <s v="New Feature"/>
    <x v="0"/>
    <d v="2015-09-08T23:39:00"/>
    <x v="4"/>
    <x v="0"/>
    <x v="9"/>
    <n v="13"/>
    <m/>
    <n v="134.29999999999998"/>
    <n v="23.700000000000003"/>
  </r>
  <r>
    <s v="Backend - Scan"/>
    <x v="2"/>
    <s v="New Feature"/>
    <s v="SCAN-438"/>
    <s v="CL Italy launch process"/>
    <s v="New Feature"/>
    <x v="0"/>
    <d v="2015-09-09T15:26:00"/>
    <x v="4"/>
    <x v="0"/>
    <x v="12"/>
    <n v="120"/>
    <m/>
    <n v="134.29999999999998"/>
    <n v="23.700000000000003"/>
  </r>
  <r>
    <s v="Backend - Scan"/>
    <x v="2"/>
    <s v="New Feature"/>
    <s v="SCAN-438"/>
    <s v="CL Italy launch process"/>
    <s v="New Feature"/>
    <x v="0"/>
    <d v="2015-09-09T16:49:00"/>
    <x v="4"/>
    <x v="0"/>
    <x v="9"/>
    <n v="8"/>
    <m/>
    <n v="134.29999999999998"/>
    <n v="23.700000000000003"/>
  </r>
  <r>
    <s v="Backend - Scan"/>
    <x v="1"/>
    <s v="New Feature"/>
    <s v="SCAN-438"/>
    <s v="CL Italy launch process"/>
    <s v="New Feature"/>
    <x v="0"/>
    <d v="2015-09-09T20:35:00"/>
    <x v="4"/>
    <x v="0"/>
    <x v="8"/>
    <n v="9.5"/>
    <m/>
    <n v="134.29999999999998"/>
    <n v="23.700000000000003"/>
  </r>
  <r>
    <s v="Backend - Scan"/>
    <x v="2"/>
    <s v="New Feature"/>
    <s v="SCAN-438"/>
    <s v="CL Italy launch process"/>
    <s v="New Feature"/>
    <x v="0"/>
    <d v="2015-09-10T16:50:00"/>
    <x v="4"/>
    <x v="0"/>
    <x v="9"/>
    <n v="8"/>
    <m/>
    <n v="134.29999999999998"/>
    <n v="23.700000000000003"/>
  </r>
  <r>
    <s v="Backend - Scan"/>
    <x v="1"/>
    <s v="New Feature"/>
    <s v="SCAN-438"/>
    <s v="CL Italy launch process"/>
    <s v="New Feature"/>
    <x v="0"/>
    <d v="2015-09-10T18:59:00"/>
    <x v="4"/>
    <x v="0"/>
    <x v="8"/>
    <n v="7"/>
    <m/>
    <n v="134.29999999999998"/>
    <n v="23.700000000000003"/>
  </r>
  <r>
    <s v="Backend - Scan"/>
    <x v="2"/>
    <s v="New Feature"/>
    <s v="SCAN-438"/>
    <s v="CL Italy launch process"/>
    <s v="New Feature"/>
    <x v="0"/>
    <d v="2015-09-11T16:50:00"/>
    <x v="4"/>
    <x v="0"/>
    <x v="9"/>
    <n v="8"/>
    <m/>
    <n v="134.29999999999998"/>
    <n v="23.700000000000003"/>
  </r>
  <r>
    <s v="Backend - Scan"/>
    <x v="2"/>
    <s v="New Feature"/>
    <s v="SCAN-438"/>
    <s v="CL Italy launch process"/>
    <s v="New Feature"/>
    <x v="0"/>
    <d v="2015-09-14T16:51:00"/>
    <x v="4"/>
    <x v="0"/>
    <x v="9"/>
    <n v="4"/>
    <m/>
    <n v="134.29999999999998"/>
    <n v="23.700000000000003"/>
  </r>
  <r>
    <s v="Backend - Scan"/>
    <x v="2"/>
    <s v="New Feature"/>
    <s v="SCAN-438"/>
    <s v="CL Italy launch process"/>
    <s v="New Feature"/>
    <x v="0"/>
    <d v="2015-09-17T16:50:00"/>
    <x v="4"/>
    <x v="0"/>
    <x v="9"/>
    <n v="8"/>
    <m/>
    <n v="134.29999999999998"/>
    <n v="23.700000000000003"/>
  </r>
  <r>
    <s v="Backend - Scan"/>
    <x v="2"/>
    <s v="New Feature"/>
    <s v="SCAN-438"/>
    <s v="CL Italy launch process"/>
    <s v="New Feature"/>
    <x v="0"/>
    <d v="2015-09-18T16:52:00"/>
    <x v="4"/>
    <x v="0"/>
    <x v="9"/>
    <n v="4"/>
    <m/>
    <n v="134.29999999999998"/>
    <n v="23.700000000000003"/>
  </r>
  <r>
    <s v="Backend - Scan"/>
    <x v="2"/>
    <s v="New Feature"/>
    <s v="SCAN-438"/>
    <s v="CL Italy launch process"/>
    <s v="New Feature"/>
    <x v="0"/>
    <d v="2015-09-21T19:17:00"/>
    <x v="4"/>
    <x v="0"/>
    <x v="9"/>
    <n v="3"/>
    <m/>
    <n v="134.29999999999998"/>
    <n v="23.700000000000003"/>
  </r>
  <r>
    <s v="Backend - Scan"/>
    <x v="1"/>
    <s v="Technical task"/>
    <s v="SCAN-451"/>
    <s v="SCAN-438&gt; all items received, only items in last po will change status to shipped"/>
    <s v="Technical task"/>
    <x v="0"/>
    <d v="2015-09-15T15:31:00"/>
    <x v="4"/>
    <x v="0"/>
    <x v="8"/>
    <n v="1"/>
    <m/>
    <n v="134.29999999999998"/>
    <n v="23.700000000000003"/>
  </r>
  <r>
    <s v="Backend - Scan"/>
    <x v="1"/>
    <s v="Technical task"/>
    <s v="SCAN-455"/>
    <s v="SCAN-438&gt; Export functions of italy"/>
    <s v="Technical task"/>
    <x v="0"/>
    <d v="2015-09-21T17:20:00"/>
    <x v="4"/>
    <x v="0"/>
    <x v="8"/>
    <n v="2"/>
    <m/>
    <n v="134.29999999999998"/>
    <n v="23.700000000000003"/>
  </r>
  <r>
    <s v="Backend - Scan"/>
    <x v="1"/>
    <s v="Technical task"/>
    <s v="SCAN-456"/>
    <s v="SCAN-438&gt; CONFIRM button doesn't work"/>
    <s v="Technical task"/>
    <x v="0"/>
    <d v="2015-09-15T15:32:00"/>
    <x v="4"/>
    <x v="0"/>
    <x v="8"/>
    <n v="1"/>
    <m/>
    <n v="134.29999999999998"/>
    <n v="23.700000000000003"/>
  </r>
  <r>
    <s v="Backend - Scan"/>
    <x v="1"/>
    <s v="Technical task"/>
    <s v="SCAN-461"/>
    <s v="SCAN-438&gt; if the status of order is going to SHIP, calljason aborted in JIT PREVIEW Page"/>
    <s v="Technical task"/>
    <x v="0"/>
    <d v="2015-09-15T15:31:00"/>
    <x v="4"/>
    <x v="0"/>
    <x v="8"/>
    <n v="1"/>
    <m/>
    <n v="134.29999999999998"/>
    <n v="23.700000000000003"/>
  </r>
  <r>
    <s v="Backend - Scan"/>
    <x v="2"/>
    <s v="Bug"/>
    <s v="SCAN-464"/>
    <s v="Item on-hold automatically due to price difference"/>
    <s v="Bug"/>
    <x v="1"/>
    <d v="2015-09-16T22:12:00"/>
    <x v="4"/>
    <x v="0"/>
    <x v="9"/>
    <n v="2"/>
    <m/>
    <n v="134.29999999999998"/>
    <n v="23.700000000000003"/>
  </r>
  <r>
    <s v="Backend - Scan"/>
    <x v="2"/>
    <s v="Technical task"/>
    <s v="SCAN-465"/>
    <s v="SCAN-438&gt; Export all scanned items for whpo"/>
    <s v="Technical task"/>
    <x v="0"/>
    <d v="2015-09-14T18:50:00"/>
    <x v="4"/>
    <x v="0"/>
    <x v="9"/>
    <n v="1"/>
    <m/>
    <n v="134.29999999999998"/>
    <n v="23.700000000000003"/>
  </r>
  <r>
    <s v="Backend - Scan"/>
    <x v="2"/>
    <s v="Technical task"/>
    <s v="SCAN-465"/>
    <s v="SCAN-438&gt; Export all scanned items for whpo"/>
    <s v="Technical task"/>
    <x v="0"/>
    <d v="2015-09-15T18:50:00"/>
    <x v="4"/>
    <x v="0"/>
    <x v="9"/>
    <n v="2"/>
    <m/>
    <n v="134.29999999999998"/>
    <n v="23.700000000000003"/>
  </r>
  <r>
    <s v="Backend - Scan"/>
    <x v="1"/>
    <s v="Technical task"/>
    <s v="SCAN-465"/>
    <s v="SCAN-438&gt; Export all scanned items for whpo"/>
    <s v="Technical task"/>
    <x v="0"/>
    <d v="2015-09-21T18:35:00"/>
    <x v="4"/>
    <x v="0"/>
    <x v="8"/>
    <n v="2"/>
    <m/>
    <n v="134.29999999999998"/>
    <n v="23.700000000000003"/>
  </r>
  <r>
    <s v="Backend - Scan"/>
    <x v="1"/>
    <s v="Technical task"/>
    <s v="SCAN-465"/>
    <s v="SCAN-438&gt; Export all scanned items for whpo"/>
    <s v="Technical task"/>
    <x v="0"/>
    <d v="2015-09-24T16:38:00"/>
    <x v="4"/>
    <x v="0"/>
    <x v="8"/>
    <n v="2"/>
    <m/>
    <n v="134.29999999999998"/>
    <n v="23.700000000000003"/>
  </r>
  <r>
    <s v="Backend - Scan"/>
    <x v="1"/>
    <s v="Sub-task"/>
    <s v="SCAN-467"/>
    <s v="SCAN-438&gt; Do not identify item slip printer's name"/>
    <s v="Sub-task"/>
    <x v="0"/>
    <d v="2015-09-10T18:58:00"/>
    <x v="4"/>
    <x v="0"/>
    <x v="8"/>
    <n v="0.5"/>
    <m/>
    <n v="134.29999999999998"/>
    <n v="23.700000000000003"/>
  </r>
  <r>
    <s v="Backend - Scan"/>
    <x v="1"/>
    <s v="Technical task"/>
    <s v="SCAN-469"/>
    <s v="SCAN-438&gt; Glasses stock out style misalign"/>
    <s v="Technical task"/>
    <x v="0"/>
    <d v="2015-09-10T18:59:00"/>
    <x v="4"/>
    <x v="0"/>
    <x v="8"/>
    <n v="0.5"/>
    <m/>
    <n v="134.29999999999998"/>
    <n v="23.700000000000003"/>
  </r>
  <r>
    <s v="Backend - Scan"/>
    <x v="1"/>
    <s v="Sub-task"/>
    <s v="SCAN-472"/>
    <s v="SCAN-438&gt; Do not transfer Switzerland orders to HK"/>
    <s v="Sub-task"/>
    <x v="0"/>
    <d v="2015-09-15T17:46:00"/>
    <x v="4"/>
    <x v="0"/>
    <x v="8"/>
    <n v="2"/>
    <m/>
    <n v="134.29999999999998"/>
    <n v="23.700000000000003"/>
  </r>
  <r>
    <s v="Backend - Scan"/>
    <x v="2"/>
    <s v="Sub-task"/>
    <s v="SCAN-472"/>
    <s v="SCAN-438&gt; Do not transfer Switzerland orders to HK"/>
    <s v="Sub-task"/>
    <x v="0"/>
    <d v="2015-09-15T18:51:00"/>
    <x v="4"/>
    <x v="0"/>
    <x v="9"/>
    <n v="1"/>
    <m/>
    <n v="134.29999999999998"/>
    <n v="23.700000000000003"/>
  </r>
  <r>
    <s v="Backend - Scan"/>
    <x v="1"/>
    <s v="Sub-task"/>
    <s v="SCAN-472"/>
    <s v="SCAN-438&gt; Do not transfer Switzerland orders to HK"/>
    <s v="Sub-task"/>
    <x v="0"/>
    <d v="2015-09-21T18:36:00"/>
    <x v="4"/>
    <x v="0"/>
    <x v="8"/>
    <n v="1"/>
    <m/>
    <n v="134.29999999999998"/>
    <n v="23.700000000000003"/>
  </r>
  <r>
    <s v="Backend - Scan"/>
    <x v="1"/>
    <s v="Sub-task"/>
    <s v="SCAN-472"/>
    <s v="SCAN-438&gt; Do not transfer Switzerland orders to HK"/>
    <s v="Sub-task"/>
    <x v="0"/>
    <d v="2015-09-22T16:48:00"/>
    <x v="4"/>
    <x v="0"/>
    <x v="8"/>
    <n v="4"/>
    <m/>
    <n v="134.29999999999998"/>
    <n v="23.700000000000003"/>
  </r>
  <r>
    <s v="Backend - Scan"/>
    <x v="2"/>
    <s v="Technical task"/>
    <s v="SCAN-474"/>
    <s v="SCAN-438&gt; remove quotation marks"/>
    <s v="Technical task"/>
    <x v="0"/>
    <d v="2015-09-14T18:50:00"/>
    <x v="4"/>
    <x v="0"/>
    <x v="9"/>
    <n v="2"/>
    <m/>
    <n v="134.29999999999998"/>
    <n v="23.700000000000003"/>
  </r>
  <r>
    <s v="Backend - Scan"/>
    <x v="1"/>
    <s v="Technical task"/>
    <s v="SCAN-474"/>
    <s v="SCAN-438&gt; remove quotation marks"/>
    <s v="Technical task"/>
    <x v="0"/>
    <d v="2015-09-15T17:38:00"/>
    <x v="4"/>
    <x v="0"/>
    <x v="8"/>
    <n v="2"/>
    <m/>
    <n v="134.29999999999998"/>
    <n v="23.700000000000003"/>
  </r>
  <r>
    <s v="Backend - Scan"/>
    <x v="2"/>
    <s v="Technical task"/>
    <s v="SCAN-476"/>
    <s v="SCAN-438&gt; Web inventory and Physical inventory sync issue"/>
    <s v="Technical task"/>
    <x v="0"/>
    <d v="2015-09-16T22:09:00"/>
    <x v="4"/>
    <x v="0"/>
    <x v="9"/>
    <n v="1"/>
    <m/>
    <n v="134.29999999999998"/>
    <n v="23.700000000000003"/>
  </r>
  <r>
    <s v="Backend - Scan"/>
    <x v="1"/>
    <s v="Technical task"/>
    <s v="SCAN-476"/>
    <s v="SCAN-438&gt; Web inventory and Physical inventory sync issue"/>
    <s v="Technical task"/>
    <x v="0"/>
    <d v="2015-09-17T15:54:00"/>
    <x v="4"/>
    <x v="0"/>
    <x v="8"/>
    <n v="2"/>
    <m/>
    <n v="134.29999999999998"/>
    <n v="23.700000000000003"/>
  </r>
  <r>
    <s v="Backend - Scan"/>
    <x v="2"/>
    <s v="Technical task"/>
    <s v="SCAN-477"/>
    <s v="SCAN-438&gt; cl release cronjob doesn't work"/>
    <s v="Technical task"/>
    <x v="0"/>
    <d v="2015-09-18T18:09:00"/>
    <x v="4"/>
    <x v="0"/>
    <x v="9"/>
    <n v="3"/>
    <m/>
    <n v="134.29999999999998"/>
    <n v="23.700000000000003"/>
  </r>
  <r>
    <s v="Backend - Scan"/>
    <x v="2"/>
    <s v="Technical task"/>
    <s v="SCAN-477"/>
    <s v="SCAN-438&gt; cl release cronjob doesn't work"/>
    <s v="Technical task"/>
    <x v="0"/>
    <d v="2015-09-21T18:09:00"/>
    <x v="4"/>
    <x v="0"/>
    <x v="9"/>
    <n v="5"/>
    <m/>
    <n v="134.29999999999998"/>
    <n v="23.700000000000003"/>
  </r>
  <r>
    <s v="Backend - Scan"/>
    <x v="1"/>
    <s v="Technical task"/>
    <s v="SCAN-477"/>
    <s v="SCAN-438&gt; cl release cronjob doesn't work"/>
    <s v="Technical task"/>
    <x v="0"/>
    <d v="2015-09-21T18:36:00"/>
    <x v="4"/>
    <x v="0"/>
    <x v="8"/>
    <n v="2"/>
    <m/>
    <n v="134.29999999999998"/>
    <n v="23.700000000000003"/>
  </r>
  <r>
    <s v="Backend - Scan"/>
    <x v="1"/>
    <s v="Technical task"/>
    <s v="SCAN-477"/>
    <s v="SCAN-438&gt; cl release cronjob doesn't work"/>
    <s v="Technical task"/>
    <x v="0"/>
    <d v="2015-09-22T18:31:00"/>
    <x v="4"/>
    <x v="0"/>
    <x v="8"/>
    <n v="1"/>
    <m/>
    <n v="134.29999999999998"/>
    <n v="23.700000000000003"/>
  </r>
  <r>
    <s v="Backend - Scan"/>
    <x v="1"/>
    <s v="Technical task"/>
    <s v="SCAN-477"/>
    <s v="SCAN-438&gt; cl release cronjob doesn't work"/>
    <s v="Technical task"/>
    <x v="0"/>
    <d v="2015-09-23T18:59:00"/>
    <x v="4"/>
    <x v="0"/>
    <x v="8"/>
    <n v="3"/>
    <m/>
    <n v="134.29999999999998"/>
    <n v="23.700000000000003"/>
  </r>
  <r>
    <s v="Backend - Scan"/>
    <x v="2"/>
    <s v="Technical task"/>
    <s v="SCAN-477"/>
    <s v="SCAN-438&gt; cl release cronjob doesn't work"/>
    <s v="Technical task"/>
    <x v="0"/>
    <d v="2015-09-23T20:51:00"/>
    <x v="4"/>
    <x v="0"/>
    <x v="9"/>
    <n v="2"/>
    <m/>
    <n v="134.29999999999998"/>
    <n v="23.700000000000003"/>
  </r>
  <r>
    <s v="Backend - Scan"/>
    <x v="1"/>
    <s v="Technical task"/>
    <s v="SCAN-477"/>
    <s v="SCAN-438&gt; cl release cronjob doesn't work"/>
    <s v="Technical task"/>
    <x v="0"/>
    <d v="2015-09-24T16:36:00"/>
    <x v="4"/>
    <x v="0"/>
    <x v="8"/>
    <n v="3"/>
    <m/>
    <n v="134.29999999999998"/>
    <n v="23.700000000000003"/>
  </r>
  <r>
    <s v="Backend - Scan"/>
    <x v="2"/>
    <s v="Improvement"/>
    <s v="SCAN-479"/>
    <s v="Add TRFHK rule on WHIT Contact Lens Scan"/>
    <s v="Improvement"/>
    <x v="0"/>
    <d v="2015-09-23T20:38:00"/>
    <x v="4"/>
    <x v="0"/>
    <x v="9"/>
    <n v="3"/>
    <m/>
    <n v="134.29999999999998"/>
    <n v="23.700000000000003"/>
  </r>
  <r>
    <s v="Backend - Scan"/>
    <x v="2"/>
    <s v="Improvement"/>
    <s v="SCAN-479"/>
    <s v="Add TRFHK rule on WHIT Contact Lens Scan"/>
    <s v="Improvement"/>
    <x v="0"/>
    <d v="2015-09-24T18:37:00"/>
    <x v="4"/>
    <x v="0"/>
    <x v="9"/>
    <n v="8"/>
    <m/>
    <n v="134.29999999999998"/>
    <n v="23.700000000000003"/>
  </r>
  <r>
    <s v="Backend - Scan"/>
    <x v="2"/>
    <s v="Improvement"/>
    <s v="SCAN-479"/>
    <s v="Add TRFHK rule on WHIT Contact Lens Scan"/>
    <s v="Improvement"/>
    <x v="0"/>
    <d v="2015-09-28T16:51:00"/>
    <x v="4"/>
    <x v="0"/>
    <x v="9"/>
    <n v="2"/>
    <m/>
    <n v="134.29999999999998"/>
    <n v="23.700000000000003"/>
  </r>
  <r>
    <s v="Backend - Scan"/>
    <x v="1"/>
    <s v="Improvement"/>
    <s v="SCAN-479"/>
    <s v="Add TRFHK rule on WHIT Contact Lens Scan"/>
    <s v="Improvement"/>
    <x v="0"/>
    <d v="2015-09-28T18:30:00"/>
    <x v="4"/>
    <x v="0"/>
    <x v="8"/>
    <n v="3"/>
    <m/>
    <n v="134.29999999999998"/>
    <n v="23.700000000000003"/>
  </r>
  <r>
    <s v="Backend - Scan"/>
    <x v="1"/>
    <s v="Improvement"/>
    <s v="SCAN-479"/>
    <s v="Add TRFHK rule on WHIT Contact Lens Scan"/>
    <s v="Improvement"/>
    <x v="0"/>
    <d v="2015-09-29T19:17:00"/>
    <x v="4"/>
    <x v="0"/>
    <x v="8"/>
    <n v="5"/>
    <m/>
    <n v="134.29999999999998"/>
    <n v="23.700000000000003"/>
  </r>
  <r>
    <s v="Backend - Scan"/>
    <x v="2"/>
    <s v="Improvement"/>
    <s v="SCAN-479"/>
    <s v="Add TRFHK rule on WHIT Contact Lens Scan"/>
    <s v="Improvement"/>
    <x v="0"/>
    <d v="2015-09-29T20:46:00"/>
    <x v="4"/>
    <x v="0"/>
    <x v="9"/>
    <n v="2"/>
    <m/>
    <n v="134.29999999999998"/>
    <n v="23.700000000000003"/>
  </r>
  <r>
    <s v="Backend - Scan"/>
    <x v="2"/>
    <s v="Improvement"/>
    <s v="SCAN-479"/>
    <s v="Add TRFHK rule on WHIT Contact Lens Scan"/>
    <s v="Improvement"/>
    <x v="0"/>
    <d v="2015-09-30T20:43:00"/>
    <x v="4"/>
    <x v="0"/>
    <x v="9"/>
    <n v="3"/>
    <m/>
    <n v="134.29999999999998"/>
    <n v="23.700000000000003"/>
  </r>
  <r>
    <s v="Backend - Scan"/>
    <x v="2"/>
    <s v="Bug"/>
    <s v="SCAN-506"/>
    <s v="Record operator in db"/>
    <s v="Bug"/>
    <x v="1"/>
    <d v="2015-08-13T18:16:00"/>
    <x v="3"/>
    <x v="0"/>
    <x v="9"/>
    <n v="4"/>
    <m/>
    <n v="147.9"/>
    <n v="26.100000000000005"/>
  </r>
  <r>
    <s v="Backend - Scan"/>
    <x v="1"/>
    <s v="Bug"/>
    <s v="SCAN-506"/>
    <s v="Record operator in db"/>
    <s v="Bug"/>
    <x v="1"/>
    <d v="2015-08-26T19:36:00"/>
    <x v="3"/>
    <x v="0"/>
    <x v="8"/>
    <n v="1"/>
    <m/>
    <n v="147.9"/>
    <n v="26.100000000000005"/>
  </r>
  <r>
    <s v="Backend - Scan"/>
    <x v="1"/>
    <s v="Bug"/>
    <s v="SCAN-506"/>
    <s v="Record operator in db"/>
    <s v="Bug"/>
    <x v="1"/>
    <d v="2015-08-27T17:22:00"/>
    <x v="3"/>
    <x v="0"/>
    <x v="8"/>
    <n v="1"/>
    <m/>
    <n v="147.9"/>
    <n v="26.100000000000005"/>
  </r>
  <r>
    <s v="Backend - Scan"/>
    <x v="2"/>
    <s v="Bug"/>
    <s v="SCAN-527"/>
    <s v="Cancel items can still be processed in scan"/>
    <s v="Bug"/>
    <x v="1"/>
    <d v="2015-08-18T19:06:00"/>
    <x v="3"/>
    <x v="0"/>
    <x v="9"/>
    <n v="1"/>
    <m/>
    <n v="147.9"/>
    <n v="26.100000000000005"/>
  </r>
  <r>
    <s v="Backend - Scan"/>
    <x v="2"/>
    <s v="Bug"/>
    <s v="SCAN-527"/>
    <s v="Cancel items can still be processed in scan"/>
    <s v="Bug"/>
    <x v="1"/>
    <d v="2015-08-21T18:33:00"/>
    <x v="3"/>
    <x v="0"/>
    <x v="9"/>
    <n v="2"/>
    <m/>
    <n v="147.9"/>
    <n v="26.100000000000005"/>
  </r>
  <r>
    <s v="Backend - Scan"/>
    <x v="1"/>
    <s v="Bug"/>
    <s v="SCAN-541"/>
    <s v="Stock Out doesn't work"/>
    <s v="Bug"/>
    <x v="1"/>
    <d v="2015-08-14T17:28:00"/>
    <x v="3"/>
    <x v="0"/>
    <x v="8"/>
    <n v="5"/>
    <m/>
    <n v="147.9"/>
    <n v="26.100000000000005"/>
  </r>
  <r>
    <s v="Backend - Scan"/>
    <x v="2"/>
    <s v="Bug"/>
    <s v="SCAN-541"/>
    <s v="Stock Out doesn't work"/>
    <s v="Bug"/>
    <x v="1"/>
    <d v="2015-08-17T19:09:00"/>
    <x v="3"/>
    <x v="0"/>
    <x v="9"/>
    <n v="1"/>
    <m/>
    <n v="147.9"/>
    <n v="26.100000000000005"/>
  </r>
  <r>
    <s v="Backend - Scan"/>
    <x v="1"/>
    <s v="Bug"/>
    <s v="SCAN-541"/>
    <s v="Stock Out doesn't work"/>
    <s v="Bug"/>
    <x v="1"/>
    <d v="2015-08-18T15:49:00"/>
    <x v="3"/>
    <x v="0"/>
    <x v="8"/>
    <n v="1"/>
    <m/>
    <n v="147.9"/>
    <n v="26.100000000000005"/>
  </r>
  <r>
    <s v="Backend - Scan"/>
    <x v="2"/>
    <s v="Bug"/>
    <s v="SCAN-553"/>
    <s v="Rx slip not showing correct lens type"/>
    <s v="Bug"/>
    <x v="1"/>
    <d v="2015-08-07T19:35:00"/>
    <x v="3"/>
    <x v="0"/>
    <x v="9"/>
    <n v="1"/>
    <m/>
    <n v="147.9"/>
    <n v="26.100000000000005"/>
  </r>
  <r>
    <s v="Backend - Scan"/>
    <x v="1"/>
    <s v="Bug"/>
    <s v="SCAN-553"/>
    <s v="Rx slip not showing correct lens type"/>
    <s v="Bug"/>
    <x v="1"/>
    <d v="2015-08-11T18:52:00"/>
    <x v="3"/>
    <x v="0"/>
    <x v="8"/>
    <n v="6"/>
    <m/>
    <n v="147.9"/>
    <n v="26.100000000000005"/>
  </r>
  <r>
    <s v="Backend - Scan"/>
    <x v="2"/>
    <s v="Bug"/>
    <s v="SCAN-555"/>
    <s v="In Item slips, do not group items by empty upc."/>
    <s v="Bug"/>
    <x v="1"/>
    <d v="2015-08-21T11:43:00"/>
    <x v="3"/>
    <x v="0"/>
    <x v="12"/>
    <n v="2"/>
    <m/>
    <n v="147.9"/>
    <n v="26.100000000000005"/>
  </r>
  <r>
    <s v="Backend - Scan"/>
    <x v="2"/>
    <s v="Bug"/>
    <s v="SCAN-555"/>
    <s v="In Item slips, do not group items by empty upc."/>
    <s v="Bug"/>
    <x v="1"/>
    <d v="2015-08-21T11:58:00"/>
    <x v="3"/>
    <x v="0"/>
    <x v="16"/>
    <n v="2"/>
    <s v="scan2012/trunk/application/default/models/ContactPickingModel.php scan2012/trunk/application/default/views/scripts/picking/printContactItemSlipApi.phtml"/>
    <n v="147.9"/>
    <n v="26.100000000000005"/>
  </r>
  <r>
    <s v="Backend - Scan"/>
    <x v="2"/>
    <s v="Bug"/>
    <s v="SCAN-555"/>
    <s v="In Item slips, do not group items by empty upc."/>
    <s v="Bug"/>
    <x v="1"/>
    <d v="2015-08-21T18:25:00"/>
    <x v="3"/>
    <x v="0"/>
    <x v="9"/>
    <n v="3"/>
    <m/>
    <n v="147.9"/>
    <n v="26.100000000000005"/>
  </r>
  <r>
    <s v="Backend - Scan"/>
    <x v="1"/>
    <s v="Bug"/>
    <s v="SCAN-555"/>
    <s v="In Item slips, do not group items by empty upc."/>
    <s v="Bug"/>
    <x v="1"/>
    <d v="2015-08-24T19:54:00"/>
    <x v="3"/>
    <x v="0"/>
    <x v="8"/>
    <n v="3"/>
    <m/>
    <n v="147.9"/>
    <n v="26.100000000000005"/>
  </r>
  <r>
    <s v="Backend - Scan"/>
    <x v="1"/>
    <s v="Bug"/>
    <s v="SCAN-555"/>
    <s v="In Item slips, do not group items by empty upc."/>
    <s v="Bug"/>
    <x v="1"/>
    <d v="2015-08-25T17:15:00"/>
    <x v="3"/>
    <x v="0"/>
    <x v="8"/>
    <n v="1"/>
    <m/>
    <n v="147.9"/>
    <n v="26.100000000000005"/>
  </r>
  <r>
    <s v="Backend - Scan"/>
    <x v="2"/>
    <s v="Bug"/>
    <s v="SCAN-556"/>
    <s v="Remove WHPO Eyewear"/>
    <s v="Bug"/>
    <x v="1"/>
    <d v="2015-09-24T17:34:00"/>
    <x v="4"/>
    <x v="0"/>
    <x v="16"/>
    <n v="4"/>
    <m/>
    <n v="134.29999999999998"/>
    <n v="23.700000000000003"/>
  </r>
  <r>
    <s v="Backend - Scan"/>
    <x v="1"/>
    <s v="Task"/>
    <s v="SCAN-563"/>
    <s v="Handle canceled items in scan system"/>
    <s v="Task"/>
    <x v="0"/>
    <d v="2015-08-18T18:32:00"/>
    <x v="3"/>
    <x v="0"/>
    <x v="8"/>
    <n v="1"/>
    <m/>
    <n v="147.9"/>
    <n v="26.100000000000005"/>
  </r>
  <r>
    <s v="Backend - Scan"/>
    <x v="1"/>
    <s v="Task"/>
    <s v="SCAN-563"/>
    <s v="Handle canceled items in scan system"/>
    <s v="Task"/>
    <x v="0"/>
    <d v="2015-08-19T18:47:00"/>
    <x v="3"/>
    <x v="0"/>
    <x v="8"/>
    <n v="2"/>
    <m/>
    <n v="147.9"/>
    <n v="26.100000000000005"/>
  </r>
  <r>
    <s v="Backend - Scan"/>
    <x v="2"/>
    <s v="Improvement"/>
    <s v="SCAN-574"/>
    <s v="New shipping rules for US shipments"/>
    <s v="Improvement"/>
    <x v="0"/>
    <d v="2015-08-10T19:14:00"/>
    <x v="3"/>
    <x v="0"/>
    <x v="9"/>
    <n v="1"/>
    <m/>
    <n v="147.9"/>
    <n v="26.100000000000005"/>
  </r>
  <r>
    <s v="Backend - Scan"/>
    <x v="2"/>
    <s v="Improvement"/>
    <s v="SCAN-574"/>
    <s v="New shipping rules for US shipments"/>
    <s v="Improvement"/>
    <x v="0"/>
    <d v="2015-08-11T18:58:00"/>
    <x v="3"/>
    <x v="0"/>
    <x v="9"/>
    <n v="4"/>
    <m/>
    <n v="147.9"/>
    <n v="26.100000000000005"/>
  </r>
  <r>
    <s v="Backend - Scan"/>
    <x v="2"/>
    <s v="Improvement"/>
    <s v="SCAN-574"/>
    <s v="New shipping rules for US shipments"/>
    <s v="Improvement"/>
    <x v="0"/>
    <d v="2015-08-12T18:43:00"/>
    <x v="3"/>
    <x v="0"/>
    <x v="9"/>
    <n v="1"/>
    <m/>
    <n v="147.9"/>
    <n v="26.100000000000005"/>
  </r>
  <r>
    <s v="Backend - Scan"/>
    <x v="2"/>
    <s v="Improvement"/>
    <s v="SCAN-574"/>
    <s v="New shipping rules for US shipments"/>
    <s v="Improvement"/>
    <x v="0"/>
    <d v="2015-08-13T18:16:00"/>
    <x v="3"/>
    <x v="0"/>
    <x v="9"/>
    <n v="4"/>
    <m/>
    <n v="147.9"/>
    <n v="26.100000000000005"/>
  </r>
  <r>
    <s v="Backend - Scan"/>
    <x v="1"/>
    <s v="Improvement"/>
    <s v="SCAN-574"/>
    <s v="New shipping rules for US shipments"/>
    <s v="Improvement"/>
    <x v="0"/>
    <d v="2015-08-17T18:30:00"/>
    <x v="3"/>
    <x v="0"/>
    <x v="8"/>
    <n v="8"/>
    <m/>
    <n v="147.9"/>
    <n v="26.100000000000005"/>
  </r>
  <r>
    <s v="Backend - Scan"/>
    <x v="2"/>
    <s v="Improvement"/>
    <s v="SCAN-574"/>
    <s v="New shipping rules for US shipments"/>
    <s v="Improvement"/>
    <x v="0"/>
    <d v="2015-08-17T19:09:00"/>
    <x v="3"/>
    <x v="0"/>
    <x v="9"/>
    <n v="2"/>
    <m/>
    <n v="147.9"/>
    <n v="26.100000000000005"/>
  </r>
  <r>
    <s v="Backend - Scan"/>
    <x v="1"/>
    <s v="Improvement"/>
    <s v="SCAN-574"/>
    <s v="New shipping rules for US shipments"/>
    <s v="Improvement"/>
    <x v="0"/>
    <d v="2015-08-18T18:33:00"/>
    <x v="3"/>
    <x v="0"/>
    <x v="8"/>
    <n v="3.5"/>
    <m/>
    <n v="147.9"/>
    <n v="26.100000000000005"/>
  </r>
  <r>
    <s v="Backend - Scan"/>
    <x v="2"/>
    <s v="Improvement"/>
    <s v="SCAN-574"/>
    <s v="New shipping rules for US shipments"/>
    <s v="Improvement"/>
    <x v="0"/>
    <d v="2015-08-18T19:08:00"/>
    <x v="3"/>
    <x v="0"/>
    <x v="9"/>
    <n v="3"/>
    <s v="test"/>
    <n v="147.9"/>
    <n v="26.100000000000005"/>
  </r>
  <r>
    <s v="Backend - Scan"/>
    <x v="2"/>
    <s v="Task"/>
    <s v="SCAN-576"/>
    <s v="Missing shipment numbers from Italy scan david file"/>
    <s v="Task"/>
    <x v="0"/>
    <d v="2015-09-30T18:03:00"/>
    <x v="4"/>
    <x v="0"/>
    <x v="9"/>
    <n v="5"/>
    <m/>
    <n v="134.29999999999998"/>
    <n v="23.700000000000003"/>
  </r>
  <r>
    <s v="Backend - Scan"/>
    <x v="1"/>
    <s v="Technical task"/>
    <s v="SCAN-603"/>
    <s v="SCAN-590&gt; Test case design and execution"/>
    <s v="Technical task"/>
    <x v="0"/>
    <d v="2015-09-29T08:15:00"/>
    <x v="4"/>
    <x v="0"/>
    <x v="26"/>
    <n v="8"/>
    <m/>
    <n v="134.29999999999998"/>
    <n v="23.700000000000003"/>
  </r>
  <r>
    <s v="Operation Team Task"/>
    <x v="2"/>
    <s v="Develop"/>
    <s v="TASK-47"/>
    <s v="contact lens product data issue"/>
    <s v="Develop"/>
    <x v="0"/>
    <d v="2015-09-07T18:55:00"/>
    <x v="4"/>
    <x v="0"/>
    <x v="9"/>
    <n v="9"/>
    <m/>
    <n v="134.29999999999998"/>
    <n v="23.700000000000003"/>
  </r>
  <r>
    <s v="Operation Team Task"/>
    <x v="2"/>
    <s v="Develop"/>
    <s v="TASK-47"/>
    <s v="contact lens product data issue"/>
    <s v="Develop"/>
    <x v="0"/>
    <d v="2015-09-15T18:52:00"/>
    <x v="4"/>
    <x v="0"/>
    <x v="9"/>
    <n v="3"/>
    <m/>
    <n v="134.29999999999998"/>
    <n v="23.700000000000003"/>
  </r>
  <r>
    <s v="Operation Team Task"/>
    <x v="1"/>
    <s v="Develop"/>
    <s v="TASK-53"/>
    <s v="CN domain switch to AWS testing"/>
    <s v="Develop"/>
    <x v="0"/>
    <d v="2015-09-24T18:39:00"/>
    <x v="4"/>
    <x v="0"/>
    <x v="8"/>
    <n v="2"/>
    <m/>
    <n v="134.29999999999998"/>
    <n v="23.700000000000003"/>
  </r>
  <r>
    <s v="Operation Team Task"/>
    <x v="1"/>
    <s v="Develop"/>
    <s v="TASK-53"/>
    <s v="CN domain switch to AWS testing"/>
    <s v="Develop"/>
    <x v="0"/>
    <d v="2015-09-25T18:30:00"/>
    <x v="4"/>
    <x v="0"/>
    <x v="8"/>
    <n v="4.5"/>
    <m/>
    <n v="134.29999999999998"/>
    <n v="23.700000000000003"/>
  </r>
  <r>
    <s v="Operation Team Task"/>
    <x v="1"/>
    <s v="Develop"/>
    <s v="TASK-53"/>
    <s v="CN domain switch to AWS testing"/>
    <s v="Develop"/>
    <x v="0"/>
    <d v="2015-09-28T18:49:00"/>
    <x v="4"/>
    <x v="0"/>
    <x v="8"/>
    <n v="4"/>
    <m/>
    <n v="134.29999999999998"/>
    <n v="23.700000000000003"/>
  </r>
  <r>
    <s v="Operation Team Task"/>
    <x v="1"/>
    <s v="Develop"/>
    <s v="TASK-53"/>
    <s v="CN domain switch to AWS testing"/>
    <s v="Develop"/>
    <x v="0"/>
    <d v="2015-09-29T19:18:00"/>
    <x v="4"/>
    <x v="0"/>
    <x v="8"/>
    <n v="2"/>
    <m/>
    <n v="134.29999999999998"/>
    <n v="23.700000000000003"/>
  </r>
  <r>
    <s v="Operation Team Task"/>
    <x v="3"/>
    <s v="Maintenance"/>
    <s v="TASK-68"/>
    <s v="开放php模块，以便sitemap输出正确的xml格式"/>
    <s v="Maintenance"/>
    <x v="1"/>
    <d v="2015-08-06T15:50:00"/>
    <x v="3"/>
    <x v="0"/>
    <x v="17"/>
    <n v="8"/>
    <m/>
    <n v="87"/>
    <n v="87"/>
  </r>
  <r>
    <s v="Operation Team Task"/>
    <x v="3"/>
    <s v="Maintenance"/>
    <s v="TASK-95"/>
    <s v="zabbix"/>
    <s v="Maintenance"/>
    <x v="1"/>
    <d v="2015-08-10T15:50:00"/>
    <x v="3"/>
    <x v="0"/>
    <x v="17"/>
    <n v="8"/>
    <m/>
    <n v="87"/>
    <n v="87"/>
  </r>
  <r>
    <s v="Operation Team Task"/>
    <x v="3"/>
    <s v="Maintenance"/>
    <s v="TASK-98"/>
    <s v="test vpn performance"/>
    <s v="Maintenance"/>
    <x v="1"/>
    <d v="2015-08-03T15:47:00"/>
    <x v="3"/>
    <x v="0"/>
    <x v="17"/>
    <n v="8"/>
    <m/>
    <n v="87"/>
    <n v="87"/>
  </r>
  <r>
    <s v="Operation Team Task"/>
    <x v="3"/>
    <s v="Maintenance"/>
    <s v="TASK-112"/>
    <s v="sync new cdn every month"/>
    <s v="Maintenance"/>
    <x v="1"/>
    <d v="2015-08-11T15:50:00"/>
    <x v="3"/>
    <x v="0"/>
    <x v="17"/>
    <n v="8"/>
    <m/>
    <n v="87"/>
    <n v="87"/>
  </r>
  <r>
    <s v="Operation Team Task"/>
    <x v="3"/>
    <s v="Maintenance"/>
    <s v="TASK-114"/>
    <s v="add m.smartbuyglasses.com to the 180.167.17.185"/>
    <s v="Maintenance"/>
    <x v="1"/>
    <d v="2015-08-07T15:49:00"/>
    <x v="3"/>
    <x v="0"/>
    <x v="17"/>
    <n v="8"/>
    <m/>
    <n v="87"/>
    <n v="87"/>
  </r>
  <r>
    <s v="Operation Team Task"/>
    <x v="3"/>
    <s v="Maintenance"/>
    <s v="TASK-140"/>
    <s v="list backup plan"/>
    <s v="Maintenance"/>
    <x v="1"/>
    <d v="2015-08-04T15:47:00"/>
    <x v="3"/>
    <x v="0"/>
    <x v="17"/>
    <n v="8"/>
    <m/>
    <n v="87"/>
    <n v="87"/>
  </r>
  <r>
    <s v="Operation Team Task"/>
    <x v="3"/>
    <s v="Maintenance"/>
    <s v="TASK-173"/>
    <s v="FAQ upload"/>
    <s v="Maintenance"/>
    <x v="1"/>
    <d v="2015-08-05T15:48:00"/>
    <x v="3"/>
    <x v="0"/>
    <x v="17"/>
    <n v="8"/>
    <m/>
    <n v="87"/>
    <n v="87"/>
  </r>
  <r>
    <s v="Operation Team Task"/>
    <x v="3"/>
    <s v="Maintenance"/>
    <s v="TASK-268"/>
    <s v="Phase 206 Test"/>
    <s v="Maintenance"/>
    <x v="1"/>
    <d v="2015-08-12T15:55:00"/>
    <x v="3"/>
    <x v="0"/>
    <x v="17"/>
    <n v="8"/>
    <m/>
    <n v="87"/>
    <n v="87"/>
  </r>
  <r>
    <s v="Operation Team Task"/>
    <x v="3"/>
    <s v="Maintenance"/>
    <s v="TASK-268"/>
    <s v="Phase 206 Test"/>
    <s v="Maintenance"/>
    <x v="1"/>
    <d v="2015-08-13T15:56:00"/>
    <x v="3"/>
    <x v="0"/>
    <x v="17"/>
    <n v="8"/>
    <m/>
    <n v="87"/>
    <n v="87"/>
  </r>
  <r>
    <s v="Operation Team Task"/>
    <x v="3"/>
    <s v="Maintenance"/>
    <s v="TASK-268"/>
    <s v="Phase 206 Test"/>
    <s v="Maintenance"/>
    <x v="1"/>
    <d v="2015-08-17T16:56:00"/>
    <x v="3"/>
    <x v="0"/>
    <x v="17"/>
    <n v="8"/>
    <m/>
    <n v="87"/>
    <n v="87"/>
  </r>
  <r>
    <s v="Operation Team Task"/>
    <x v="3"/>
    <s v="Maintenance"/>
    <s v="TASK-302"/>
    <s v="Contact Lens New supplier and Logo"/>
    <s v="Maintenance"/>
    <x v="1"/>
    <d v="2015-09-01T17:22:00"/>
    <x v="4"/>
    <x v="0"/>
    <x v="17"/>
    <n v="4"/>
    <m/>
    <n v="79"/>
    <n v="79"/>
  </r>
  <r>
    <s v="Operation Team Task"/>
    <x v="3"/>
    <s v="Maintenance"/>
    <s v="TASK-302"/>
    <s v="Contact Lens New supplier and Logo"/>
    <s v="Maintenance"/>
    <x v="1"/>
    <d v="2015-09-18T17:11:00"/>
    <x v="4"/>
    <x v="0"/>
    <x v="17"/>
    <n v="8"/>
    <m/>
    <n v="79"/>
    <n v="79"/>
  </r>
  <r>
    <s v="Operation Team Task"/>
    <x v="3"/>
    <s v="Maintenance"/>
    <s v="TASK-302"/>
    <s v="Contact Lens New supplier and Logo"/>
    <s v="Maintenance"/>
    <x v="1"/>
    <d v="2015-09-21T17:12:00"/>
    <x v="4"/>
    <x v="0"/>
    <x v="17"/>
    <n v="8"/>
    <m/>
    <n v="79"/>
    <n v="79"/>
  </r>
  <r>
    <s v="Operation Team Task"/>
    <x v="3"/>
    <s v="Maintenance"/>
    <s v="TASK-302"/>
    <s v="Contact Lens New supplier and Logo"/>
    <s v="Maintenance"/>
    <x v="1"/>
    <d v="2015-09-22T17:12:00"/>
    <x v="4"/>
    <x v="0"/>
    <x v="17"/>
    <n v="8"/>
    <m/>
    <n v="79"/>
    <n v="79"/>
  </r>
  <r>
    <s v="Operation Team Task"/>
    <x v="3"/>
    <s v="Maintenance"/>
    <s v="TASK-302"/>
    <s v="Contact Lens New supplier and Logo"/>
    <s v="Maintenance"/>
    <x v="1"/>
    <d v="2015-09-23T17:12:00"/>
    <x v="4"/>
    <x v="0"/>
    <x v="17"/>
    <n v="8"/>
    <m/>
    <n v="79"/>
    <n v="79"/>
  </r>
  <r>
    <s v="Operation Team Task"/>
    <x v="3"/>
    <s v="Maintenance"/>
    <s v="TASK-302"/>
    <s v="Contact Lens New supplier and Logo"/>
    <s v="Maintenance"/>
    <x v="1"/>
    <d v="2015-09-24T17:13:00"/>
    <x v="4"/>
    <x v="0"/>
    <x v="17"/>
    <n v="8"/>
    <m/>
    <n v="79"/>
    <n v="79"/>
  </r>
  <r>
    <s v="Operation Team Task"/>
    <x v="3"/>
    <s v="Maintenance"/>
    <s v="TASK-302"/>
    <s v="Contact Lens New supplier and Logo"/>
    <s v="Maintenance"/>
    <x v="1"/>
    <d v="2015-09-25T17:13:00"/>
    <x v="4"/>
    <x v="0"/>
    <x v="17"/>
    <n v="8"/>
    <m/>
    <n v="79"/>
    <n v="79"/>
  </r>
  <r>
    <s v="Operation Team Task"/>
    <x v="3"/>
    <s v="Maintenance"/>
    <s v="TASK-302"/>
    <s v="Contact Lens New supplier and Logo"/>
    <s v="Maintenance"/>
    <x v="1"/>
    <d v="2015-09-28T17:13:00"/>
    <x v="4"/>
    <x v="0"/>
    <x v="17"/>
    <n v="8"/>
    <m/>
    <n v="79"/>
    <n v="79"/>
  </r>
  <r>
    <s v="Operation Team Task"/>
    <x v="3"/>
    <s v="Technical task"/>
    <s v="TASK-1541"/>
    <s v="TASK-120&gt; aws project"/>
    <s v="Technical task"/>
    <x v="0"/>
    <d v="2015-09-29T15:51:00"/>
    <x v="4"/>
    <x v="0"/>
    <x v="17"/>
    <n v="8"/>
    <s v="aws CN server migration"/>
    <n v="79"/>
    <n v="79"/>
  </r>
  <r>
    <s v="Operation Team Task"/>
    <x v="3"/>
    <s v="Technical task"/>
    <s v="TASK-1541"/>
    <s v="TASK-120&gt; aws project"/>
    <s v="Technical task"/>
    <x v="0"/>
    <d v="2015-09-30T15:52:00"/>
    <x v="4"/>
    <x v="0"/>
    <x v="17"/>
    <n v="8"/>
    <s v="aws CN server migration finished"/>
    <n v="79"/>
    <n v="79"/>
  </r>
  <r>
    <s v="Operation Team Task"/>
    <x v="3"/>
    <s v="Technical task"/>
    <s v="TASK-1552"/>
    <s v="TASK-120&gt; maintence support"/>
    <s v="Technical task"/>
    <x v="0"/>
    <d v="2015-08-14T16:30:00"/>
    <x v="3"/>
    <x v="0"/>
    <x v="17"/>
    <n v="8"/>
    <m/>
    <n v="87"/>
    <n v="87"/>
  </r>
  <r>
    <s v="Operation Team Task"/>
    <x v="3"/>
    <s v="Technical task"/>
    <s v="TASK-1552"/>
    <s v="TASK-120&gt; maintence support"/>
    <s v="Technical task"/>
    <x v="0"/>
    <d v="2015-08-31T16:35:00"/>
    <x v="3"/>
    <x v="0"/>
    <x v="17"/>
    <n v="8"/>
    <m/>
    <n v="87"/>
    <n v="87"/>
  </r>
  <r>
    <s v="Operation Team Task"/>
    <x v="3"/>
    <s v="Technical task"/>
    <s v="TASK-1553"/>
    <s v="TASK-120&gt; maintenance support"/>
    <s v="Technical task"/>
    <x v="0"/>
    <d v="2015-09-11T17:30:00"/>
    <x v="4"/>
    <x v="0"/>
    <x v="17"/>
    <n v="8"/>
    <m/>
    <n v="79"/>
    <n v="79"/>
  </r>
  <r>
    <s v="Operation Team Task"/>
    <x v="3"/>
    <s v="Technical task"/>
    <s v="TASK-1553"/>
    <s v="TASK-120&gt; maintenance support"/>
    <s v="Technical task"/>
    <x v="0"/>
    <d v="2015-09-14T17:30:00"/>
    <x v="4"/>
    <x v="0"/>
    <x v="17"/>
    <n v="8"/>
    <m/>
    <n v="79"/>
    <n v="79"/>
  </r>
  <r>
    <s v="Operation Team Task"/>
    <x v="3"/>
    <s v="Develop"/>
    <s v="TASK-1570"/>
    <s v="timestamp addition of scan tables"/>
    <s v="Develop"/>
    <x v="0"/>
    <d v="2015-08-02T04:43:00"/>
    <x v="3"/>
    <x v="0"/>
    <x v="17"/>
    <n v="8"/>
    <m/>
    <n v="87"/>
    <n v="87"/>
  </r>
  <r>
    <s v="Operation Team Task"/>
    <x v="3"/>
    <s v="Develop"/>
    <s v="TASK-1570"/>
    <s v="timestamp addition of scan tables"/>
    <s v="Develop"/>
    <x v="0"/>
    <d v="2015-08-03T04:43:00"/>
    <x v="3"/>
    <x v="0"/>
    <x v="17"/>
    <n v="8"/>
    <m/>
    <n v="87"/>
    <n v="87"/>
  </r>
  <r>
    <s v="Operation Team Task"/>
    <x v="3"/>
    <s v="Develop"/>
    <s v="TASK-1570"/>
    <s v="timestamp addition of scan tables"/>
    <s v="Develop"/>
    <x v="0"/>
    <d v="2015-08-18T04:44:00"/>
    <x v="3"/>
    <x v="0"/>
    <x v="17"/>
    <n v="8"/>
    <m/>
    <n v="87"/>
    <n v="87"/>
  </r>
  <r>
    <s v="Operation Team Task"/>
    <x v="3"/>
    <s v="Develop"/>
    <s v="TASK-1570"/>
    <s v="timestamp addition of scan tables"/>
    <s v="Develop"/>
    <x v="0"/>
    <d v="2015-08-19T04:44:00"/>
    <x v="3"/>
    <x v="0"/>
    <x v="17"/>
    <n v="8"/>
    <m/>
    <n v="87"/>
    <n v="87"/>
  </r>
  <r>
    <s v="Operation Team Task"/>
    <x v="3"/>
    <s v="Develop"/>
    <s v="TASK-1570"/>
    <s v="timestamp addition of scan tables"/>
    <s v="Develop"/>
    <x v="0"/>
    <d v="2015-08-20T04:44:00"/>
    <x v="3"/>
    <x v="0"/>
    <x v="17"/>
    <n v="8"/>
    <m/>
    <n v="87"/>
    <n v="87"/>
  </r>
  <r>
    <s v="Operation Team Task"/>
    <x v="3"/>
    <s v="Develop"/>
    <s v="TASK-1570"/>
    <s v="timestamp addition of scan tables"/>
    <s v="Develop"/>
    <x v="0"/>
    <d v="2015-08-21T04:44:00"/>
    <x v="3"/>
    <x v="0"/>
    <x v="17"/>
    <n v="8"/>
    <m/>
    <n v="87"/>
    <n v="87"/>
  </r>
  <r>
    <s v="Operation Team Task"/>
    <x v="3"/>
    <s v="Develop"/>
    <s v="TASK-1570"/>
    <s v="timestamp addition of scan tables"/>
    <s v="Develop"/>
    <x v="0"/>
    <d v="2015-08-24T04:45:00"/>
    <x v="3"/>
    <x v="0"/>
    <x v="17"/>
    <n v="8"/>
    <m/>
    <n v="87"/>
    <n v="87"/>
  </r>
  <r>
    <s v="Operation Team Task"/>
    <x v="3"/>
    <s v="Develop"/>
    <s v="TASK-1570"/>
    <s v="timestamp addition of scan tables"/>
    <s v="Develop"/>
    <x v="0"/>
    <d v="2015-08-25T04:45:00"/>
    <x v="3"/>
    <x v="0"/>
    <x v="17"/>
    <n v="8"/>
    <m/>
    <n v="87"/>
    <n v="87"/>
  </r>
  <r>
    <s v="Operation Team Task"/>
    <x v="3"/>
    <s v="Develop"/>
    <s v="TASK-1570"/>
    <s v="timestamp addition of scan tables"/>
    <s v="Develop"/>
    <x v="0"/>
    <d v="2015-08-26T04:45:00"/>
    <x v="3"/>
    <x v="0"/>
    <x v="17"/>
    <n v="8"/>
    <m/>
    <n v="87"/>
    <n v="87"/>
  </r>
  <r>
    <s v="Operation Team Task"/>
    <x v="3"/>
    <s v="Develop"/>
    <s v="TASK-1570"/>
    <s v="timestamp addition of scan tables"/>
    <s v="Develop"/>
    <x v="0"/>
    <d v="2015-08-27T04:45:00"/>
    <x v="3"/>
    <x v="0"/>
    <x v="17"/>
    <n v="8"/>
    <m/>
    <n v="87"/>
    <n v="87"/>
  </r>
  <r>
    <s v="Operation Team Task"/>
    <x v="3"/>
    <s v="Develop"/>
    <s v="TASK-1570"/>
    <s v="timestamp addition of scan tables"/>
    <s v="Develop"/>
    <x v="0"/>
    <d v="2015-08-28T04:45:00"/>
    <x v="3"/>
    <x v="0"/>
    <x v="17"/>
    <n v="8"/>
    <m/>
    <n v="87"/>
    <n v="87"/>
  </r>
  <r>
    <s v="Operation Team Task"/>
    <x v="1"/>
    <s v="Develop"/>
    <s v="TASK-1574"/>
    <s v="ScanIT switch to london5 test"/>
    <s v="Develop"/>
    <x v="0"/>
    <d v="2015-08-25T18:22:00"/>
    <x v="3"/>
    <x v="0"/>
    <x v="8"/>
    <n v="5"/>
    <m/>
    <n v="147.9"/>
    <n v="26.100000000000005"/>
  </r>
  <r>
    <s v="Operation Team Task"/>
    <x v="3"/>
    <s v="Develop"/>
    <s v="TASK-1574"/>
    <s v="ScanIT switch to london5 test"/>
    <s v="Develop"/>
    <x v="0"/>
    <d v="2015-09-01T17:22:00"/>
    <x v="4"/>
    <x v="0"/>
    <x v="17"/>
    <n v="4"/>
    <m/>
    <n v="79"/>
    <n v="79"/>
  </r>
  <r>
    <s v="Operation Team Task"/>
    <x v="3"/>
    <s v="Develop"/>
    <s v="TASK-1574"/>
    <s v="ScanIT switch to london5 test"/>
    <s v="Develop"/>
    <x v="0"/>
    <d v="2015-09-02T04:48:00"/>
    <x v="4"/>
    <x v="0"/>
    <x v="17"/>
    <n v="8"/>
    <m/>
    <n v="79"/>
    <n v="79"/>
  </r>
  <r>
    <s v="Operation Team Task"/>
    <x v="3"/>
    <s v="Develop"/>
    <s v="TASK-1574"/>
    <s v="ScanIT switch to london5 test"/>
    <s v="Develop"/>
    <x v="0"/>
    <d v="2015-09-03T04:49:00"/>
    <x v="4"/>
    <x v="0"/>
    <x v="17"/>
    <n v="8"/>
    <m/>
    <n v="79"/>
    <n v="79"/>
  </r>
  <r>
    <s v="Operation Team Task"/>
    <x v="3"/>
    <s v="Develop"/>
    <s v="TASK-1574"/>
    <s v="ScanIT switch to london5 test"/>
    <s v="Develop"/>
    <x v="0"/>
    <d v="2015-09-04T04:49:00"/>
    <x v="4"/>
    <x v="0"/>
    <x v="17"/>
    <n v="8"/>
    <m/>
    <n v="79"/>
    <n v="79"/>
  </r>
  <r>
    <s v="Operation Team Task"/>
    <x v="3"/>
    <s v="Develop"/>
    <s v="TASK-1574"/>
    <s v="ScanIT switch to london5 test"/>
    <s v="Develop"/>
    <x v="0"/>
    <d v="2015-09-07T04:49:00"/>
    <x v="4"/>
    <x v="0"/>
    <x v="17"/>
    <n v="8"/>
    <m/>
    <n v="79"/>
    <n v="79"/>
  </r>
  <r>
    <s v="Operation Team Task"/>
    <x v="3"/>
    <s v="Develop"/>
    <s v="TASK-1574"/>
    <s v="ScanIT switch to london5 test"/>
    <s v="Develop"/>
    <x v="0"/>
    <d v="2015-09-08T04:49:00"/>
    <x v="4"/>
    <x v="0"/>
    <x v="17"/>
    <n v="8"/>
    <m/>
    <n v="79"/>
    <n v="79"/>
  </r>
  <r>
    <s v="Operation Team Task"/>
    <x v="3"/>
    <s v="Develop"/>
    <s v="TASK-1574"/>
    <s v="ScanIT switch to london5 test"/>
    <s v="Develop"/>
    <x v="0"/>
    <d v="2015-09-09T04:49:00"/>
    <x v="4"/>
    <x v="0"/>
    <x v="17"/>
    <n v="8"/>
    <m/>
    <n v="79"/>
    <n v="79"/>
  </r>
  <r>
    <s v="Operation Team Task"/>
    <x v="3"/>
    <s v="Develop"/>
    <s v="TASK-1574"/>
    <s v="ScanIT switch to london5 test"/>
    <s v="Develop"/>
    <x v="0"/>
    <d v="2015-09-10T04:50:00"/>
    <x v="4"/>
    <x v="0"/>
    <x v="17"/>
    <n v="8"/>
    <m/>
    <n v="79"/>
    <n v="79"/>
  </r>
  <r>
    <s v="Operation Team Task"/>
    <x v="3"/>
    <s v="Develop"/>
    <s v="TASK-1574"/>
    <s v="ScanIT switch to london5 test"/>
    <s v="Develop"/>
    <x v="0"/>
    <d v="2015-09-15T04:51:00"/>
    <x v="4"/>
    <x v="0"/>
    <x v="17"/>
    <n v="8"/>
    <m/>
    <n v="79"/>
    <n v="79"/>
  </r>
  <r>
    <s v="Operation Team Task"/>
    <x v="3"/>
    <s v="Develop"/>
    <s v="TASK-1574"/>
    <s v="ScanIT switch to london5 test"/>
    <s v="Develop"/>
    <x v="0"/>
    <d v="2015-09-16T04:51:00"/>
    <x v="4"/>
    <x v="0"/>
    <x v="17"/>
    <n v="8"/>
    <m/>
    <n v="79"/>
    <n v="79"/>
  </r>
  <r>
    <s v="Operation Team Task"/>
    <x v="3"/>
    <s v="Develop"/>
    <s v="TASK-1574"/>
    <s v="ScanIT switch to london5 test"/>
    <s v="Develop"/>
    <x v="0"/>
    <d v="2015-09-17T04:51:00"/>
    <x v="4"/>
    <x v="0"/>
    <x v="17"/>
    <n v="8"/>
    <m/>
    <n v="79"/>
    <n v="79"/>
  </r>
  <r>
    <s v="Operation Team Task"/>
    <x v="3"/>
    <s v="Maintenance"/>
    <s v="TASK-1670"/>
    <s v="Picture lost on Web server for CN domain"/>
    <s v="Maintenance"/>
    <x v="1"/>
    <d v="2015-09-22T12:16:00"/>
    <x v="4"/>
    <x v="0"/>
    <x v="28"/>
    <n v="4"/>
    <m/>
    <n v="79"/>
    <n v="79"/>
  </r>
  <r>
    <s v="Operation Team Task"/>
    <x v="3"/>
    <s v="Maintenance"/>
    <s v="TASK-1674"/>
    <s v="Web Server bad performance investigate"/>
    <s v="Maintenance"/>
    <x v="1"/>
    <d v="2015-09-01T14:00:00"/>
    <x v="4"/>
    <x v="0"/>
    <x v="28"/>
    <n v="4"/>
    <m/>
    <n v="79"/>
    <n v="79"/>
  </r>
  <r>
    <s v="Operation Team Task"/>
    <x v="3"/>
    <s v="Maintenance"/>
    <s v="TASK-1674"/>
    <s v="Web Server bad performance investigate"/>
    <s v="Maintenance"/>
    <x v="1"/>
    <d v="2015-09-02T14:00:00"/>
    <x v="4"/>
    <x v="0"/>
    <x v="28"/>
    <n v="3"/>
    <m/>
    <n v="79"/>
    <n v="79"/>
  </r>
  <r>
    <s v="Operation Team Task"/>
    <x v="3"/>
    <s v="Maintenance"/>
    <s v="TASK-1674"/>
    <s v="Web Server bad performance investigate"/>
    <s v="Maintenance"/>
    <x v="1"/>
    <d v="2015-09-03T14:00:00"/>
    <x v="4"/>
    <x v="0"/>
    <x v="28"/>
    <n v="4"/>
    <m/>
    <n v="79"/>
    <n v="79"/>
  </r>
  <r>
    <s v="Operation Team Task"/>
    <x v="3"/>
    <s v="Maintenance"/>
    <s v="TASK-1674"/>
    <s v="Web Server bad performance investigate"/>
    <s v="Maintenance"/>
    <x v="1"/>
    <d v="2015-09-04T14:00:00"/>
    <x v="4"/>
    <x v="0"/>
    <x v="28"/>
    <n v="4"/>
    <m/>
    <n v="79"/>
    <n v="79"/>
  </r>
  <r>
    <s v="Operation Team Task"/>
    <x v="3"/>
    <s v="Maintenance"/>
    <s v="TASK-1674"/>
    <s v="Web Server bad performance investigate"/>
    <s v="Maintenance"/>
    <x v="1"/>
    <d v="2015-09-07T14:00:00"/>
    <x v="4"/>
    <x v="0"/>
    <x v="28"/>
    <n v="1"/>
    <m/>
    <n v="79"/>
    <n v="79"/>
  </r>
  <r>
    <s v="Operation Team Task"/>
    <x v="3"/>
    <s v="Maintenance"/>
    <s v="TASK-1674"/>
    <s v="Web Server bad performance investigate"/>
    <s v="Maintenance"/>
    <x v="1"/>
    <d v="2015-09-08T14:00:00"/>
    <x v="4"/>
    <x v="0"/>
    <x v="28"/>
    <n v="4"/>
    <m/>
    <n v="79"/>
    <n v="79"/>
  </r>
  <r>
    <s v="Operation Team Task"/>
    <x v="3"/>
    <s v="Maintenance"/>
    <s v="TASK-1674"/>
    <s v="Web Server bad performance investigate"/>
    <s v="Maintenance"/>
    <x v="1"/>
    <d v="2015-09-09T14:00:00"/>
    <x v="4"/>
    <x v="0"/>
    <x v="28"/>
    <n v="4"/>
    <m/>
    <n v="79"/>
    <n v="79"/>
  </r>
  <r>
    <s v="Operation Team Task"/>
    <x v="3"/>
    <s v="Maintenance"/>
    <s v="TASK-1674"/>
    <s v="Web Server bad performance investigate"/>
    <s v="Maintenance"/>
    <x v="1"/>
    <d v="2015-09-10T14:00:00"/>
    <x v="4"/>
    <x v="0"/>
    <x v="28"/>
    <n v="1"/>
    <m/>
    <n v="79"/>
    <n v="79"/>
  </r>
  <r>
    <s v="Operation Team Task"/>
    <x v="3"/>
    <s v="Maintenance"/>
    <s v="TASK-1674"/>
    <s v="Web Server bad performance investigate"/>
    <s v="Maintenance"/>
    <x v="1"/>
    <d v="2015-09-11T14:00:00"/>
    <x v="4"/>
    <x v="0"/>
    <x v="28"/>
    <n v="4"/>
    <m/>
    <n v="79"/>
    <n v="79"/>
  </r>
  <r>
    <s v="Operation Team Task"/>
    <x v="3"/>
    <s v="Maintenance"/>
    <s v="TASK-1674"/>
    <s v="Web Server bad performance investigate"/>
    <s v="Maintenance"/>
    <x v="1"/>
    <d v="2015-09-14T14:00:00"/>
    <x v="4"/>
    <x v="0"/>
    <x v="28"/>
    <n v="1"/>
    <m/>
    <n v="79"/>
    <n v="79"/>
  </r>
  <r>
    <s v="Operation Team Task"/>
    <x v="3"/>
    <s v="Maintenance"/>
    <s v="TASK-1674"/>
    <s v="Web Server bad performance investigate"/>
    <s v="Maintenance"/>
    <x v="1"/>
    <d v="2015-09-15T14:00:00"/>
    <x v="4"/>
    <x v="0"/>
    <x v="28"/>
    <n v="4"/>
    <m/>
    <n v="79"/>
    <n v="79"/>
  </r>
  <r>
    <s v="Operation Team Task"/>
    <x v="3"/>
    <s v="Maintenance"/>
    <s v="TASK-1674"/>
    <s v="Web Server bad performance investigate"/>
    <s v="Maintenance"/>
    <x v="1"/>
    <d v="2015-09-16T14:00:00"/>
    <x v="4"/>
    <x v="0"/>
    <x v="28"/>
    <n v="4"/>
    <m/>
    <n v="79"/>
    <n v="79"/>
  </r>
  <r>
    <s v="Operation Team Task"/>
    <x v="3"/>
    <s v="Maintenance"/>
    <s v="TASK-1674"/>
    <s v="Web Server bad performance investigate"/>
    <s v="Maintenance"/>
    <x v="1"/>
    <d v="2015-09-17T14:00:00"/>
    <x v="4"/>
    <x v="0"/>
    <x v="28"/>
    <n v="4"/>
    <m/>
    <n v="79"/>
    <n v="79"/>
  </r>
  <r>
    <s v="Operation Team Task"/>
    <x v="3"/>
    <s v="Maintenance"/>
    <s v="TASK-1674"/>
    <s v="Web Server bad performance investigate"/>
    <s v="Maintenance"/>
    <x v="1"/>
    <d v="2015-09-18T14:00:00"/>
    <x v="4"/>
    <x v="0"/>
    <x v="28"/>
    <n v="1"/>
    <m/>
    <n v="79"/>
    <n v="79"/>
  </r>
  <r>
    <s v="Operation Team Task"/>
    <x v="3"/>
    <s v="Maintenance"/>
    <s v="TASK-1674"/>
    <s v="Web Server bad performance investigate"/>
    <s v="Maintenance"/>
    <x v="1"/>
    <d v="2015-09-21T14:00:00"/>
    <x v="4"/>
    <x v="0"/>
    <x v="28"/>
    <n v="4"/>
    <m/>
    <n v="79"/>
    <n v="79"/>
  </r>
  <r>
    <s v="Operation Team Task"/>
    <x v="3"/>
    <s v="Maintenance"/>
    <s v="TASK-1674"/>
    <s v="Web Server bad performance investigate"/>
    <s v="Maintenance"/>
    <x v="1"/>
    <d v="2015-09-22T14:00:00"/>
    <x v="4"/>
    <x v="0"/>
    <x v="28"/>
    <n v="4"/>
    <m/>
    <n v="79"/>
    <n v="79"/>
  </r>
  <r>
    <s v="Operation Team Task"/>
    <x v="3"/>
    <s v="Maintenance"/>
    <s v="TASK-1674"/>
    <s v="Web Server bad performance investigate"/>
    <s v="Maintenance"/>
    <x v="1"/>
    <d v="2015-09-23T14:00:00"/>
    <x v="4"/>
    <x v="0"/>
    <x v="28"/>
    <n v="4"/>
    <m/>
    <n v="79"/>
    <n v="79"/>
  </r>
  <r>
    <s v="Operation Team Task"/>
    <x v="3"/>
    <s v="Maintenance"/>
    <s v="TASK-1674"/>
    <s v="Web Server bad performance investigate"/>
    <s v="Maintenance"/>
    <x v="1"/>
    <d v="2015-09-24T14:00:00"/>
    <x v="4"/>
    <x v="0"/>
    <x v="28"/>
    <n v="4"/>
    <m/>
    <n v="79"/>
    <n v="79"/>
  </r>
  <r>
    <s v="Operation Team Task"/>
    <x v="3"/>
    <s v="Maintenance"/>
    <s v="TASK-1674"/>
    <s v="Web Server bad performance investigate"/>
    <s v="Maintenance"/>
    <x v="1"/>
    <d v="2015-09-25T14:00:00"/>
    <x v="4"/>
    <x v="0"/>
    <x v="28"/>
    <n v="4"/>
    <m/>
    <n v="79"/>
    <n v="79"/>
  </r>
  <r>
    <s v="Operation Team Task"/>
    <x v="3"/>
    <s v="Maintenance"/>
    <s v="TASK-1674"/>
    <s v="Web Server bad performance investigate"/>
    <s v="Maintenance"/>
    <x v="1"/>
    <d v="2015-09-28T14:00:00"/>
    <x v="4"/>
    <x v="0"/>
    <x v="28"/>
    <n v="4"/>
    <m/>
    <n v="79"/>
    <n v="79"/>
  </r>
  <r>
    <s v="Operation Team Task"/>
    <x v="3"/>
    <s v="Maintenance"/>
    <s v="TASK-1674"/>
    <s v="Web Server bad performance investigate"/>
    <s v="Maintenance"/>
    <x v="1"/>
    <d v="2015-09-29T14:00:00"/>
    <x v="4"/>
    <x v="0"/>
    <x v="28"/>
    <n v="4"/>
    <m/>
    <n v="79"/>
    <n v="79"/>
  </r>
  <r>
    <s v="Operation Team Task"/>
    <x v="3"/>
    <s v="Maintenance"/>
    <s v="TASK-1674"/>
    <s v="Web Server bad performance investigate"/>
    <s v="Maintenance"/>
    <x v="1"/>
    <d v="2015-09-30T14:00:00"/>
    <x v="4"/>
    <x v="0"/>
    <x v="28"/>
    <n v="4"/>
    <m/>
    <n v="79"/>
    <n v="79"/>
  </r>
  <r>
    <s v="Operation Team Task"/>
    <x v="3"/>
    <s v="Develop"/>
    <s v="TASK-1675"/>
    <s v="CN website migrate to AWS"/>
    <s v="Develop"/>
    <x v="0"/>
    <d v="2015-09-01T09:30:00"/>
    <x v="4"/>
    <x v="0"/>
    <x v="28"/>
    <n v="4"/>
    <m/>
    <n v="79"/>
    <n v="79"/>
  </r>
  <r>
    <s v="Operation Team Task"/>
    <x v="3"/>
    <s v="Develop"/>
    <s v="TASK-1675"/>
    <s v="CN website migrate to AWS"/>
    <s v="Develop"/>
    <x v="0"/>
    <d v="2015-09-02T09:30:00"/>
    <x v="4"/>
    <x v="0"/>
    <x v="28"/>
    <n v="4"/>
    <m/>
    <n v="79"/>
    <n v="79"/>
  </r>
  <r>
    <s v="Operation Team Task"/>
    <x v="3"/>
    <s v="Develop"/>
    <s v="TASK-1675"/>
    <s v="CN website migrate to AWS"/>
    <s v="Develop"/>
    <x v="0"/>
    <d v="2015-09-03T09:30:00"/>
    <x v="4"/>
    <x v="0"/>
    <x v="28"/>
    <n v="4"/>
    <m/>
    <n v="79"/>
    <n v="79"/>
  </r>
  <r>
    <s v="Operation Team Task"/>
    <x v="3"/>
    <s v="Develop"/>
    <s v="TASK-1675"/>
    <s v="CN website migrate to AWS"/>
    <s v="Develop"/>
    <x v="0"/>
    <d v="2015-09-04T09:30:00"/>
    <x v="4"/>
    <x v="0"/>
    <x v="28"/>
    <n v="1"/>
    <m/>
    <n v="79"/>
    <n v="79"/>
  </r>
  <r>
    <s v="Operation Team Task"/>
    <x v="3"/>
    <s v="Develop"/>
    <s v="TASK-1675"/>
    <s v="CN website migrate to AWS"/>
    <s v="Develop"/>
    <x v="0"/>
    <d v="2015-09-07T09:30:00"/>
    <x v="4"/>
    <x v="0"/>
    <x v="28"/>
    <n v="4"/>
    <m/>
    <n v="79"/>
    <n v="79"/>
  </r>
  <r>
    <s v="Operation Team Task"/>
    <x v="3"/>
    <s v="Develop"/>
    <s v="TASK-1675"/>
    <s v="CN website migrate to AWS"/>
    <s v="Develop"/>
    <x v="0"/>
    <d v="2015-09-08T09:30:00"/>
    <x v="4"/>
    <x v="0"/>
    <x v="28"/>
    <n v="2"/>
    <m/>
    <n v="79"/>
    <n v="79"/>
  </r>
  <r>
    <s v="Operation Team Task"/>
    <x v="3"/>
    <s v="Develop"/>
    <s v="TASK-1675"/>
    <s v="CN website migrate to AWS"/>
    <s v="Develop"/>
    <x v="0"/>
    <d v="2015-09-09T09:30:00"/>
    <x v="4"/>
    <x v="0"/>
    <x v="28"/>
    <n v="4"/>
    <m/>
    <n v="79"/>
    <n v="79"/>
  </r>
  <r>
    <s v="Operation Team Task"/>
    <x v="3"/>
    <s v="Develop"/>
    <s v="TASK-1675"/>
    <s v="CN website migrate to AWS"/>
    <s v="Develop"/>
    <x v="0"/>
    <d v="2015-09-10T09:30:00"/>
    <x v="4"/>
    <x v="0"/>
    <x v="28"/>
    <n v="4"/>
    <m/>
    <n v="79"/>
    <n v="79"/>
  </r>
  <r>
    <s v="Operation Team Task"/>
    <x v="3"/>
    <s v="Develop"/>
    <s v="TASK-1675"/>
    <s v="CN website migrate to AWS"/>
    <s v="Develop"/>
    <x v="0"/>
    <d v="2015-09-11T09:30:00"/>
    <x v="4"/>
    <x v="0"/>
    <x v="28"/>
    <n v="4"/>
    <m/>
    <n v="79"/>
    <n v="79"/>
  </r>
  <r>
    <s v="Operation Team Task"/>
    <x v="3"/>
    <s v="Develop"/>
    <s v="TASK-1675"/>
    <s v="CN website migrate to AWS"/>
    <s v="Develop"/>
    <x v="0"/>
    <d v="2015-09-14T09:30:00"/>
    <x v="4"/>
    <x v="0"/>
    <x v="28"/>
    <n v="4"/>
    <m/>
    <n v="79"/>
    <n v="79"/>
  </r>
  <r>
    <s v="Operation Team Task"/>
    <x v="3"/>
    <s v="Develop"/>
    <s v="TASK-1675"/>
    <s v="CN website migrate to AWS"/>
    <s v="Develop"/>
    <x v="0"/>
    <d v="2015-09-15T09:30:00"/>
    <x v="4"/>
    <x v="0"/>
    <x v="28"/>
    <n v="4"/>
    <m/>
    <n v="79"/>
    <n v="79"/>
  </r>
  <r>
    <s v="Operation Team Task"/>
    <x v="3"/>
    <s v="Develop"/>
    <s v="TASK-1675"/>
    <s v="CN website migrate to AWS"/>
    <s v="Develop"/>
    <x v="0"/>
    <d v="2015-09-16T09:30:00"/>
    <x v="4"/>
    <x v="0"/>
    <x v="28"/>
    <n v="4"/>
    <m/>
    <n v="79"/>
    <n v="79"/>
  </r>
  <r>
    <s v="Operation Team Task"/>
    <x v="3"/>
    <s v="Develop"/>
    <s v="TASK-1675"/>
    <s v="CN website migrate to AWS"/>
    <s v="Develop"/>
    <x v="0"/>
    <d v="2015-09-17T09:30:00"/>
    <x v="4"/>
    <x v="0"/>
    <x v="28"/>
    <n v="4"/>
    <m/>
    <n v="79"/>
    <n v="79"/>
  </r>
  <r>
    <s v="Operation Team Task"/>
    <x v="3"/>
    <s v="Develop"/>
    <s v="TASK-1675"/>
    <s v="CN website migrate to AWS"/>
    <s v="Develop"/>
    <x v="0"/>
    <d v="2015-09-18T09:30:00"/>
    <x v="4"/>
    <x v="0"/>
    <x v="28"/>
    <n v="4"/>
    <m/>
    <n v="79"/>
    <n v="79"/>
  </r>
  <r>
    <s v="Operation Team Task"/>
    <x v="3"/>
    <s v="Develop"/>
    <s v="TASK-1675"/>
    <s v="CN website migrate to AWS"/>
    <s v="Develop"/>
    <x v="0"/>
    <d v="2015-09-21T09:30:00"/>
    <x v="4"/>
    <x v="0"/>
    <x v="28"/>
    <n v="4"/>
    <m/>
    <n v="79"/>
    <n v="79"/>
  </r>
  <r>
    <s v="Operation Team Task"/>
    <x v="3"/>
    <s v="Develop"/>
    <s v="TASK-1675"/>
    <s v="CN website migrate to AWS"/>
    <s v="Develop"/>
    <x v="0"/>
    <d v="2015-09-23T09:30:00"/>
    <x v="4"/>
    <x v="0"/>
    <x v="28"/>
    <n v="4"/>
    <m/>
    <n v="79"/>
    <n v="79"/>
  </r>
  <r>
    <s v="Operation Team Task"/>
    <x v="3"/>
    <s v="Develop"/>
    <s v="TASK-1675"/>
    <s v="CN website migrate to AWS"/>
    <s v="Develop"/>
    <x v="0"/>
    <d v="2015-09-24T09:30:00"/>
    <x v="4"/>
    <x v="0"/>
    <x v="28"/>
    <n v="4"/>
    <m/>
    <n v="79"/>
    <n v="79"/>
  </r>
  <r>
    <s v="Operation Team Task"/>
    <x v="3"/>
    <s v="Develop"/>
    <s v="TASK-1675"/>
    <s v="CN website migrate to AWS"/>
    <s v="Develop"/>
    <x v="0"/>
    <d v="2015-09-25T09:30:00"/>
    <x v="4"/>
    <x v="0"/>
    <x v="28"/>
    <n v="4"/>
    <m/>
    <n v="79"/>
    <n v="79"/>
  </r>
  <r>
    <s v="Operation Team Task"/>
    <x v="3"/>
    <s v="Develop"/>
    <s v="TASK-1675"/>
    <s v="CN website migrate to AWS"/>
    <s v="Develop"/>
    <x v="0"/>
    <d v="2015-09-28T09:30:00"/>
    <x v="4"/>
    <x v="0"/>
    <x v="28"/>
    <n v="4"/>
    <m/>
    <n v="79"/>
    <n v="79"/>
  </r>
  <r>
    <s v="Operation Team Task"/>
    <x v="3"/>
    <s v="Develop"/>
    <s v="TASK-1675"/>
    <s v="CN website migrate to AWS"/>
    <s v="Develop"/>
    <x v="0"/>
    <d v="2015-09-29T09:30:00"/>
    <x v="4"/>
    <x v="0"/>
    <x v="28"/>
    <n v="4"/>
    <m/>
    <n v="79"/>
    <n v="79"/>
  </r>
  <r>
    <s v="Operation Team Task"/>
    <x v="3"/>
    <s v="Develop"/>
    <s v="TASK-1675"/>
    <s v="CN website migrate to AWS"/>
    <s v="Develop"/>
    <x v="0"/>
    <d v="2015-09-30T09:30:00"/>
    <x v="4"/>
    <x v="0"/>
    <x v="28"/>
    <n v="4"/>
    <m/>
    <n v="79"/>
    <n v="79"/>
  </r>
  <r>
    <s v="SBG - Desktop"/>
    <x v="1"/>
    <s v="Improvement"/>
    <s v="DESK-1237"/>
    <s v="slow for order track email"/>
    <s v="Improvement"/>
    <x v="0"/>
    <d v="2015-10-15T15:57:00"/>
    <x v="5"/>
    <x v="0"/>
    <x v="8"/>
    <n v="0.5"/>
    <m/>
    <n v="127.5"/>
    <n v="22.500000000000004"/>
  </r>
  <r>
    <s v="SBG - Desktop"/>
    <x v="1"/>
    <s v="Task"/>
    <s v="DESK-1508"/>
    <s v="Split the OM and SBG.com database, update checkpayment db connection"/>
    <s v="Task"/>
    <x v="0"/>
    <d v="2015-10-15T16:19:00"/>
    <x v="5"/>
    <x v="0"/>
    <x v="8"/>
    <n v="0.5"/>
    <m/>
    <n v="127.5"/>
    <n v="22.500000000000004"/>
  </r>
  <r>
    <s v="SBG - Desktop"/>
    <x v="1"/>
    <s v="New Feature"/>
    <s v="DESK-1958"/>
    <s v="BR0227492406G received payment in GC at 11th Sep but still not show in OM"/>
    <s v="New Feature"/>
    <x v="0"/>
    <d v="2015-10-15T16:37:00"/>
    <x v="5"/>
    <x v="0"/>
    <x v="8"/>
    <n v="0.5"/>
    <m/>
    <n v="127.5"/>
    <n v="22.500000000000004"/>
  </r>
  <r>
    <s v="SBG - Desktop"/>
    <x v="2"/>
    <s v="New Feature"/>
    <s v="DESK-2120"/>
    <s v="SBG New Header / Footer / Homepage Banners / Choose your country"/>
    <s v="New Feature"/>
    <x v="0"/>
    <d v="2015-10-02T15:32:00"/>
    <x v="5"/>
    <x v="0"/>
    <x v="22"/>
    <n v="2"/>
    <m/>
    <n v="127.5"/>
    <n v="22.500000000000004"/>
  </r>
  <r>
    <s v="SBG - Desktop"/>
    <x v="4"/>
    <s v="New Feature"/>
    <s v="DESK-2120"/>
    <s v="SBG New Header / Footer / Homepage Banners / Choose your country"/>
    <s v="New Feature"/>
    <x v="0"/>
    <d v="2015-10-05T11:18:00"/>
    <x v="5"/>
    <x v="0"/>
    <x v="13"/>
    <n v="5"/>
    <m/>
    <n v="127.5"/>
    <n v="22.500000000000004"/>
  </r>
  <r>
    <s v="SBG - Desktop"/>
    <x v="2"/>
    <s v="New Feature"/>
    <s v="DESK-2120"/>
    <s v="SBG New Header / Footer / Homepage Banners / Choose your country"/>
    <s v="New Feature"/>
    <x v="0"/>
    <d v="2015-10-06T09:32:00"/>
    <x v="5"/>
    <x v="0"/>
    <x v="22"/>
    <n v="8"/>
    <m/>
    <n v="127.5"/>
    <n v="22.500000000000004"/>
  </r>
  <r>
    <s v="SBG - Desktop"/>
    <x v="4"/>
    <s v="New Feature"/>
    <s v="DESK-2120"/>
    <s v="SBG New Header / Footer / Homepage Banners / Choose your country"/>
    <s v="New Feature"/>
    <x v="0"/>
    <d v="2015-10-06T11:19:00"/>
    <x v="5"/>
    <x v="0"/>
    <x v="13"/>
    <n v="5"/>
    <m/>
    <n v="127.5"/>
    <n v="22.500000000000004"/>
  </r>
  <r>
    <s v="SBG - Desktop"/>
    <x v="4"/>
    <s v="New Feature"/>
    <s v="DESK-2120"/>
    <s v="SBG New Header / Footer / Homepage Banners / Choose your country"/>
    <s v="New Feature"/>
    <x v="0"/>
    <d v="2015-10-07T11:20:00"/>
    <x v="5"/>
    <x v="0"/>
    <x v="13"/>
    <n v="5"/>
    <m/>
    <n v="127.5"/>
    <n v="22.500000000000004"/>
  </r>
  <r>
    <s v="SBG - Desktop"/>
    <x v="2"/>
    <s v="New Feature"/>
    <s v="DESK-2120"/>
    <s v="SBG New Header / Footer / Homepage Banners / Choose your country"/>
    <s v="New Feature"/>
    <x v="0"/>
    <d v="2015-10-07T17:10:00"/>
    <x v="5"/>
    <x v="0"/>
    <x v="22"/>
    <n v="8"/>
    <m/>
    <n v="127.5"/>
    <n v="22.500000000000004"/>
  </r>
  <r>
    <s v="SBG - Desktop"/>
    <x v="4"/>
    <s v="New Feature"/>
    <s v="DESK-2120"/>
    <s v="SBG New Header / Footer / Homepage Banners / Choose your country"/>
    <s v="New Feature"/>
    <x v="0"/>
    <d v="2015-10-08T11:21:00"/>
    <x v="5"/>
    <x v="0"/>
    <x v="13"/>
    <n v="5"/>
    <m/>
    <n v="127.5"/>
    <n v="22.500000000000004"/>
  </r>
  <r>
    <s v="SBG - Desktop"/>
    <x v="2"/>
    <s v="New Feature"/>
    <s v="DESK-2120"/>
    <s v="SBG New Header / Footer / Homepage Banners / Choose your country"/>
    <s v="New Feature"/>
    <x v="0"/>
    <d v="2015-10-08T17:10:00"/>
    <x v="5"/>
    <x v="0"/>
    <x v="22"/>
    <n v="8"/>
    <m/>
    <n v="127.5"/>
    <n v="22.500000000000004"/>
  </r>
  <r>
    <s v="SBG - Desktop"/>
    <x v="2"/>
    <s v="New Feature"/>
    <s v="DESK-2120"/>
    <s v="SBG New Header / Footer / Homepage Banners / Choose your country"/>
    <s v="New Feature"/>
    <x v="0"/>
    <d v="2015-10-09T17:10:00"/>
    <x v="5"/>
    <x v="0"/>
    <x v="22"/>
    <n v="8"/>
    <m/>
    <n v="127.5"/>
    <n v="22.500000000000004"/>
  </r>
  <r>
    <s v="SBG - Desktop"/>
    <x v="2"/>
    <s v="New Feature"/>
    <s v="DESK-2120"/>
    <s v="SBG New Header / Footer / Homepage Banners / Choose your country"/>
    <s v="New Feature"/>
    <x v="0"/>
    <d v="2015-10-12T17:10:00"/>
    <x v="5"/>
    <x v="0"/>
    <x v="22"/>
    <n v="8"/>
    <m/>
    <n v="127.5"/>
    <n v="22.500000000000004"/>
  </r>
  <r>
    <s v="SBG - Desktop"/>
    <x v="0"/>
    <s v="New Feature"/>
    <s v="DESK-2120"/>
    <s v="SBG New Header / Footer / Homepage Banners / Choose your country"/>
    <s v="New Feature"/>
    <x v="0"/>
    <d v="2015-10-12T18:38:00"/>
    <x v="5"/>
    <x v="0"/>
    <x v="7"/>
    <n v="6"/>
    <m/>
    <n v="75"/>
    <n v="75"/>
  </r>
  <r>
    <s v="SBG - Desktop"/>
    <x v="2"/>
    <s v="New Feature"/>
    <s v="DESK-2120"/>
    <s v="SBG New Header / Footer / Homepage Banners / Choose your country"/>
    <s v="New Feature"/>
    <x v="0"/>
    <d v="2015-10-13T17:11:00"/>
    <x v="5"/>
    <x v="0"/>
    <x v="22"/>
    <n v="8"/>
    <m/>
    <n v="127.5"/>
    <n v="22.500000000000004"/>
  </r>
  <r>
    <s v="SBG - Desktop"/>
    <x v="0"/>
    <s v="New Feature"/>
    <s v="DESK-2120"/>
    <s v="SBG New Header / Footer / Homepage Banners / Choose your country"/>
    <s v="New Feature"/>
    <x v="0"/>
    <d v="2015-10-13T18:37:00"/>
    <x v="5"/>
    <x v="0"/>
    <x v="7"/>
    <n v="7.5"/>
    <m/>
    <n v="75"/>
    <n v="75"/>
  </r>
  <r>
    <s v="SBG - Desktop"/>
    <x v="2"/>
    <s v="New Feature"/>
    <s v="DESK-2120"/>
    <s v="SBG New Header / Footer / Homepage Banners / Choose your country"/>
    <s v="New Feature"/>
    <x v="0"/>
    <d v="2015-10-14T17:11:00"/>
    <x v="5"/>
    <x v="0"/>
    <x v="22"/>
    <n v="8"/>
    <m/>
    <n v="127.5"/>
    <n v="22.500000000000004"/>
  </r>
  <r>
    <s v="SBG - Desktop"/>
    <x v="0"/>
    <s v="New Feature"/>
    <s v="DESK-2120"/>
    <s v="SBG New Header / Footer / Homepage Banners / Choose your country"/>
    <s v="New Feature"/>
    <x v="0"/>
    <d v="2015-10-14T18:32:00"/>
    <x v="5"/>
    <x v="0"/>
    <x v="7"/>
    <n v="8"/>
    <m/>
    <n v="75"/>
    <n v="75"/>
  </r>
  <r>
    <s v="SBG - Desktop"/>
    <x v="2"/>
    <s v="New Feature"/>
    <s v="DESK-2120"/>
    <s v="SBG New Header / Footer / Homepage Banners / Choose your country"/>
    <s v="New Feature"/>
    <x v="0"/>
    <d v="2015-10-15T17:11:00"/>
    <x v="5"/>
    <x v="0"/>
    <x v="22"/>
    <n v="5"/>
    <m/>
    <n v="127.5"/>
    <n v="22.500000000000004"/>
  </r>
  <r>
    <s v="SBG - Desktop"/>
    <x v="2"/>
    <s v="New Feature"/>
    <s v="DESK-2120"/>
    <s v="SBG New Header / Footer / Homepage Banners / Choose your country"/>
    <s v="New Feature"/>
    <x v="0"/>
    <d v="2015-10-16T17:05:00"/>
    <x v="5"/>
    <x v="0"/>
    <x v="22"/>
    <n v="4"/>
    <m/>
    <n v="127.5"/>
    <n v="22.500000000000004"/>
  </r>
  <r>
    <s v="SBG - Desktop"/>
    <x v="0"/>
    <s v="New Feature"/>
    <s v="DESK-2120"/>
    <s v="SBG New Header / Footer / Homepage Banners / Choose your country"/>
    <s v="New Feature"/>
    <x v="0"/>
    <d v="2015-10-16T18:36:00"/>
    <x v="5"/>
    <x v="0"/>
    <x v="7"/>
    <n v="1.5"/>
    <m/>
    <n v="75"/>
    <n v="75"/>
  </r>
  <r>
    <s v="SBG - Desktop"/>
    <x v="2"/>
    <s v="New Feature"/>
    <s v="DESK-2120"/>
    <s v="SBG New Header / Footer / Homepage Banners / Choose your country"/>
    <s v="New Feature"/>
    <x v="0"/>
    <d v="2015-10-21T10:51:00"/>
    <x v="5"/>
    <x v="0"/>
    <x v="22"/>
    <n v="2"/>
    <m/>
    <n v="127.5"/>
    <n v="22.500000000000004"/>
  </r>
  <r>
    <s v="SBG - Desktop"/>
    <x v="2"/>
    <s v="New Feature"/>
    <s v="DESK-2120"/>
    <s v="SBG New Header / Footer / Homepage Banners / Choose your country"/>
    <s v="New Feature"/>
    <x v="0"/>
    <d v="2015-10-21T17:04:00"/>
    <x v="5"/>
    <x v="0"/>
    <x v="22"/>
    <n v="8"/>
    <m/>
    <n v="127.5"/>
    <n v="22.500000000000004"/>
  </r>
  <r>
    <s v="SBG - Desktop"/>
    <x v="2"/>
    <s v="New Feature"/>
    <s v="DESK-2120"/>
    <s v="SBG New Header / Footer / Homepage Banners / Choose your country"/>
    <s v="New Feature"/>
    <x v="0"/>
    <d v="2015-10-22T09:31:00"/>
    <x v="5"/>
    <x v="0"/>
    <x v="22"/>
    <n v="8"/>
    <m/>
    <n v="127.5"/>
    <n v="22.500000000000004"/>
  </r>
  <r>
    <s v="SBG - Desktop"/>
    <x v="4"/>
    <s v="New Feature"/>
    <s v="DESK-2120"/>
    <s v="SBG New Header / Footer / Homepage Banners / Choose your country"/>
    <s v="New Feature"/>
    <x v="0"/>
    <d v="2015-10-22T15:41:00"/>
    <x v="5"/>
    <x v="0"/>
    <x v="13"/>
    <n v="3"/>
    <m/>
    <n v="127.5"/>
    <n v="22.500000000000004"/>
  </r>
  <r>
    <s v="SBG - Desktop"/>
    <x v="2"/>
    <s v="New Feature"/>
    <s v="DESK-2120"/>
    <s v="SBG New Header / Footer / Homepage Banners / Choose your country"/>
    <s v="New Feature"/>
    <x v="0"/>
    <d v="2015-10-23T09:31:00"/>
    <x v="5"/>
    <x v="0"/>
    <x v="22"/>
    <n v="8"/>
    <m/>
    <n v="127.5"/>
    <n v="22.500000000000004"/>
  </r>
  <r>
    <s v="SBG - Desktop"/>
    <x v="2"/>
    <s v="New Feature"/>
    <s v="DESK-2120"/>
    <s v="SBG New Header / Footer / Homepage Banners / Choose your country"/>
    <s v="New Feature"/>
    <x v="0"/>
    <d v="2015-10-27T18:32:00"/>
    <x v="5"/>
    <x v="0"/>
    <x v="22"/>
    <n v="8"/>
    <m/>
    <n v="127.5"/>
    <n v="22.500000000000004"/>
  </r>
  <r>
    <s v="SBG - Desktop"/>
    <x v="2"/>
    <s v="New Feature"/>
    <s v="DESK-2120"/>
    <s v="SBG New Header / Footer / Homepage Banners / Choose your country"/>
    <s v="New Feature"/>
    <x v="0"/>
    <d v="2015-10-28T18:37:00"/>
    <x v="5"/>
    <x v="0"/>
    <x v="22"/>
    <n v="3"/>
    <m/>
    <n v="127.5"/>
    <n v="22.500000000000004"/>
  </r>
  <r>
    <s v="SBG - Desktop"/>
    <x v="0"/>
    <s v="New Feature"/>
    <s v="DESK-2122"/>
    <s v="Product page - Discontinued logic"/>
    <s v="New Feature"/>
    <x v="0"/>
    <d v="2015-10-08T18:24:00"/>
    <x v="5"/>
    <x v="0"/>
    <x v="7"/>
    <n v="8"/>
    <m/>
    <n v="75"/>
    <n v="75"/>
  </r>
  <r>
    <s v="SBG - Desktop"/>
    <x v="0"/>
    <s v="New Feature"/>
    <s v="DESK-2122"/>
    <s v="Product page - Discontinued logic"/>
    <s v="New Feature"/>
    <x v="0"/>
    <d v="2015-10-09T18:35:00"/>
    <x v="5"/>
    <x v="0"/>
    <x v="7"/>
    <n v="4"/>
    <m/>
    <n v="75"/>
    <n v="75"/>
  </r>
  <r>
    <s v="SBG - Desktop"/>
    <x v="2"/>
    <s v="New Feature"/>
    <s v="DESK-2122"/>
    <s v="Product page - Discontinued logic"/>
    <s v="New Feature"/>
    <x v="0"/>
    <d v="2015-10-09T18:39:00"/>
    <x v="5"/>
    <x v="0"/>
    <x v="18"/>
    <n v="15"/>
    <m/>
    <n v="127.5"/>
    <n v="22.500000000000004"/>
  </r>
  <r>
    <s v="SBG - Desktop"/>
    <x v="2"/>
    <s v="New Feature"/>
    <s v="DESK-2123"/>
    <s v="Product Page - Layout tweaks"/>
    <s v="New Feature"/>
    <x v="0"/>
    <d v="2015-10-07T09:40:00"/>
    <x v="5"/>
    <x v="0"/>
    <x v="11"/>
    <n v="4"/>
    <m/>
    <n v="127.5"/>
    <n v="22.500000000000004"/>
  </r>
  <r>
    <s v="SBG - Desktop"/>
    <x v="2"/>
    <s v="New Feature"/>
    <s v="DESK-2123"/>
    <s v="Product Page - Layout tweaks"/>
    <s v="New Feature"/>
    <x v="0"/>
    <d v="2015-10-07T14:00:00"/>
    <x v="5"/>
    <x v="0"/>
    <x v="11"/>
    <n v="1"/>
    <m/>
    <n v="127.5"/>
    <n v="22.500000000000004"/>
  </r>
  <r>
    <s v="SBG - Desktop"/>
    <x v="2"/>
    <s v="New Feature"/>
    <s v="DESK-2123"/>
    <s v="Product Page - Layout tweaks"/>
    <s v="New Feature"/>
    <x v="0"/>
    <d v="2015-10-08T09:30:00"/>
    <x v="5"/>
    <x v="0"/>
    <x v="11"/>
    <n v="30"/>
    <m/>
    <n v="127.5"/>
    <n v="22.500000000000004"/>
  </r>
  <r>
    <s v="SBG - Desktop"/>
    <x v="2"/>
    <s v="New Feature"/>
    <s v="DESK-2123"/>
    <s v="Product Page - Layout tweaks"/>
    <s v="New Feature"/>
    <x v="0"/>
    <d v="2015-10-12T09:40:00"/>
    <x v="5"/>
    <x v="0"/>
    <x v="11"/>
    <n v="3"/>
    <m/>
    <n v="127.5"/>
    <n v="22.500000000000004"/>
  </r>
  <r>
    <s v="SBG - Desktop"/>
    <x v="2"/>
    <s v="New Feature"/>
    <s v="DESK-2123"/>
    <s v="Product Page - Layout tweaks"/>
    <s v="New Feature"/>
    <x v="0"/>
    <d v="2015-10-13T16:00:00"/>
    <x v="5"/>
    <x v="0"/>
    <x v="11"/>
    <n v="2.5"/>
    <m/>
    <n v="127.5"/>
    <n v="22.500000000000004"/>
  </r>
  <r>
    <s v="SBG - Desktop"/>
    <x v="2"/>
    <s v="New Feature"/>
    <s v="DESK-2123"/>
    <s v="Product Page - Layout tweaks"/>
    <s v="New Feature"/>
    <x v="0"/>
    <d v="2015-10-14T09:30:00"/>
    <x v="5"/>
    <x v="0"/>
    <x v="11"/>
    <n v="8"/>
    <m/>
    <n v="127.5"/>
    <n v="22.500000000000004"/>
  </r>
  <r>
    <s v="SBG - Desktop"/>
    <x v="2"/>
    <s v="New Feature"/>
    <s v="DESK-2123"/>
    <s v="Product Page - Layout tweaks"/>
    <s v="New Feature"/>
    <x v="0"/>
    <d v="2015-10-15T09:30:00"/>
    <x v="5"/>
    <x v="0"/>
    <x v="11"/>
    <n v="4"/>
    <m/>
    <n v="127.5"/>
    <n v="22.500000000000004"/>
  </r>
  <r>
    <s v="SBG - Desktop"/>
    <x v="2"/>
    <s v="New Feature"/>
    <s v="DESK-2123"/>
    <s v="Product Page - Layout tweaks"/>
    <s v="New Feature"/>
    <x v="0"/>
    <d v="2015-10-19T17:20:00"/>
    <x v="5"/>
    <x v="0"/>
    <x v="11"/>
    <n v="1"/>
    <m/>
    <n v="127.5"/>
    <n v="22.500000000000004"/>
  </r>
  <r>
    <s v="SBG - Desktop"/>
    <x v="0"/>
    <s v="New Feature"/>
    <s v="DESK-2123"/>
    <s v="Product Page - Layout tweaks"/>
    <s v="New Feature"/>
    <x v="0"/>
    <d v="2015-10-20T10:16:00"/>
    <x v="5"/>
    <x v="0"/>
    <x v="19"/>
    <n v="4"/>
    <m/>
    <n v="75"/>
    <n v="75"/>
  </r>
  <r>
    <s v="SBG - Desktop"/>
    <x v="2"/>
    <s v="New Feature"/>
    <s v="DESK-2127"/>
    <s v="Master Feed 2: at SIZE LEVEL"/>
    <s v="New Feature"/>
    <x v="0"/>
    <d v="2015-10-23T10:58:00"/>
    <x v="5"/>
    <x v="0"/>
    <x v="16"/>
    <n v="4"/>
    <m/>
    <n v="127.5"/>
    <n v="22.500000000000004"/>
  </r>
  <r>
    <s v="SBG - Desktop"/>
    <x v="2"/>
    <s v="New Feature"/>
    <s v="DESK-2127"/>
    <s v="Master Feed 2: at SIZE LEVEL"/>
    <s v="New Feature"/>
    <x v="0"/>
    <d v="2015-10-26T17:10:00"/>
    <x v="5"/>
    <x v="0"/>
    <x v="16"/>
    <n v="8"/>
    <m/>
    <n v="127.5"/>
    <n v="22.500000000000004"/>
  </r>
  <r>
    <s v="SBG - Desktop"/>
    <x v="2"/>
    <s v="New Feature"/>
    <s v="DESK-2127"/>
    <s v="Master Feed 2: at SIZE LEVEL"/>
    <s v="New Feature"/>
    <x v="0"/>
    <d v="2015-10-27T17:11:00"/>
    <x v="5"/>
    <x v="0"/>
    <x v="16"/>
    <n v="8"/>
    <m/>
    <n v="127.5"/>
    <n v="22.500000000000004"/>
  </r>
  <r>
    <s v="SBG - Desktop"/>
    <x v="2"/>
    <s v="New Feature"/>
    <s v="DESK-2127"/>
    <s v="Master Feed 2: at SIZE LEVEL"/>
    <s v="New Feature"/>
    <x v="0"/>
    <d v="2015-10-28T17:11:00"/>
    <x v="5"/>
    <x v="0"/>
    <x v="16"/>
    <n v="8"/>
    <m/>
    <n v="127.5"/>
    <n v="22.500000000000004"/>
  </r>
  <r>
    <s v="SBG - Desktop"/>
    <x v="2"/>
    <s v="New Feature"/>
    <s v="DESK-2128"/>
    <s v="us_soquero feed re-coding"/>
    <s v="New Feature"/>
    <x v="0"/>
    <d v="2015-10-07T09:58:00"/>
    <x v="5"/>
    <x v="0"/>
    <x v="16"/>
    <n v="8"/>
    <m/>
    <n v="127.5"/>
    <n v="22.500000000000004"/>
  </r>
  <r>
    <s v="SBG - Desktop"/>
    <x v="2"/>
    <s v="New Feature"/>
    <s v="DESK-2128"/>
    <s v="us_soquero feed re-coding"/>
    <s v="New Feature"/>
    <x v="0"/>
    <d v="2015-10-08T09:59:00"/>
    <x v="5"/>
    <x v="0"/>
    <x v="16"/>
    <n v="8"/>
    <m/>
    <n v="127.5"/>
    <n v="22.500000000000004"/>
  </r>
  <r>
    <s v="SBG - Desktop"/>
    <x v="2"/>
    <s v="New Feature"/>
    <s v="DESK-2128"/>
    <s v="us_soquero feed re-coding"/>
    <s v="New Feature"/>
    <x v="0"/>
    <d v="2015-10-09T10:00:00"/>
    <x v="5"/>
    <x v="0"/>
    <x v="16"/>
    <n v="8"/>
    <m/>
    <n v="127.5"/>
    <n v="22.500000000000004"/>
  </r>
  <r>
    <s v="SBG - Desktop"/>
    <x v="2"/>
    <s v="New Feature"/>
    <s v="DESK-2128"/>
    <s v="us_soquero feed re-coding"/>
    <s v="New Feature"/>
    <x v="0"/>
    <d v="2015-10-12T10:00:00"/>
    <x v="5"/>
    <x v="0"/>
    <x v="16"/>
    <n v="8"/>
    <m/>
    <n v="127.5"/>
    <n v="22.500000000000004"/>
  </r>
  <r>
    <s v="SBG - Desktop"/>
    <x v="2"/>
    <s v="New Feature"/>
    <s v="DESK-2128"/>
    <s v="us_soquero feed re-coding"/>
    <s v="New Feature"/>
    <x v="0"/>
    <d v="2015-10-13T10:00:00"/>
    <x v="5"/>
    <x v="0"/>
    <x v="16"/>
    <n v="8"/>
    <m/>
    <n v="127.5"/>
    <n v="22.500000000000004"/>
  </r>
  <r>
    <s v="SBG - Desktop"/>
    <x v="2"/>
    <s v="New Feature"/>
    <s v="DESK-2128"/>
    <s v="us_soquero feed re-coding"/>
    <s v="New Feature"/>
    <x v="0"/>
    <d v="2015-10-14T10:01:00"/>
    <x v="5"/>
    <x v="0"/>
    <x v="16"/>
    <n v="8"/>
    <m/>
    <n v="127.5"/>
    <n v="22.500000000000004"/>
  </r>
  <r>
    <s v="SBG - Desktop"/>
    <x v="2"/>
    <s v="New Feature"/>
    <s v="DESK-2128"/>
    <s v="us_soquero feed re-coding"/>
    <s v="New Feature"/>
    <x v="0"/>
    <d v="2015-10-20T10:01:00"/>
    <x v="5"/>
    <x v="0"/>
    <x v="16"/>
    <n v="8"/>
    <m/>
    <n v="127.5"/>
    <n v="22.500000000000004"/>
  </r>
  <r>
    <s v="SBG - Desktop"/>
    <x v="2"/>
    <s v="New Feature"/>
    <s v="DESK-2128"/>
    <s v="us_soquero feed re-coding"/>
    <s v="New Feature"/>
    <x v="0"/>
    <d v="2015-10-21T09:59:00"/>
    <x v="5"/>
    <x v="0"/>
    <x v="16"/>
    <n v="2"/>
    <m/>
    <n v="127.5"/>
    <n v="22.500000000000004"/>
  </r>
  <r>
    <s v="SBG - Desktop"/>
    <x v="2"/>
    <s v="New Feature"/>
    <s v="DESK-2135"/>
    <s v="Implement Granify in Visiondirect.com.au"/>
    <s v="New Feature"/>
    <x v="0"/>
    <d v="2015-10-19T16:53:00"/>
    <x v="5"/>
    <x v="0"/>
    <x v="10"/>
    <n v="3"/>
    <m/>
    <n v="127.5"/>
    <n v="22.500000000000004"/>
  </r>
  <r>
    <s v="SBG - Desktop"/>
    <x v="2"/>
    <s v="New Feature"/>
    <s v="DESK-2135"/>
    <s v="Implement Granify in Visiondirect.com.au"/>
    <s v="New Feature"/>
    <x v="0"/>
    <d v="2015-10-20T16:42:00"/>
    <x v="5"/>
    <x v="0"/>
    <x v="10"/>
    <n v="2"/>
    <m/>
    <n v="127.5"/>
    <n v="22.500000000000004"/>
  </r>
  <r>
    <s v="SBG - Desktop"/>
    <x v="2"/>
    <s v="New Feature"/>
    <s v="DESK-2135"/>
    <s v="Implement Granify in Visiondirect.com.au"/>
    <s v="New Feature"/>
    <x v="0"/>
    <d v="2015-10-21T17:21:00"/>
    <x v="5"/>
    <x v="0"/>
    <x v="10"/>
    <n v="2"/>
    <m/>
    <n v="127.5"/>
    <n v="22.500000000000004"/>
  </r>
  <r>
    <s v="SBG - Desktop"/>
    <x v="2"/>
    <s v="New Feature"/>
    <s v="DESK-2135"/>
    <s v="Implement Granify in Visiondirect.com.au"/>
    <s v="New Feature"/>
    <x v="0"/>
    <d v="2015-10-22T10:22:00"/>
    <x v="5"/>
    <x v="0"/>
    <x v="10"/>
    <n v="3"/>
    <m/>
    <n v="127.5"/>
    <n v="22.500000000000004"/>
  </r>
  <r>
    <s v="SBG - Desktop"/>
    <x v="2"/>
    <s v="New Feature"/>
    <s v="DESK-2135"/>
    <s v="Implement Granify in Visiondirect.com.au"/>
    <s v="New Feature"/>
    <x v="0"/>
    <d v="2015-11-20T17:42:00"/>
    <x v="8"/>
    <x v="0"/>
    <x v="10"/>
    <n v="3"/>
    <m/>
    <n v="147.9"/>
    <n v="26.100000000000005"/>
  </r>
  <r>
    <s v="SBG - Desktop"/>
    <x v="2"/>
    <s v="New Feature"/>
    <s v="DESK-2135"/>
    <s v="Implement Granify in Visiondirect.com.au"/>
    <s v="New Feature"/>
    <x v="0"/>
    <d v="2015-11-23T17:42:00"/>
    <x v="8"/>
    <x v="0"/>
    <x v="10"/>
    <n v="5"/>
    <m/>
    <n v="147.9"/>
    <n v="26.100000000000005"/>
  </r>
  <r>
    <s v="SBG - Desktop"/>
    <x v="2"/>
    <s v="New Feature"/>
    <s v="DESK-2135"/>
    <s v="Implement Granify in Visiondirect.com.au"/>
    <s v="New Feature"/>
    <x v="0"/>
    <d v="2015-11-24T11:28:00"/>
    <x v="8"/>
    <x v="0"/>
    <x v="10"/>
    <n v="3"/>
    <m/>
    <n v="147.9"/>
    <n v="26.100000000000005"/>
  </r>
  <r>
    <s v="SBG - Desktop"/>
    <x v="2"/>
    <s v="New Feature"/>
    <s v="DESK-2135"/>
    <s v="Implement Granify in Visiondirect.com.au"/>
    <s v="New Feature"/>
    <x v="0"/>
    <d v="2015-11-30T16:29:00"/>
    <x v="8"/>
    <x v="0"/>
    <x v="10"/>
    <n v="0.5"/>
    <m/>
    <n v="147.9"/>
    <n v="26.100000000000005"/>
  </r>
  <r>
    <s v="SBG - Desktop"/>
    <x v="2"/>
    <s v="Bug"/>
    <s v="DESK-2240"/>
    <s v="Reactivate Prada"/>
    <s v="Bug"/>
    <x v="1"/>
    <d v="2015-10-27T09:40:00"/>
    <x v="5"/>
    <x v="0"/>
    <x v="11"/>
    <n v="4"/>
    <m/>
    <n v="127.5"/>
    <n v="22.500000000000004"/>
  </r>
  <r>
    <s v="SBG - Desktop"/>
    <x v="2"/>
    <s v="Bug"/>
    <s v="DESK-2240"/>
    <s v="Reactivate Prada"/>
    <s v="Bug"/>
    <x v="1"/>
    <d v="2015-10-27T14:11:00"/>
    <x v="5"/>
    <x v="0"/>
    <x v="11"/>
    <n v="4"/>
    <m/>
    <n v="127.5"/>
    <n v="22.500000000000004"/>
  </r>
  <r>
    <s v="SBG - Desktop"/>
    <x v="1"/>
    <s v="New Feature"/>
    <s v="DESK-2539"/>
    <s v="Delete 360 Video Function and XML Sitemaps"/>
    <s v="New Feature"/>
    <x v="0"/>
    <d v="2015-10-07T16:28:00"/>
    <x v="5"/>
    <x v="0"/>
    <x v="1"/>
    <n v="2"/>
    <m/>
    <n v="127.5"/>
    <n v="22.500000000000004"/>
  </r>
  <r>
    <s v="SBG - Desktop"/>
    <x v="1"/>
    <s v="New Feature"/>
    <s v="DESK-2539"/>
    <s v="Delete 360 Video Function and XML Sitemaps"/>
    <s v="New Feature"/>
    <x v="0"/>
    <d v="2015-10-08T16:51:00"/>
    <x v="5"/>
    <x v="0"/>
    <x v="1"/>
    <n v="2"/>
    <m/>
    <n v="127.5"/>
    <n v="22.500000000000004"/>
  </r>
  <r>
    <s v="SBG - Desktop"/>
    <x v="2"/>
    <s v="Task"/>
    <s v="DESK-2540"/>
    <s v="Webmaster Tools Verification - Secondary Lang Subdomains"/>
    <s v="Task"/>
    <x v="0"/>
    <d v="2015-10-26T10:44:00"/>
    <x v="5"/>
    <x v="0"/>
    <x v="18"/>
    <n v="4"/>
    <m/>
    <n v="127.5"/>
    <n v="22.500000000000004"/>
  </r>
  <r>
    <s v="SBG - Desktop"/>
    <x v="1"/>
    <s v="Task"/>
    <s v="DESK-2540"/>
    <s v="Webmaster Tools Verification - Secondary Lang Subdomains"/>
    <s v="Task"/>
    <x v="0"/>
    <d v="2015-10-29T15:21:00"/>
    <x v="5"/>
    <x v="0"/>
    <x v="1"/>
    <n v="3"/>
    <m/>
    <n v="127.5"/>
    <n v="22.500000000000004"/>
  </r>
  <r>
    <s v="SBG - Desktop"/>
    <x v="2"/>
    <s v="Sub-task"/>
    <s v="DESK-2548"/>
    <s v="DESK-2561&gt; [Referral] Add a GA campaign tracking code to a referal link"/>
    <s v="Sub-task"/>
    <x v="0"/>
    <d v="2015-10-06T10:28:00"/>
    <x v="5"/>
    <x v="0"/>
    <x v="10"/>
    <n v="8"/>
    <m/>
    <n v="127.5"/>
    <n v="22.500000000000004"/>
  </r>
  <r>
    <s v="SBG - Desktop"/>
    <x v="2"/>
    <s v="Sub-task"/>
    <s v="DESK-2548"/>
    <s v="DESK-2561&gt; [Referral] Add a GA campaign tracking code to a referal link"/>
    <s v="Sub-task"/>
    <x v="0"/>
    <d v="2015-10-14T14:30:00"/>
    <x v="5"/>
    <x v="0"/>
    <x v="10"/>
    <n v="4"/>
    <m/>
    <n v="127.5"/>
    <n v="22.500000000000004"/>
  </r>
  <r>
    <s v="SBG - Desktop"/>
    <x v="2"/>
    <s v="Sub-task"/>
    <s v="DESK-2548"/>
    <s v="DESK-2561&gt; [Referral] Add a GA campaign tracking code to a referal link"/>
    <s v="Sub-task"/>
    <x v="0"/>
    <d v="2015-10-30T17:54:00"/>
    <x v="5"/>
    <x v="0"/>
    <x v="10"/>
    <n v="2"/>
    <m/>
    <n v="127.5"/>
    <n v="22.500000000000004"/>
  </r>
  <r>
    <s v="SBG - Desktop"/>
    <x v="2"/>
    <s v="Sub-task"/>
    <s v="DESK-2548"/>
    <s v="DESK-2561&gt; [Referral] Add a GA campaign tracking code to a referal link"/>
    <s v="Sub-task"/>
    <x v="0"/>
    <d v="2015-11-11T16:57:00"/>
    <x v="8"/>
    <x v="0"/>
    <x v="10"/>
    <n v="3"/>
    <m/>
    <n v="147.9"/>
    <n v="26.100000000000005"/>
  </r>
  <r>
    <s v="SBG - Desktop"/>
    <x v="2"/>
    <s v="Sub-task"/>
    <s v="DESK-2548"/>
    <s v="DESK-2561&gt; [Referral] Add a GA campaign tracking code to a referal link"/>
    <s v="Sub-task"/>
    <x v="0"/>
    <d v="2015-11-13T11:10:00"/>
    <x v="8"/>
    <x v="0"/>
    <x v="9"/>
    <n v="0.5"/>
    <m/>
    <n v="147.9"/>
    <n v="26.100000000000005"/>
  </r>
  <r>
    <s v="SBG - Desktop"/>
    <x v="2"/>
    <s v="Sub-task"/>
    <s v="DESK-2548"/>
    <s v="DESK-2561&gt; [Referral] Add a GA campaign tracking code to a referal link"/>
    <s v="Sub-task"/>
    <x v="0"/>
    <d v="2015-11-13T18:10:00"/>
    <x v="8"/>
    <x v="0"/>
    <x v="10"/>
    <n v="2"/>
    <m/>
    <n v="147.9"/>
    <n v="26.100000000000005"/>
  </r>
  <r>
    <s v="SBG - Desktop"/>
    <x v="2"/>
    <s v="Sub-task"/>
    <s v="DESK-2548"/>
    <s v="DESK-2561&gt; [Referral] Add a GA campaign tracking code to a referal link"/>
    <s v="Sub-task"/>
    <x v="0"/>
    <d v="2015-11-24T16:34:00"/>
    <x v="8"/>
    <x v="0"/>
    <x v="10"/>
    <n v="2"/>
    <m/>
    <n v="147.9"/>
    <n v="26.100000000000005"/>
  </r>
  <r>
    <s v="SBG - Desktop"/>
    <x v="2"/>
    <s v="Improvement"/>
    <s v="DESK-2558"/>
    <s v="Transform Widget of Trustpilot to DB-based static HTML"/>
    <s v="Improvement"/>
    <x v="0"/>
    <d v="2015-10-08T17:27:00"/>
    <x v="5"/>
    <x v="0"/>
    <x v="10"/>
    <n v="3"/>
    <m/>
    <n v="127.5"/>
    <n v="22.500000000000004"/>
  </r>
  <r>
    <s v="SBG - Desktop"/>
    <x v="2"/>
    <s v="Improvement"/>
    <s v="DESK-2558"/>
    <s v="Transform Widget of Trustpilot to DB-based static HTML"/>
    <s v="Improvement"/>
    <x v="0"/>
    <d v="2015-10-09T17:43:00"/>
    <x v="5"/>
    <x v="0"/>
    <x v="10"/>
    <n v="4"/>
    <m/>
    <n v="127.5"/>
    <n v="22.500000000000004"/>
  </r>
  <r>
    <s v="SBG - Desktop"/>
    <x v="2"/>
    <s v="Improvement"/>
    <s v="DESK-2558"/>
    <s v="Transform Widget of Trustpilot to DB-based static HTML"/>
    <s v="Improvement"/>
    <x v="0"/>
    <d v="2015-10-12T17:14:00"/>
    <x v="5"/>
    <x v="0"/>
    <x v="10"/>
    <n v="3"/>
    <m/>
    <n v="127.5"/>
    <n v="22.500000000000004"/>
  </r>
  <r>
    <s v="SBG - Desktop"/>
    <x v="2"/>
    <s v="Improvement"/>
    <s v="DESK-2558"/>
    <s v="Transform Widget of Trustpilot to DB-based static HTML"/>
    <s v="Improvement"/>
    <x v="0"/>
    <d v="2015-10-13T15:29:00"/>
    <x v="5"/>
    <x v="0"/>
    <x v="10"/>
    <n v="3"/>
    <m/>
    <n v="127.5"/>
    <n v="22.500000000000004"/>
  </r>
  <r>
    <s v="SBG - Desktop"/>
    <x v="2"/>
    <s v="Improvement"/>
    <s v="DESK-2558"/>
    <s v="Transform Widget of Trustpilot to DB-based static HTML"/>
    <s v="Improvement"/>
    <x v="0"/>
    <d v="2015-10-14T17:59:00"/>
    <x v="5"/>
    <x v="0"/>
    <x v="10"/>
    <n v="2"/>
    <m/>
    <n v="127.5"/>
    <n v="22.500000000000004"/>
  </r>
  <r>
    <s v="SBG - Desktop"/>
    <x v="2"/>
    <s v="Improvement"/>
    <s v="DESK-2558"/>
    <s v="Transform Widget of Trustpilot to DB-based static HTML"/>
    <s v="Improvement"/>
    <x v="0"/>
    <d v="2015-10-16T16:44:00"/>
    <x v="5"/>
    <x v="0"/>
    <x v="10"/>
    <n v="3"/>
    <m/>
    <n v="127.5"/>
    <n v="22.500000000000004"/>
  </r>
  <r>
    <s v="SBG - Desktop"/>
    <x v="2"/>
    <s v="Improvement"/>
    <s v="DESK-2558"/>
    <s v="Transform Widget of Trustpilot to DB-based static HTML"/>
    <s v="Improvement"/>
    <x v="0"/>
    <d v="2015-10-22T10:06:00"/>
    <x v="5"/>
    <x v="0"/>
    <x v="10"/>
    <n v="5"/>
    <m/>
    <n v="127.5"/>
    <n v="22.500000000000004"/>
  </r>
  <r>
    <s v="SBG - Desktop"/>
    <x v="2"/>
    <s v="Task"/>
    <s v="DESK-2561"/>
    <s v="Referral Improvements"/>
    <s v="Task"/>
    <x v="0"/>
    <d v="2015-11-13T18:11:00"/>
    <x v="8"/>
    <x v="0"/>
    <x v="10"/>
    <n v="2"/>
    <m/>
    <n v="147.9"/>
    <n v="26.100000000000005"/>
  </r>
  <r>
    <s v="SBG - Desktop"/>
    <x v="2"/>
    <s v="Task"/>
    <s v="DESK-2561"/>
    <s v="Referral Improvements"/>
    <s v="Task"/>
    <x v="0"/>
    <d v="2015-11-16T09:25:00"/>
    <x v="8"/>
    <x v="0"/>
    <x v="10"/>
    <n v="2"/>
    <m/>
    <n v="147.9"/>
    <n v="26.100000000000005"/>
  </r>
  <r>
    <s v="SBG - Desktop"/>
    <x v="2"/>
    <s v="Task"/>
    <s v="DESK-2561"/>
    <s v="Referral Improvements"/>
    <s v="Task"/>
    <x v="0"/>
    <d v="2015-11-23T16:34:00"/>
    <x v="8"/>
    <x v="0"/>
    <x v="10"/>
    <n v="2"/>
    <m/>
    <n v="147.9"/>
    <n v="26.100000000000005"/>
  </r>
  <r>
    <s v="SBG - Desktop"/>
    <x v="0"/>
    <s v="New Feature"/>
    <s v="DESK-2565"/>
    <s v="UX issue - Mega menu &gt; Transitions"/>
    <s v="New Feature"/>
    <x v="0"/>
    <d v="2015-10-16T09:10:00"/>
    <x v="5"/>
    <x v="0"/>
    <x v="19"/>
    <n v="8"/>
    <m/>
    <n v="75"/>
    <n v="75"/>
  </r>
  <r>
    <s v="SBG - Desktop"/>
    <x v="0"/>
    <s v="New Feature"/>
    <s v="DESK-2565"/>
    <s v="UX issue - Mega menu &gt; Transitions"/>
    <s v="New Feature"/>
    <x v="0"/>
    <d v="2015-10-23T09:11:00"/>
    <x v="5"/>
    <x v="0"/>
    <x v="19"/>
    <n v="8"/>
    <m/>
    <n v="75"/>
    <n v="75"/>
  </r>
  <r>
    <s v="SBG - Desktop"/>
    <x v="0"/>
    <s v="New Feature"/>
    <s v="DESK-2565"/>
    <s v="UX issue - Mega menu &gt; Transitions"/>
    <s v="New Feature"/>
    <x v="0"/>
    <d v="2015-10-26T09:11:00"/>
    <x v="5"/>
    <x v="0"/>
    <x v="19"/>
    <n v="8"/>
    <m/>
    <n v="75"/>
    <n v="75"/>
  </r>
  <r>
    <s v="SBG - Desktop"/>
    <x v="0"/>
    <s v="New Feature"/>
    <s v="DESK-2565"/>
    <s v="UX issue - Mega menu &gt; Transitions"/>
    <s v="New Feature"/>
    <x v="0"/>
    <d v="2015-10-27T14:51:00"/>
    <x v="5"/>
    <x v="0"/>
    <x v="19"/>
    <n v="8"/>
    <m/>
    <n v="75"/>
    <n v="75"/>
  </r>
  <r>
    <s v="SBG - Desktop"/>
    <x v="1"/>
    <s v="New Feature"/>
    <s v="DESK-2566"/>
    <s v="UX issue - Home page &gt; Contact lenses banner (close button)"/>
    <s v="New Feature"/>
    <x v="0"/>
    <d v="2015-10-05T08:01:00"/>
    <x v="5"/>
    <x v="0"/>
    <x v="23"/>
    <n v="8"/>
    <m/>
    <n v="127.5"/>
    <n v="22.500000000000004"/>
  </r>
  <r>
    <s v="SBG - Desktop"/>
    <x v="1"/>
    <s v="New Feature"/>
    <s v="DESK-2566"/>
    <s v="UX issue - Home page &gt; Contact lenses banner (close button)"/>
    <s v="New Feature"/>
    <x v="0"/>
    <d v="2015-10-12T08:00:00"/>
    <x v="5"/>
    <x v="0"/>
    <x v="23"/>
    <n v="8"/>
    <m/>
    <n v="127.5"/>
    <n v="22.500000000000004"/>
  </r>
  <r>
    <s v="SBG - Desktop"/>
    <x v="0"/>
    <s v="New Feature"/>
    <s v="DESK-2566"/>
    <s v="UX issue - Home page &gt; Contact lenses banner (close button)"/>
    <s v="New Feature"/>
    <x v="0"/>
    <d v="2015-10-13T12:24:00"/>
    <x v="5"/>
    <x v="0"/>
    <x v="19"/>
    <n v="0.5"/>
    <m/>
    <n v="75"/>
    <n v="75"/>
  </r>
  <r>
    <s v="SBG - Desktop"/>
    <x v="1"/>
    <s v="New Feature"/>
    <s v="DESK-2566"/>
    <s v="UX issue - Home page &gt; Contact lenses banner (close button)"/>
    <s v="New Feature"/>
    <x v="0"/>
    <d v="2015-10-16T14:01:00"/>
    <x v="5"/>
    <x v="0"/>
    <x v="23"/>
    <n v="2"/>
    <m/>
    <n v="127.5"/>
    <n v="22.500000000000004"/>
  </r>
  <r>
    <s v="SBG - Desktop"/>
    <x v="1"/>
    <s v="New Feature"/>
    <s v="DESK-2566"/>
    <s v="UX issue - Home page &gt; Contact lenses banner (close button)"/>
    <s v="New Feature"/>
    <x v="0"/>
    <d v="2015-10-19T07:59:00"/>
    <x v="5"/>
    <x v="0"/>
    <x v="23"/>
    <n v="8"/>
    <m/>
    <n v="127.5"/>
    <n v="22.500000000000004"/>
  </r>
  <r>
    <s v="SBG - Desktop"/>
    <x v="0"/>
    <s v="New Feature"/>
    <s v="DESK-2566"/>
    <s v="UX issue - Home page &gt; Contact lenses banner (close button)"/>
    <s v="New Feature"/>
    <x v="0"/>
    <d v="2015-10-19T10:11:00"/>
    <x v="5"/>
    <x v="0"/>
    <x v="19"/>
    <n v="7"/>
    <m/>
    <n v="75"/>
    <n v="75"/>
  </r>
  <r>
    <s v="SBG - Desktop"/>
    <x v="1"/>
    <s v="New Feature"/>
    <s v="DESK-2566"/>
    <s v="UX issue - Home page &gt; Contact lenses banner (close button)"/>
    <s v="New Feature"/>
    <x v="0"/>
    <d v="2015-10-23T14:00:00"/>
    <x v="5"/>
    <x v="0"/>
    <x v="23"/>
    <n v="2"/>
    <m/>
    <n v="127.5"/>
    <n v="22.500000000000004"/>
  </r>
  <r>
    <s v="SBG - Desktop"/>
    <x v="1"/>
    <s v="New Feature"/>
    <s v="DESK-2566"/>
    <s v="UX issue - Home page &gt; Contact lenses banner (close button)"/>
    <s v="New Feature"/>
    <x v="0"/>
    <d v="2015-10-26T07:43:00"/>
    <x v="5"/>
    <x v="0"/>
    <x v="23"/>
    <n v="8"/>
    <m/>
    <n v="127.5"/>
    <n v="22.500000000000004"/>
  </r>
  <r>
    <s v="SBG - Desktop"/>
    <x v="1"/>
    <s v="New Feature"/>
    <s v="DESK-2566"/>
    <s v="UX issue - Home page &gt; Contact lenses banner (close button)"/>
    <s v="New Feature"/>
    <x v="0"/>
    <d v="2015-11-04T13:45:00"/>
    <x v="8"/>
    <x v="0"/>
    <x v="23"/>
    <n v="2"/>
    <m/>
    <n v="147.9"/>
    <n v="26.100000000000005"/>
  </r>
  <r>
    <s v="SBG - Desktop"/>
    <x v="1"/>
    <s v="New Feature"/>
    <s v="DESK-2566"/>
    <s v="UX issue - Home page &gt; Contact lenses banner (close button)"/>
    <s v="New Feature"/>
    <x v="0"/>
    <d v="2015-11-12T11:46:00"/>
    <x v="8"/>
    <x v="0"/>
    <x v="23"/>
    <n v="4"/>
    <m/>
    <n v="147.9"/>
    <n v="26.100000000000005"/>
  </r>
  <r>
    <s v="SBG - Desktop"/>
    <x v="1"/>
    <s v="New Feature"/>
    <s v="DESK-2566"/>
    <s v="UX issue - Home page &gt; Contact lenses banner (close button)"/>
    <s v="New Feature"/>
    <x v="0"/>
    <d v="2015-11-20T11:48:00"/>
    <x v="8"/>
    <x v="0"/>
    <x v="23"/>
    <n v="4"/>
    <m/>
    <n v="147.9"/>
    <n v="26.100000000000005"/>
  </r>
  <r>
    <s v="SBG - Desktop"/>
    <x v="1"/>
    <s v="New Feature"/>
    <s v="DESK-2566"/>
    <s v="UX issue - Home page &gt; Contact lenses banner (close button)"/>
    <s v="New Feature"/>
    <x v="0"/>
    <d v="2015-11-23T07:48:00"/>
    <x v="8"/>
    <x v="0"/>
    <x v="23"/>
    <n v="8"/>
    <m/>
    <n v="147.9"/>
    <n v="26.100000000000005"/>
  </r>
  <r>
    <s v="SBG - Desktop"/>
    <x v="0"/>
    <s v="New Feature"/>
    <s v="DESK-2568"/>
    <s v="UX issue - Header &gt; Modal windows (links)"/>
    <s v="New Feature"/>
    <x v="0"/>
    <d v="2015-10-13T15:12:00"/>
    <x v="5"/>
    <x v="0"/>
    <x v="19"/>
    <n v="0.5"/>
    <m/>
    <n v="75"/>
    <n v="75"/>
  </r>
  <r>
    <s v="SBG - Desktop"/>
    <x v="0"/>
    <s v="New Feature"/>
    <s v="DESK-2569"/>
    <s v="UX issue - Header &gt; Shopping Cart / Favorites Dropdown"/>
    <s v="New Feature"/>
    <x v="0"/>
    <d v="2015-10-13T11:36:00"/>
    <x v="5"/>
    <x v="0"/>
    <x v="19"/>
    <n v="0.5"/>
    <m/>
    <n v="75"/>
    <n v="75"/>
  </r>
  <r>
    <s v="SBG - Desktop"/>
    <x v="0"/>
    <s v="Improvement"/>
    <s v="DESK-2570"/>
    <s v="UX Grid page &gt; Update to SEARCH style for filter"/>
    <s v="Improvement"/>
    <x v="0"/>
    <d v="2015-10-20T16:49:00"/>
    <x v="5"/>
    <x v="0"/>
    <x v="19"/>
    <n v="8"/>
    <m/>
    <n v="75"/>
    <n v="75"/>
  </r>
  <r>
    <s v="SBG - Desktop"/>
    <x v="0"/>
    <s v="Improvement"/>
    <s v="DESK-2570"/>
    <s v="UX Grid page &gt; Update to SEARCH style for filter"/>
    <s v="Improvement"/>
    <x v="0"/>
    <d v="2015-10-21T16:08:00"/>
    <x v="5"/>
    <x v="0"/>
    <x v="19"/>
    <n v="8"/>
    <m/>
    <n v="75"/>
    <n v="75"/>
  </r>
  <r>
    <s v="SBG - Desktop"/>
    <x v="0"/>
    <s v="Improvement"/>
    <s v="DESK-2570"/>
    <s v="UX Grid page &gt; Update to SEARCH style for filter"/>
    <s v="Improvement"/>
    <x v="0"/>
    <d v="2015-10-22T16:33:00"/>
    <x v="5"/>
    <x v="0"/>
    <x v="19"/>
    <n v="8"/>
    <m/>
    <n v="75"/>
    <n v="75"/>
  </r>
  <r>
    <s v="SBG - Desktop"/>
    <x v="0"/>
    <s v="New Feature"/>
    <s v="DESK-2596"/>
    <s v="Konbini payment method"/>
    <s v="New Feature"/>
    <x v="0"/>
    <d v="2015-10-23T11:32:00"/>
    <x v="5"/>
    <x v="0"/>
    <x v="7"/>
    <n v="1"/>
    <m/>
    <n v="75"/>
    <n v="75"/>
  </r>
  <r>
    <s v="SBG - Desktop"/>
    <x v="0"/>
    <s v="New Feature"/>
    <s v="DESK-2597"/>
    <s v="Nordea Finland new payment method (GC)"/>
    <s v="New Feature"/>
    <x v="0"/>
    <d v="2015-10-23T11:32:00"/>
    <x v="5"/>
    <x v="0"/>
    <x v="7"/>
    <n v="0.5"/>
    <m/>
    <n v="75"/>
    <n v="75"/>
  </r>
  <r>
    <s v="SBG - Desktop"/>
    <x v="4"/>
    <s v="New Feature"/>
    <s v="DESK-2605"/>
    <s v="Marketing CMS Solution Pimcore"/>
    <s v="New Feature"/>
    <x v="0"/>
    <d v="2015-10-02T11:43:00"/>
    <x v="5"/>
    <x v="0"/>
    <x v="13"/>
    <n v="4"/>
    <m/>
    <n v="127.5"/>
    <n v="22.500000000000004"/>
  </r>
  <r>
    <s v="SBG - Desktop"/>
    <x v="4"/>
    <s v="New Feature"/>
    <s v="DESK-2605"/>
    <s v="Marketing CMS Solution Pimcore"/>
    <s v="New Feature"/>
    <x v="0"/>
    <d v="2015-10-12T10:22:00"/>
    <x v="5"/>
    <x v="0"/>
    <x v="13"/>
    <n v="5"/>
    <m/>
    <n v="127.5"/>
    <n v="22.500000000000004"/>
  </r>
  <r>
    <s v="SBG - Desktop"/>
    <x v="4"/>
    <s v="New Feature"/>
    <s v="DESK-2605"/>
    <s v="Marketing CMS Solution Pimcore"/>
    <s v="New Feature"/>
    <x v="0"/>
    <d v="2015-10-13T10:23:00"/>
    <x v="5"/>
    <x v="0"/>
    <x v="13"/>
    <n v="5"/>
    <m/>
    <n v="127.5"/>
    <n v="22.500000000000004"/>
  </r>
  <r>
    <s v="SBG - Desktop"/>
    <x v="4"/>
    <s v="New Feature"/>
    <s v="DESK-2605"/>
    <s v="Marketing CMS Solution Pimcore"/>
    <s v="New Feature"/>
    <x v="0"/>
    <d v="2015-10-14T11:23:00"/>
    <x v="5"/>
    <x v="0"/>
    <x v="13"/>
    <n v="5"/>
    <m/>
    <n v="127.5"/>
    <n v="22.500000000000004"/>
  </r>
  <r>
    <s v="SBG - Desktop"/>
    <x v="2"/>
    <s v="New Feature"/>
    <s v="DESK-2605"/>
    <s v="Marketing CMS Solution Pimcore"/>
    <s v="New Feature"/>
    <x v="0"/>
    <d v="2015-10-14T18:27:00"/>
    <x v="5"/>
    <x v="0"/>
    <x v="2"/>
    <n v="8"/>
    <m/>
    <n v="127.5"/>
    <n v="22.500000000000004"/>
  </r>
  <r>
    <s v="SBG - Desktop"/>
    <x v="4"/>
    <s v="New Feature"/>
    <s v="DESK-2605"/>
    <s v="Marketing CMS Solution Pimcore"/>
    <s v="New Feature"/>
    <x v="0"/>
    <d v="2015-10-15T11:24:00"/>
    <x v="5"/>
    <x v="0"/>
    <x v="13"/>
    <n v="5"/>
    <m/>
    <n v="127.5"/>
    <n v="22.500000000000004"/>
  </r>
  <r>
    <s v="SBG - Desktop"/>
    <x v="2"/>
    <s v="New Feature"/>
    <s v="DESK-2605"/>
    <s v="Marketing CMS Solution Pimcore"/>
    <s v="New Feature"/>
    <x v="0"/>
    <d v="2015-10-15T18:27:00"/>
    <x v="5"/>
    <x v="0"/>
    <x v="2"/>
    <n v="8"/>
    <m/>
    <n v="127.5"/>
    <n v="22.500000000000004"/>
  </r>
  <r>
    <s v="SBG - Desktop"/>
    <x v="2"/>
    <s v="New Feature"/>
    <s v="DESK-2605"/>
    <s v="Marketing CMS Solution Pimcore"/>
    <s v="New Feature"/>
    <x v="0"/>
    <d v="2015-10-16T12:56:00"/>
    <x v="5"/>
    <x v="0"/>
    <x v="2"/>
    <n v="8"/>
    <m/>
    <n v="127.5"/>
    <n v="22.500000000000004"/>
  </r>
  <r>
    <s v="SBG - Desktop"/>
    <x v="4"/>
    <s v="New Feature"/>
    <s v="DESK-2605"/>
    <s v="Marketing CMS Solution Pimcore"/>
    <s v="New Feature"/>
    <x v="0"/>
    <d v="2015-10-19T15:39:00"/>
    <x v="5"/>
    <x v="0"/>
    <x v="13"/>
    <n v="3"/>
    <m/>
    <n v="127.5"/>
    <n v="22.500000000000004"/>
  </r>
  <r>
    <s v="SBG - Desktop"/>
    <x v="4"/>
    <s v="New Feature"/>
    <s v="DESK-2605"/>
    <s v="Marketing CMS Solution Pimcore"/>
    <s v="New Feature"/>
    <x v="0"/>
    <d v="2015-10-23T15:40:00"/>
    <x v="5"/>
    <x v="0"/>
    <x v="13"/>
    <n v="3"/>
    <m/>
    <n v="127.5"/>
    <n v="22.500000000000004"/>
  </r>
  <r>
    <s v="SBG - Desktop"/>
    <x v="4"/>
    <s v="New Feature"/>
    <s v="DESK-2605"/>
    <s v="Marketing CMS Solution Pimcore"/>
    <s v="New Feature"/>
    <x v="0"/>
    <d v="2015-11-23T16:42:00"/>
    <x v="8"/>
    <x v="0"/>
    <x v="13"/>
    <n v="5"/>
    <m/>
    <n v="147.9"/>
    <n v="26.100000000000005"/>
  </r>
  <r>
    <s v="SBG - Desktop"/>
    <x v="4"/>
    <s v="New Feature"/>
    <s v="DESK-2605"/>
    <s v="Marketing CMS Solution Pimcore"/>
    <s v="New Feature"/>
    <x v="0"/>
    <d v="2015-11-24T16:42:00"/>
    <x v="8"/>
    <x v="0"/>
    <x v="13"/>
    <n v="5"/>
    <m/>
    <n v="147.9"/>
    <n v="26.100000000000005"/>
  </r>
  <r>
    <s v="SBG - Desktop"/>
    <x v="4"/>
    <s v="New Feature"/>
    <s v="DESK-2605"/>
    <s v="Marketing CMS Solution Pimcore"/>
    <s v="New Feature"/>
    <x v="0"/>
    <d v="2015-11-25T16:42:00"/>
    <x v="8"/>
    <x v="0"/>
    <x v="13"/>
    <n v="5"/>
    <m/>
    <n v="147.9"/>
    <n v="26.100000000000005"/>
  </r>
  <r>
    <s v="SBG - Desktop"/>
    <x v="4"/>
    <s v="New Feature"/>
    <s v="DESK-2605"/>
    <s v="Marketing CMS Solution Pimcore"/>
    <s v="New Feature"/>
    <x v="0"/>
    <d v="2015-11-25T16:42:00"/>
    <x v="8"/>
    <x v="0"/>
    <x v="13"/>
    <n v="5"/>
    <m/>
    <n v="147.9"/>
    <n v="26.100000000000005"/>
  </r>
  <r>
    <s v="SBG - Desktop"/>
    <x v="4"/>
    <s v="New Feature"/>
    <s v="DESK-2605"/>
    <s v="Marketing CMS Solution Pimcore"/>
    <s v="New Feature"/>
    <x v="0"/>
    <d v="2015-11-26T16:42:00"/>
    <x v="8"/>
    <x v="0"/>
    <x v="13"/>
    <n v="5"/>
    <m/>
    <n v="147.9"/>
    <n v="26.100000000000005"/>
  </r>
  <r>
    <s v="SBG - Desktop"/>
    <x v="2"/>
    <s v="Sub-task"/>
    <s v="DESK-2607"/>
    <s v="DESK-2610&gt; RX process - update ADD values"/>
    <s v="Sub-task"/>
    <x v="0"/>
    <d v="2015-10-07T11:41:00"/>
    <x v="5"/>
    <x v="0"/>
    <x v="18"/>
    <n v="4"/>
    <m/>
    <n v="127.5"/>
    <n v="22.500000000000004"/>
  </r>
  <r>
    <s v="SBG - Desktop"/>
    <x v="2"/>
    <s v="Sub-task"/>
    <s v="DESK-2609"/>
    <s v="DESK-2610&gt; SPH dropdown values range on RX process"/>
    <s v="Sub-task"/>
    <x v="0"/>
    <d v="2015-10-20T12:01:00"/>
    <x v="5"/>
    <x v="0"/>
    <x v="18"/>
    <n v="7"/>
    <m/>
    <n v="127.5"/>
    <n v="22.500000000000004"/>
  </r>
  <r>
    <s v="SBG - Desktop"/>
    <x v="2"/>
    <s v="Sub-task"/>
    <s v="DESK-2609"/>
    <s v="DESK-2610&gt; SPH dropdown values range on RX process"/>
    <s v="Sub-task"/>
    <x v="0"/>
    <d v="2015-10-28T16:31:00"/>
    <x v="5"/>
    <x v="0"/>
    <x v="18"/>
    <n v="4"/>
    <m/>
    <n v="127.5"/>
    <n v="22.500000000000004"/>
  </r>
  <r>
    <s v="SBG - Desktop"/>
    <x v="2"/>
    <s v="Sub-task"/>
    <s v="DESK-2611"/>
    <s v="DESK-2610&gt; Cylinder power should be up to + / - 6.00"/>
    <s v="Sub-task"/>
    <x v="0"/>
    <d v="2015-10-07T11:41:00"/>
    <x v="5"/>
    <x v="0"/>
    <x v="18"/>
    <n v="4"/>
    <m/>
    <n v="127.5"/>
    <n v="22.500000000000004"/>
  </r>
  <r>
    <s v="SBG - Desktop"/>
    <x v="2"/>
    <s v="Sub-task"/>
    <s v="DESK-2611"/>
    <s v="DESK-2610&gt; Cylinder power should be up to + / - 6.00"/>
    <s v="Sub-task"/>
    <x v="0"/>
    <d v="2015-10-16T11:01:00"/>
    <x v="5"/>
    <x v="0"/>
    <x v="18"/>
    <n v="8"/>
    <m/>
    <n v="127.5"/>
    <n v="22.500000000000004"/>
  </r>
  <r>
    <s v="SBG - Desktop"/>
    <x v="2"/>
    <s v="Sub-task"/>
    <s v="DESK-2612"/>
    <s v="DESK-2610&gt; Semi-rimless and Rimless cannot be processed with polarized lenses"/>
    <s v="Sub-task"/>
    <x v="0"/>
    <d v="2015-10-13T11:01:00"/>
    <x v="5"/>
    <x v="0"/>
    <x v="18"/>
    <n v="8"/>
    <m/>
    <n v="127.5"/>
    <n v="22.500000000000004"/>
  </r>
  <r>
    <s v="SBG - Desktop"/>
    <x v="2"/>
    <s v="Sub-task"/>
    <s v="DESK-2612"/>
    <s v="DESK-2610&gt; Semi-rimless and Rimless cannot be processed with polarized lenses"/>
    <s v="Sub-task"/>
    <x v="0"/>
    <d v="2015-10-21T11:04:00"/>
    <x v="5"/>
    <x v="0"/>
    <x v="18"/>
    <n v="8"/>
    <m/>
    <n v="127.5"/>
    <n v="22.500000000000004"/>
  </r>
  <r>
    <s v="SBG - Desktop"/>
    <x v="2"/>
    <s v="Sub-task"/>
    <s v="DESK-2614"/>
    <s v="DESK-2610&gt; Gradient tint on RX lenses only available when lens dept is 28mm or more"/>
    <s v="Sub-task"/>
    <x v="0"/>
    <d v="2015-10-12T14:01:00"/>
    <x v="5"/>
    <x v="0"/>
    <x v="18"/>
    <n v="5"/>
    <m/>
    <n v="127.5"/>
    <n v="22.500000000000004"/>
  </r>
  <r>
    <s v="SBG - Desktop"/>
    <x v="2"/>
    <s v="Sub-task"/>
    <s v="DESK-2614"/>
    <s v="DESK-2610&gt; Gradient tint on RX lenses only available when lens dept is 28mm or more"/>
    <s v="Sub-task"/>
    <x v="0"/>
    <d v="2015-10-27T12:54:00"/>
    <x v="5"/>
    <x v="0"/>
    <x v="18"/>
    <n v="8"/>
    <m/>
    <n v="127.5"/>
    <n v="22.500000000000004"/>
  </r>
  <r>
    <s v="SBG - Desktop"/>
    <x v="2"/>
    <s v="Bug"/>
    <s v="DESK-2618"/>
    <s v="Special Characters Issue in URL"/>
    <s v="Bug"/>
    <x v="1"/>
    <d v="2015-11-11T11:41:00"/>
    <x v="8"/>
    <x v="0"/>
    <x v="11"/>
    <n v="2"/>
    <m/>
    <n v="147.9"/>
    <n v="26.100000000000005"/>
  </r>
  <r>
    <s v="SBG - Desktop"/>
    <x v="2"/>
    <s v="Sub-task"/>
    <s v="DESK-2619"/>
    <s v="DESK-2610&gt; AX Range"/>
    <s v="Sub-task"/>
    <x v="0"/>
    <d v="2015-10-08T11:00:00"/>
    <x v="5"/>
    <x v="0"/>
    <x v="18"/>
    <n v="8"/>
    <m/>
    <n v="127.5"/>
    <n v="22.500000000000004"/>
  </r>
  <r>
    <s v="SBG - Desktop"/>
    <x v="2"/>
    <s v="Sub-task"/>
    <s v="DESK-2619"/>
    <s v="DESK-2610&gt; AX Range"/>
    <s v="Sub-task"/>
    <x v="0"/>
    <d v="2015-10-28T16:26:00"/>
    <x v="5"/>
    <x v="0"/>
    <x v="18"/>
    <n v="4"/>
    <m/>
    <n v="127.5"/>
    <n v="22.500000000000004"/>
  </r>
  <r>
    <s v="SBG - Desktop"/>
    <x v="1"/>
    <s v="Technical task"/>
    <s v="DESK-2661"/>
    <s v="DESK-2638&gt; thank you page content should be placed in center"/>
    <s v="Technical task"/>
    <x v="0"/>
    <d v="2015-11-06T16:04:00"/>
    <x v="8"/>
    <x v="0"/>
    <x v="8"/>
    <n v="0.5"/>
    <m/>
    <n v="147.9"/>
    <n v="26.100000000000005"/>
  </r>
  <r>
    <s v="SBG - Desktop"/>
    <x v="2"/>
    <s v="Technical task"/>
    <s v="DESK-2663"/>
    <s v="DESK-2638&gt; some brands/products images which don't have default pictures cannot display"/>
    <s v="Technical task"/>
    <x v="0"/>
    <d v="2015-11-06T15:43:00"/>
    <x v="8"/>
    <x v="0"/>
    <x v="2"/>
    <n v="2"/>
    <m/>
    <n v="147.9"/>
    <n v="26.100000000000005"/>
  </r>
  <r>
    <s v="SBG - Desktop"/>
    <x v="2"/>
    <s v="Technical task"/>
    <s v="DESK-2663"/>
    <s v="DESK-2638&gt; some brands/products images which don't have default pictures cannot display"/>
    <s v="Technical task"/>
    <x v="0"/>
    <d v="2015-11-11T15:02:00"/>
    <x v="8"/>
    <x v="0"/>
    <x v="2"/>
    <n v="3"/>
    <m/>
    <n v="147.9"/>
    <n v="26.100000000000005"/>
  </r>
  <r>
    <s v="SBG - Desktop"/>
    <x v="2"/>
    <s v="Technical task"/>
    <s v="DESK-2663"/>
    <s v="DESK-2638&gt; some brands/products images which don't have default pictures cannot display"/>
    <s v="Technical task"/>
    <x v="0"/>
    <d v="2015-11-12T15:02:00"/>
    <x v="8"/>
    <x v="0"/>
    <x v="2"/>
    <n v="1"/>
    <m/>
    <n v="147.9"/>
    <n v="26.100000000000005"/>
  </r>
  <r>
    <s v="SBG - Desktop"/>
    <x v="2"/>
    <s v="Technical task"/>
    <s v="DESK-2663"/>
    <s v="DESK-2638&gt; some brands/products images which don't have default pictures cannot display"/>
    <s v="Technical task"/>
    <x v="0"/>
    <d v="2015-11-13T15:03:00"/>
    <x v="8"/>
    <x v="0"/>
    <x v="2"/>
    <n v="4"/>
    <m/>
    <n v="147.9"/>
    <n v="26.100000000000005"/>
  </r>
  <r>
    <s v="SBG - Desktop"/>
    <x v="2"/>
    <s v="Bug"/>
    <s v="DESK-2679"/>
    <s v="3D try-on cannot work"/>
    <s v="Bug"/>
    <x v="1"/>
    <d v="2015-10-09T12:14:00"/>
    <x v="5"/>
    <x v="0"/>
    <x v="2"/>
    <n v="8"/>
    <m/>
    <n v="127.5"/>
    <n v="22.500000000000004"/>
  </r>
  <r>
    <s v="SBG - Desktop"/>
    <x v="1"/>
    <s v="Bug"/>
    <s v="DESK-2679"/>
    <s v="3D try-on cannot work"/>
    <s v="Bug"/>
    <x v="1"/>
    <d v="2015-10-14T18:24:00"/>
    <x v="5"/>
    <x v="0"/>
    <x v="8"/>
    <n v="2.5"/>
    <m/>
    <n v="127.5"/>
    <n v="22.500000000000004"/>
  </r>
  <r>
    <s v="SBG - Desktop"/>
    <x v="1"/>
    <s v="Bug"/>
    <s v="DESK-2679"/>
    <s v="3D try-on cannot work"/>
    <s v="Bug"/>
    <x v="1"/>
    <d v="2015-10-15T14:29:00"/>
    <x v="5"/>
    <x v="0"/>
    <x v="8"/>
    <n v="1"/>
    <m/>
    <n v="127.5"/>
    <n v="22.500000000000004"/>
  </r>
  <r>
    <s v="SBG - Desktop"/>
    <x v="1"/>
    <s v="Technical task"/>
    <s v="DESK-2698"/>
    <s v="DESK-2638&gt; grid page product pix not shown"/>
    <s v="Technical task"/>
    <x v="0"/>
    <d v="2015-11-06T10:20:00"/>
    <x v="8"/>
    <x v="0"/>
    <x v="8"/>
    <n v="1"/>
    <m/>
    <n v="147.9"/>
    <n v="26.100000000000005"/>
  </r>
  <r>
    <s v="SBG - Desktop"/>
    <x v="0"/>
    <s v="Improvement"/>
    <s v="DESK-2756"/>
    <s v="Address Line field char limitation for Shipping Address / Billing Address forms"/>
    <s v="Improvement"/>
    <x v="0"/>
    <d v="2015-10-07T16:17:00"/>
    <x v="5"/>
    <x v="0"/>
    <x v="19"/>
    <n v="2"/>
    <m/>
    <n v="75"/>
    <n v="75"/>
  </r>
  <r>
    <s v="SBG - Desktop"/>
    <x v="1"/>
    <s v="Improvement"/>
    <s v="DESK-2756"/>
    <s v="Address Line field char limitation for Shipping Address / Billing Address forms"/>
    <s v="Improvement"/>
    <x v="0"/>
    <d v="2015-10-07T16:28:00"/>
    <x v="5"/>
    <x v="0"/>
    <x v="1"/>
    <n v="1"/>
    <m/>
    <n v="127.5"/>
    <n v="22.500000000000004"/>
  </r>
  <r>
    <s v="SBG - Desktop"/>
    <x v="1"/>
    <s v="Task"/>
    <s v="DESK-2767"/>
    <s v="Update shipping time to 3-4 weeks"/>
    <s v="Task"/>
    <x v="0"/>
    <d v="2015-10-15T14:29:00"/>
    <x v="5"/>
    <x v="0"/>
    <x v="8"/>
    <n v="1"/>
    <m/>
    <n v="127.5"/>
    <n v="22.500000000000004"/>
  </r>
  <r>
    <s v="SBG - Desktop"/>
    <x v="4"/>
    <s v="Technical task"/>
    <s v="DESK-2769"/>
    <s v="DESK-2787&gt; HK/Singapore address form improvement"/>
    <s v="Technical task"/>
    <x v="0"/>
    <d v="2015-10-01T09:07:00"/>
    <x v="5"/>
    <x v="0"/>
    <x v="13"/>
    <n v="2"/>
    <m/>
    <n v="127.5"/>
    <n v="22.500000000000004"/>
  </r>
  <r>
    <s v="SBG - Desktop"/>
    <x v="2"/>
    <s v="Technical task"/>
    <s v="DESK-2769"/>
    <s v="DESK-2787&gt; HK/Singapore address form improvement"/>
    <s v="Technical task"/>
    <x v="0"/>
    <d v="2015-10-08T16:30:00"/>
    <x v="5"/>
    <x v="0"/>
    <x v="11"/>
    <n v="1"/>
    <m/>
    <n v="127.5"/>
    <n v="22.500000000000004"/>
  </r>
  <r>
    <s v="SBG - Desktop"/>
    <x v="2"/>
    <s v="Technical task"/>
    <s v="DESK-2769"/>
    <s v="DESK-2787&gt; HK/Singapore address form improvement"/>
    <s v="Technical task"/>
    <x v="0"/>
    <d v="2015-10-09T09:30:00"/>
    <x v="5"/>
    <x v="0"/>
    <x v="11"/>
    <n v="3.5"/>
    <m/>
    <n v="127.5"/>
    <n v="22.500000000000004"/>
  </r>
  <r>
    <s v="SBG - Desktop"/>
    <x v="2"/>
    <s v="Technical task"/>
    <s v="DESK-2769"/>
    <s v="DESK-2787&gt; HK/Singapore address form improvement"/>
    <s v="Technical task"/>
    <x v="0"/>
    <d v="2015-10-09T14:00:00"/>
    <x v="5"/>
    <x v="0"/>
    <x v="11"/>
    <n v="4"/>
    <m/>
    <n v="127.5"/>
    <n v="22.500000000000004"/>
  </r>
  <r>
    <s v="SBG - Desktop"/>
    <x v="1"/>
    <s v="Technical task"/>
    <s v="DESK-2769"/>
    <s v="DESK-2787&gt; HK/Singapore address form improvement"/>
    <s v="Technical task"/>
    <x v="0"/>
    <d v="2015-10-12T18:41:00"/>
    <x v="5"/>
    <x v="0"/>
    <x v="8"/>
    <n v="1"/>
    <m/>
    <n v="127.5"/>
    <n v="22.500000000000004"/>
  </r>
  <r>
    <s v="SBG - Desktop"/>
    <x v="2"/>
    <s v="Technical task"/>
    <s v="DESK-2769"/>
    <s v="DESK-2787&gt; HK/Singapore address form improvement"/>
    <s v="Technical task"/>
    <x v="0"/>
    <d v="2015-10-13T09:33:00"/>
    <x v="5"/>
    <x v="0"/>
    <x v="11"/>
    <n v="3"/>
    <m/>
    <n v="127.5"/>
    <n v="22.500000000000004"/>
  </r>
  <r>
    <s v="SBG - Desktop"/>
    <x v="2"/>
    <s v="Technical task"/>
    <s v="DESK-2769"/>
    <s v="DESK-2787&gt; HK/Singapore address form improvement"/>
    <s v="Technical task"/>
    <x v="0"/>
    <d v="2015-10-13T14:00:00"/>
    <x v="5"/>
    <x v="0"/>
    <x v="11"/>
    <n v="2"/>
    <m/>
    <n v="127.5"/>
    <n v="22.500000000000004"/>
  </r>
  <r>
    <s v="SBG - Desktop"/>
    <x v="1"/>
    <s v="Technical task"/>
    <s v="DESK-2769"/>
    <s v="DESK-2787&gt; HK/Singapore address form improvement"/>
    <s v="Technical task"/>
    <x v="0"/>
    <d v="2015-10-13T18:41:00"/>
    <x v="5"/>
    <x v="0"/>
    <x v="8"/>
    <n v="6"/>
    <m/>
    <n v="127.5"/>
    <n v="22.500000000000004"/>
  </r>
  <r>
    <s v="SBG - Desktop"/>
    <x v="1"/>
    <s v="Technical task"/>
    <s v="DESK-2769"/>
    <s v="DESK-2787&gt; HK/Singapore address form improvement"/>
    <s v="Technical task"/>
    <x v="0"/>
    <d v="2015-10-14T18:21:00"/>
    <x v="5"/>
    <x v="0"/>
    <x v="8"/>
    <n v="1"/>
    <m/>
    <n v="127.5"/>
    <n v="22.500000000000004"/>
  </r>
  <r>
    <s v="SBG - Desktop"/>
    <x v="2"/>
    <s v="Technical task"/>
    <s v="DESK-2769"/>
    <s v="DESK-2787&gt; HK/Singapore address form improvement"/>
    <s v="Technical task"/>
    <x v="0"/>
    <d v="2015-10-15T14:00:00"/>
    <x v="5"/>
    <x v="0"/>
    <x v="11"/>
    <n v="5"/>
    <m/>
    <n v="127.5"/>
    <n v="22.500000000000004"/>
  </r>
  <r>
    <s v="SBG - Desktop"/>
    <x v="2"/>
    <s v="Technical task"/>
    <s v="DESK-2769"/>
    <s v="DESK-2787&gt; HK/Singapore address form improvement"/>
    <s v="Technical task"/>
    <x v="0"/>
    <d v="2015-10-16T21:30:00"/>
    <x v="5"/>
    <x v="0"/>
    <x v="11"/>
    <n v="4"/>
    <m/>
    <n v="127.5"/>
    <n v="22.500000000000004"/>
  </r>
  <r>
    <s v="SBG - Desktop"/>
    <x v="1"/>
    <s v="Technical task"/>
    <s v="DESK-2769"/>
    <s v="DESK-2787&gt; HK/Singapore address form improvement"/>
    <s v="Technical task"/>
    <x v="0"/>
    <d v="2015-10-21T18:44:00"/>
    <x v="5"/>
    <x v="0"/>
    <x v="8"/>
    <n v="1.5"/>
    <m/>
    <n v="127.5"/>
    <n v="22.500000000000004"/>
  </r>
  <r>
    <s v="SBG - Desktop"/>
    <x v="1"/>
    <s v="Technical task"/>
    <s v="DESK-2769"/>
    <s v="DESK-2787&gt; HK/Singapore address form improvement"/>
    <s v="Technical task"/>
    <x v="0"/>
    <d v="2015-10-27T19:49:00"/>
    <x v="5"/>
    <x v="0"/>
    <x v="8"/>
    <n v="1"/>
    <m/>
    <n v="127.5"/>
    <n v="22.500000000000004"/>
  </r>
  <r>
    <s v="SBG - Desktop"/>
    <x v="1"/>
    <s v="Technical task"/>
    <s v="DESK-2769"/>
    <s v="DESK-2787&gt; HK/Singapore address form improvement"/>
    <s v="Technical task"/>
    <x v="0"/>
    <d v="2015-10-28T18:33:00"/>
    <x v="5"/>
    <x v="0"/>
    <x v="8"/>
    <n v="2.5"/>
    <m/>
    <n v="127.5"/>
    <n v="22.500000000000004"/>
  </r>
  <r>
    <s v="SBG - Desktop"/>
    <x v="2"/>
    <s v="Technical task"/>
    <s v="DESK-2769"/>
    <s v="DESK-2787&gt; HK/Singapore address form improvement"/>
    <s v="Technical task"/>
    <x v="0"/>
    <d v="2015-10-28T21:34:00"/>
    <x v="5"/>
    <x v="0"/>
    <x v="11"/>
    <n v="6"/>
    <m/>
    <n v="127.5"/>
    <n v="22.500000000000004"/>
  </r>
  <r>
    <s v="SBG - Desktop"/>
    <x v="1"/>
    <s v="Technical task"/>
    <s v="DESK-2769"/>
    <s v="DESK-2787&gt; HK/Singapore address form improvement"/>
    <s v="Technical task"/>
    <x v="0"/>
    <d v="2015-10-29T15:54:00"/>
    <x v="5"/>
    <x v="0"/>
    <x v="8"/>
    <n v="1"/>
    <m/>
    <n v="127.5"/>
    <n v="22.500000000000004"/>
  </r>
  <r>
    <s v="SBG - Desktop"/>
    <x v="2"/>
    <s v="Technical task"/>
    <s v="DESK-2769"/>
    <s v="DESK-2787&gt; HK/Singapore address form improvement"/>
    <s v="Technical task"/>
    <x v="0"/>
    <d v="2015-10-30T09:30:00"/>
    <x v="5"/>
    <x v="0"/>
    <x v="11"/>
    <n v="3"/>
    <m/>
    <n v="127.5"/>
    <n v="22.500000000000004"/>
  </r>
  <r>
    <s v="SBG - Desktop"/>
    <x v="1"/>
    <s v="Technical task"/>
    <s v="DESK-2769"/>
    <s v="DESK-2787&gt; HK/Singapore address form improvement"/>
    <s v="Technical task"/>
    <x v="0"/>
    <d v="2015-10-30T18:17:00"/>
    <x v="5"/>
    <x v="0"/>
    <x v="8"/>
    <n v="0.5"/>
    <m/>
    <n v="127.5"/>
    <n v="22.500000000000004"/>
  </r>
  <r>
    <s v="SBG - Desktop"/>
    <x v="2"/>
    <s v="Technical task"/>
    <s v="DESK-2769"/>
    <s v="DESK-2787&gt; HK/Singapore address form improvement"/>
    <s v="Technical task"/>
    <x v="0"/>
    <d v="2015-11-02T14:00:00"/>
    <x v="8"/>
    <x v="0"/>
    <x v="11"/>
    <n v="4"/>
    <m/>
    <n v="147.9"/>
    <n v="26.100000000000005"/>
  </r>
  <r>
    <s v="SBG - Desktop"/>
    <x v="1"/>
    <s v="Technical task"/>
    <s v="DESK-2769"/>
    <s v="DESK-2787&gt; HK/Singapore address form improvement"/>
    <s v="Technical task"/>
    <x v="0"/>
    <d v="2015-11-02T17:18:00"/>
    <x v="8"/>
    <x v="0"/>
    <x v="8"/>
    <n v="3"/>
    <m/>
    <n v="147.9"/>
    <n v="26.100000000000005"/>
  </r>
  <r>
    <s v="SBG - Desktop"/>
    <x v="2"/>
    <s v="Technical task"/>
    <s v="DESK-2769"/>
    <s v="DESK-2787&gt; HK/Singapore address form improvement"/>
    <s v="Technical task"/>
    <x v="0"/>
    <d v="2015-11-03T21:40:00"/>
    <x v="8"/>
    <x v="0"/>
    <x v="11"/>
    <n v="3"/>
    <m/>
    <n v="147.9"/>
    <n v="26.100000000000005"/>
  </r>
  <r>
    <s v="SBG - Desktop"/>
    <x v="2"/>
    <s v="Technical task"/>
    <s v="DESK-2769"/>
    <s v="DESK-2787&gt; HK/Singapore address form improvement"/>
    <s v="Technical task"/>
    <x v="0"/>
    <d v="2015-11-04T09:30:00"/>
    <x v="8"/>
    <x v="0"/>
    <x v="11"/>
    <n v="3"/>
    <m/>
    <n v="147.9"/>
    <n v="26.100000000000005"/>
  </r>
  <r>
    <s v="SBG - Desktop"/>
    <x v="2"/>
    <s v="Improvement"/>
    <s v="DESK-2770"/>
    <s v="stop sending the &quot;7 days after shipment&quot; email"/>
    <s v="Improvement"/>
    <x v="0"/>
    <d v="2015-10-13T18:50:00"/>
    <x v="5"/>
    <x v="0"/>
    <x v="9"/>
    <n v="3"/>
    <m/>
    <n v="127.5"/>
    <n v="22.500000000000004"/>
  </r>
  <r>
    <s v="SBG - Desktop"/>
    <x v="1"/>
    <s v="Improvement"/>
    <s v="DESK-2770"/>
    <s v="stop sending the &quot;7 days after shipment&quot; email"/>
    <s v="Improvement"/>
    <x v="0"/>
    <d v="2015-10-20T17:50:00"/>
    <x v="5"/>
    <x v="0"/>
    <x v="8"/>
    <n v="4"/>
    <m/>
    <n v="127.5"/>
    <n v="22.500000000000004"/>
  </r>
  <r>
    <s v="SBG - Desktop"/>
    <x v="2"/>
    <s v="Improvement"/>
    <s v="DESK-2770"/>
    <s v="stop sending the &quot;7 days after shipment&quot; email"/>
    <s v="Improvement"/>
    <x v="0"/>
    <d v="2015-10-20T19:52:00"/>
    <x v="5"/>
    <x v="0"/>
    <x v="9"/>
    <n v="4"/>
    <m/>
    <n v="127.5"/>
    <n v="22.500000000000004"/>
  </r>
  <r>
    <s v="SBG - Desktop"/>
    <x v="2"/>
    <s v="Improvement"/>
    <s v="DESK-2770"/>
    <s v="stop sending the &quot;7 days after shipment&quot; email"/>
    <s v="Improvement"/>
    <x v="0"/>
    <d v="2015-10-21T18:42:00"/>
    <x v="5"/>
    <x v="0"/>
    <x v="9"/>
    <n v="6"/>
    <m/>
    <n v="127.5"/>
    <n v="22.500000000000004"/>
  </r>
  <r>
    <s v="SBG - Desktop"/>
    <x v="1"/>
    <s v="Improvement"/>
    <s v="DESK-2770"/>
    <s v="stop sending the &quot;7 days after shipment&quot; email"/>
    <s v="Improvement"/>
    <x v="0"/>
    <d v="2015-10-21T19:06:00"/>
    <x v="5"/>
    <x v="0"/>
    <x v="8"/>
    <n v="0.5"/>
    <m/>
    <n v="127.5"/>
    <n v="22.500000000000004"/>
  </r>
  <r>
    <s v="SBG - Desktop"/>
    <x v="2"/>
    <s v="Improvement"/>
    <s v="DESK-2770"/>
    <s v="stop sending the &quot;7 days after shipment&quot; email"/>
    <s v="Improvement"/>
    <x v="0"/>
    <d v="2015-10-22T18:42:00"/>
    <x v="5"/>
    <x v="0"/>
    <x v="9"/>
    <n v="4"/>
    <m/>
    <n v="127.5"/>
    <n v="22.500000000000004"/>
  </r>
  <r>
    <s v="SBG - Desktop"/>
    <x v="2"/>
    <s v="Improvement"/>
    <s v="DESK-2770"/>
    <s v="stop sending the &quot;7 days after shipment&quot; email"/>
    <s v="Improvement"/>
    <x v="0"/>
    <d v="2015-10-23T18:34:00"/>
    <x v="5"/>
    <x v="0"/>
    <x v="9"/>
    <n v="4"/>
    <m/>
    <n v="127.5"/>
    <n v="22.500000000000004"/>
  </r>
  <r>
    <s v="SBG - Desktop"/>
    <x v="2"/>
    <s v="Improvement"/>
    <s v="DESK-2770"/>
    <s v="stop sending the &quot;7 days after shipment&quot; email"/>
    <s v="Improvement"/>
    <x v="0"/>
    <d v="2015-10-30T16:46:00"/>
    <x v="5"/>
    <x v="0"/>
    <x v="9"/>
    <n v="4"/>
    <s v="trustpilot"/>
    <n v="127.5"/>
    <n v="22.500000000000004"/>
  </r>
  <r>
    <s v="SBG - Desktop"/>
    <x v="4"/>
    <s v="Task"/>
    <s v="DESK-2774"/>
    <s v="Asian Fit Filter"/>
    <s v="Task"/>
    <x v="0"/>
    <d v="2015-10-21T15:29:00"/>
    <x v="5"/>
    <x v="0"/>
    <x v="13"/>
    <n v="3"/>
    <m/>
    <n v="127.5"/>
    <n v="22.500000000000004"/>
  </r>
  <r>
    <s v="SBG - Desktop"/>
    <x v="2"/>
    <s v="New Feature"/>
    <s v="DESK-2775"/>
    <s v="Update US website with Live chat function"/>
    <s v="New Feature"/>
    <x v="0"/>
    <d v="2015-10-13T11:00:00"/>
    <x v="5"/>
    <x v="0"/>
    <x v="11"/>
    <n v="0.5"/>
    <m/>
    <n v="127.5"/>
    <n v="22.500000000000004"/>
  </r>
  <r>
    <s v="SBG - Desktop"/>
    <x v="2"/>
    <s v="Task"/>
    <s v="DESK-2776"/>
    <s v="Update website hotline &amp; Call back service"/>
    <s v="Task"/>
    <x v="0"/>
    <d v="2015-10-06T11:00:00"/>
    <x v="5"/>
    <x v="0"/>
    <x v="18"/>
    <n v="8"/>
    <m/>
    <n v="127.5"/>
    <n v="22.500000000000004"/>
  </r>
  <r>
    <s v="SBG - Desktop"/>
    <x v="4"/>
    <s v="Task"/>
    <s v="DESK-2776"/>
    <s v="Update website hotline &amp; Call back service"/>
    <s v="Task"/>
    <x v="0"/>
    <d v="2015-10-14T16:12:00"/>
    <x v="5"/>
    <x v="0"/>
    <x v="13"/>
    <n v="3"/>
    <m/>
    <n v="127.5"/>
    <n v="22.500000000000004"/>
  </r>
  <r>
    <s v="SBG - Desktop"/>
    <x v="2"/>
    <s v="Task"/>
    <s v="DESK-2776"/>
    <s v="Update website hotline &amp; Call back service"/>
    <s v="Task"/>
    <x v="0"/>
    <d v="2015-11-03T12:03:00"/>
    <x v="8"/>
    <x v="0"/>
    <x v="18"/>
    <n v="7"/>
    <m/>
    <n v="147.9"/>
    <n v="26.100000000000005"/>
  </r>
  <r>
    <s v="SBG - Desktop"/>
    <x v="2"/>
    <s v="Task"/>
    <s v="DESK-2776"/>
    <s v="Update website hotline &amp; Call back service"/>
    <s v="Task"/>
    <x v="0"/>
    <d v="2015-11-04T12:03:00"/>
    <x v="8"/>
    <x v="0"/>
    <x v="18"/>
    <n v="7"/>
    <m/>
    <n v="147.9"/>
    <n v="26.100000000000005"/>
  </r>
  <r>
    <s v="SBG - Desktop"/>
    <x v="2"/>
    <s v="Task"/>
    <s v="DESK-2776"/>
    <s v="Update website hotline &amp; Call back service"/>
    <s v="Task"/>
    <x v="0"/>
    <d v="2015-11-05T11:03:00"/>
    <x v="8"/>
    <x v="0"/>
    <x v="18"/>
    <n v="8"/>
    <m/>
    <n v="147.9"/>
    <n v="26.100000000000005"/>
  </r>
  <r>
    <s v="SBG - Desktop"/>
    <x v="2"/>
    <s v="Task"/>
    <s v="DESK-2776"/>
    <s v="Update website hotline &amp; Call back service"/>
    <s v="Task"/>
    <x v="0"/>
    <d v="2015-11-09T11:03:00"/>
    <x v="8"/>
    <x v="0"/>
    <x v="18"/>
    <n v="8"/>
    <m/>
    <n v="147.9"/>
    <n v="26.100000000000005"/>
  </r>
  <r>
    <s v="SBG - Desktop"/>
    <x v="2"/>
    <s v="Task"/>
    <s v="DESK-2776"/>
    <s v="Update website hotline &amp; Call back service"/>
    <s v="Task"/>
    <x v="0"/>
    <d v="2015-11-10T11:03:00"/>
    <x v="8"/>
    <x v="0"/>
    <x v="18"/>
    <n v="8"/>
    <m/>
    <n v="147.9"/>
    <n v="26.100000000000005"/>
  </r>
  <r>
    <s v="SBG - Desktop"/>
    <x v="0"/>
    <s v="Task"/>
    <s v="DESK-2776"/>
    <s v="Update website hotline &amp; Call back service"/>
    <s v="Task"/>
    <x v="0"/>
    <d v="2015-11-17T12:09:00"/>
    <x v="8"/>
    <x v="0"/>
    <x v="24"/>
    <n v="1"/>
    <m/>
    <n v="87"/>
    <n v="87"/>
  </r>
  <r>
    <s v="SBG - Desktop"/>
    <x v="2"/>
    <s v="Task"/>
    <s v="DESK-2776"/>
    <s v="Update website hotline &amp; Call back service"/>
    <s v="Task"/>
    <x v="0"/>
    <d v="2015-11-17T17:49:00"/>
    <x v="8"/>
    <x v="0"/>
    <x v="18"/>
    <n v="16"/>
    <m/>
    <n v="147.9"/>
    <n v="26.100000000000005"/>
  </r>
  <r>
    <s v="SBG - Desktop"/>
    <x v="1"/>
    <s v="Task"/>
    <s v="DESK-2776"/>
    <s v="Update website hotline &amp; Call back service"/>
    <s v="Task"/>
    <x v="0"/>
    <d v="2015-11-19T17:08:00"/>
    <x v="8"/>
    <x v="0"/>
    <x v="23"/>
    <n v="4"/>
    <m/>
    <n v="147.9"/>
    <n v="26.100000000000005"/>
  </r>
  <r>
    <s v="SBG - Desktop"/>
    <x v="1"/>
    <s v="Task"/>
    <s v="DESK-2776"/>
    <s v="Update website hotline &amp; Call back service"/>
    <s v="Task"/>
    <x v="0"/>
    <d v="2015-11-20T11:48:00"/>
    <x v="8"/>
    <x v="0"/>
    <x v="23"/>
    <n v="4"/>
    <m/>
    <n v="147.9"/>
    <n v="26.100000000000005"/>
  </r>
  <r>
    <s v="SBG - Desktop"/>
    <x v="2"/>
    <s v="Task"/>
    <s v="DESK-2776"/>
    <s v="Update website hotline &amp; Call back service"/>
    <s v="Task"/>
    <x v="0"/>
    <d v="2015-11-23T13:05:00"/>
    <x v="8"/>
    <x v="0"/>
    <x v="18"/>
    <n v="6"/>
    <m/>
    <n v="147.9"/>
    <n v="26.100000000000005"/>
  </r>
  <r>
    <s v="SBG - Desktop"/>
    <x v="1"/>
    <s v="Task"/>
    <s v="DESK-2776"/>
    <s v="Update website hotline &amp; Call back service"/>
    <s v="Task"/>
    <x v="0"/>
    <d v="2015-11-24T07:48:00"/>
    <x v="8"/>
    <x v="0"/>
    <x v="23"/>
    <n v="8"/>
    <m/>
    <n v="147.9"/>
    <n v="26.100000000000005"/>
  </r>
  <r>
    <s v="SBG - Desktop"/>
    <x v="4"/>
    <s v="New Feature"/>
    <s v="DESK-2779"/>
    <s v="RX PHASE 3 - DESKTOP"/>
    <s v="New Feature"/>
    <x v="0"/>
    <d v="2015-10-20T15:28:00"/>
    <x v="5"/>
    <x v="0"/>
    <x v="13"/>
    <n v="3"/>
    <m/>
    <n v="127.5"/>
    <n v="22.500000000000004"/>
  </r>
  <r>
    <s v="SBG - Desktop"/>
    <x v="4"/>
    <s v="Improvement"/>
    <s v="DESK-2787"/>
    <s v="Checkout Address form improvement"/>
    <s v="Improvement"/>
    <x v="0"/>
    <d v="2015-10-01T11:43:00"/>
    <x v="5"/>
    <x v="0"/>
    <x v="13"/>
    <n v="4"/>
    <m/>
    <n v="127.5"/>
    <n v="22.500000000000004"/>
  </r>
  <r>
    <s v="SBG - Desktop"/>
    <x v="4"/>
    <s v="Improvement"/>
    <s v="DESK-2787"/>
    <s v="Checkout Address form improvement"/>
    <s v="Improvement"/>
    <x v="0"/>
    <d v="2015-10-01T13:09:00"/>
    <x v="5"/>
    <x v="0"/>
    <x v="13"/>
    <n v="2"/>
    <m/>
    <n v="127.5"/>
    <n v="22.500000000000004"/>
  </r>
  <r>
    <s v="SBG - Desktop"/>
    <x v="2"/>
    <s v="Improvement"/>
    <s v="DESK-2787"/>
    <s v="Checkout Address form improvement"/>
    <s v="Improvement"/>
    <x v="0"/>
    <d v="2015-10-14T15:50:00"/>
    <x v="5"/>
    <x v="0"/>
    <x v="11"/>
    <n v="2"/>
    <m/>
    <n v="127.5"/>
    <n v="22.500000000000004"/>
  </r>
  <r>
    <s v="SBG - Desktop"/>
    <x v="2"/>
    <s v="Improvement"/>
    <s v="DESK-2787"/>
    <s v="Checkout Address form improvement"/>
    <s v="Improvement"/>
    <x v="0"/>
    <d v="2015-10-19T21:36:00"/>
    <x v="5"/>
    <x v="0"/>
    <x v="11"/>
    <n v="4"/>
    <m/>
    <n v="127.5"/>
    <n v="22.500000000000004"/>
  </r>
  <r>
    <s v="SBG - Desktop"/>
    <x v="2"/>
    <s v="Improvement"/>
    <s v="DESK-2787"/>
    <s v="Checkout Address form improvement"/>
    <s v="Improvement"/>
    <x v="0"/>
    <d v="2015-10-19T21:40:00"/>
    <x v="5"/>
    <x v="0"/>
    <x v="11"/>
    <n v="6"/>
    <m/>
    <n v="127.5"/>
    <n v="22.500000000000004"/>
  </r>
  <r>
    <s v="SBG - Desktop"/>
    <x v="4"/>
    <s v="Improvement"/>
    <s v="DESK-2787"/>
    <s v="Checkout Address form improvement"/>
    <s v="Improvement"/>
    <x v="0"/>
    <d v="2015-10-27T15:26:00"/>
    <x v="5"/>
    <x v="0"/>
    <x v="13"/>
    <n v="4"/>
    <m/>
    <n v="127.5"/>
    <n v="22.500000000000004"/>
  </r>
  <r>
    <s v="SBG - Desktop"/>
    <x v="2"/>
    <s v="Improvement"/>
    <s v="DESK-2787"/>
    <s v="Checkout Address form improvement"/>
    <s v="Improvement"/>
    <x v="0"/>
    <d v="2015-10-29T10:26:00"/>
    <x v="5"/>
    <x v="0"/>
    <x v="11"/>
    <n v="1"/>
    <m/>
    <n v="127.5"/>
    <n v="22.500000000000004"/>
  </r>
  <r>
    <s v="SBG - Desktop"/>
    <x v="2"/>
    <s v="Improvement"/>
    <s v="DESK-2787"/>
    <s v="Checkout Address form improvement"/>
    <s v="Improvement"/>
    <x v="0"/>
    <d v="2015-11-14T16:04:00"/>
    <x v="8"/>
    <x v="0"/>
    <x v="11"/>
    <n v="104"/>
    <m/>
    <n v="147.9"/>
    <n v="26.100000000000005"/>
  </r>
  <r>
    <s v="SBG - Desktop"/>
    <x v="0"/>
    <s v="Task"/>
    <s v="DESK-2788"/>
    <s v="Brand Banner Update Batch 2"/>
    <s v="Task"/>
    <x v="0"/>
    <d v="2015-10-15T14:15:00"/>
    <x v="5"/>
    <x v="0"/>
    <x v="7"/>
    <n v="4"/>
    <m/>
    <n v="75"/>
    <n v="75"/>
  </r>
  <r>
    <s v="SBG - Desktop"/>
    <x v="4"/>
    <s v="New Feature"/>
    <s v="DESK-2809"/>
    <s v="New Desktop UI"/>
    <s v="New Feature"/>
    <x v="0"/>
    <d v="2015-10-02T15:13:00"/>
    <x v="5"/>
    <x v="0"/>
    <x v="13"/>
    <n v="3"/>
    <m/>
    <n v="127.5"/>
    <n v="22.500000000000004"/>
  </r>
  <r>
    <s v="SBG - Desktop"/>
    <x v="4"/>
    <s v="New Feature"/>
    <s v="DESK-2809"/>
    <s v="New Desktop UI"/>
    <s v="New Feature"/>
    <x v="0"/>
    <d v="2015-10-09T15:14:00"/>
    <x v="5"/>
    <x v="0"/>
    <x v="13"/>
    <n v="3"/>
    <m/>
    <n v="127.5"/>
    <n v="22.500000000000004"/>
  </r>
  <r>
    <s v="SBG - Desktop"/>
    <x v="4"/>
    <s v="New Feature"/>
    <s v="DESK-2809"/>
    <s v="New Desktop UI"/>
    <s v="New Feature"/>
    <x v="0"/>
    <d v="2015-10-16T15:14:00"/>
    <x v="5"/>
    <x v="0"/>
    <x v="13"/>
    <n v="3"/>
    <m/>
    <n v="127.5"/>
    <n v="22.500000000000004"/>
  </r>
  <r>
    <s v="SBG - Desktop"/>
    <x v="4"/>
    <s v="New Feature"/>
    <s v="DESK-2809"/>
    <s v="New Desktop UI"/>
    <s v="New Feature"/>
    <x v="0"/>
    <d v="2015-10-23T15:14:00"/>
    <x v="5"/>
    <x v="0"/>
    <x v="13"/>
    <n v="3"/>
    <m/>
    <n v="127.5"/>
    <n v="22.500000000000004"/>
  </r>
  <r>
    <s v="SBG - Desktop"/>
    <x v="4"/>
    <s v="New Feature"/>
    <s v="DESK-2809"/>
    <s v="New Desktop UI"/>
    <s v="New Feature"/>
    <x v="0"/>
    <d v="2015-10-30T15:14:00"/>
    <x v="5"/>
    <x v="0"/>
    <x v="13"/>
    <n v="3"/>
    <m/>
    <n v="127.5"/>
    <n v="22.500000000000004"/>
  </r>
  <r>
    <s v="SBG - Desktop"/>
    <x v="4"/>
    <s v="New Feature"/>
    <s v="DESK-2809"/>
    <s v="New Desktop UI"/>
    <s v="New Feature"/>
    <x v="0"/>
    <d v="2015-11-12T12:30:00"/>
    <x v="8"/>
    <x v="0"/>
    <x v="13"/>
    <n v="3"/>
    <m/>
    <n v="147.9"/>
    <n v="26.100000000000005"/>
  </r>
  <r>
    <s v="SBG - Desktop"/>
    <x v="4"/>
    <s v="New Feature"/>
    <s v="DESK-2809"/>
    <s v="New Desktop UI"/>
    <s v="New Feature"/>
    <x v="0"/>
    <d v="2015-11-13T12:30:00"/>
    <x v="8"/>
    <x v="0"/>
    <x v="13"/>
    <n v="3"/>
    <m/>
    <n v="147.9"/>
    <n v="26.100000000000005"/>
  </r>
  <r>
    <s v="SBG - Desktop"/>
    <x v="4"/>
    <s v="New Feature"/>
    <s v="DESK-2809"/>
    <s v="New Desktop UI"/>
    <s v="New Feature"/>
    <x v="0"/>
    <d v="2015-11-16T12:30:00"/>
    <x v="8"/>
    <x v="0"/>
    <x v="13"/>
    <n v="5"/>
    <m/>
    <n v="147.9"/>
    <n v="26.100000000000005"/>
  </r>
  <r>
    <s v="SBG - Desktop"/>
    <x v="4"/>
    <s v="New Feature"/>
    <s v="DESK-2809"/>
    <s v="New Desktop UI"/>
    <s v="New Feature"/>
    <x v="0"/>
    <d v="2015-11-17T12:30:00"/>
    <x v="8"/>
    <x v="0"/>
    <x v="13"/>
    <n v="5"/>
    <m/>
    <n v="147.9"/>
    <n v="26.100000000000005"/>
  </r>
  <r>
    <s v="SBG - Desktop"/>
    <x v="4"/>
    <s v="New Feature"/>
    <s v="DESK-2809"/>
    <s v="New Desktop UI"/>
    <s v="New Feature"/>
    <x v="0"/>
    <d v="2015-11-18T12:30:00"/>
    <x v="8"/>
    <x v="0"/>
    <x v="13"/>
    <n v="5"/>
    <m/>
    <n v="147.9"/>
    <n v="26.100000000000005"/>
  </r>
  <r>
    <s v="SBG - Desktop"/>
    <x v="4"/>
    <s v="New Feature"/>
    <s v="DESK-2809"/>
    <s v="New Desktop UI"/>
    <s v="New Feature"/>
    <x v="0"/>
    <d v="2015-11-19T12:30:00"/>
    <x v="8"/>
    <x v="0"/>
    <x v="13"/>
    <n v="5"/>
    <m/>
    <n v="147.9"/>
    <n v="26.100000000000005"/>
  </r>
  <r>
    <s v="SBG - Desktop"/>
    <x v="4"/>
    <s v="New Feature"/>
    <s v="DESK-2809"/>
    <s v="New Desktop UI"/>
    <s v="New Feature"/>
    <x v="0"/>
    <d v="2015-11-19T12:30:00"/>
    <x v="8"/>
    <x v="0"/>
    <x v="13"/>
    <n v="5"/>
    <m/>
    <n v="147.9"/>
    <n v="26.100000000000005"/>
  </r>
  <r>
    <s v="SBG - Desktop"/>
    <x v="4"/>
    <s v="New Feature"/>
    <s v="DESK-2809"/>
    <s v="New Desktop UI"/>
    <s v="New Feature"/>
    <x v="0"/>
    <d v="2015-11-20T12:30:00"/>
    <x v="8"/>
    <x v="0"/>
    <x v="13"/>
    <n v="5"/>
    <m/>
    <n v="147.9"/>
    <n v="26.100000000000005"/>
  </r>
  <r>
    <s v="SBG - Desktop"/>
    <x v="4"/>
    <s v="New Feature"/>
    <s v="DESK-2809"/>
    <s v="New Desktop UI"/>
    <s v="New Feature"/>
    <x v="0"/>
    <d v="2015-11-23T12:30:00"/>
    <x v="8"/>
    <x v="0"/>
    <x v="13"/>
    <n v="5"/>
    <m/>
    <n v="147.9"/>
    <n v="26.100000000000005"/>
  </r>
  <r>
    <s v="SBG - Desktop"/>
    <x v="4"/>
    <s v="New Feature"/>
    <s v="DESK-2809"/>
    <s v="New Desktop UI"/>
    <s v="New Feature"/>
    <x v="0"/>
    <d v="2015-11-24T12:30:00"/>
    <x v="8"/>
    <x v="0"/>
    <x v="13"/>
    <n v="5"/>
    <m/>
    <n v="147.9"/>
    <n v="26.100000000000005"/>
  </r>
  <r>
    <s v="SBG - Desktop"/>
    <x v="2"/>
    <s v="Improvement"/>
    <s v="DESK-2821"/>
    <s v="Remove *Confirm email field from checkout address form"/>
    <s v="Improvement"/>
    <x v="0"/>
    <d v="2015-10-12T16:41:00"/>
    <x v="5"/>
    <x v="0"/>
    <x v="10"/>
    <n v="3"/>
    <m/>
    <n v="127.5"/>
    <n v="22.500000000000004"/>
  </r>
  <r>
    <s v="SBG - Desktop"/>
    <x v="2"/>
    <s v="Improvement"/>
    <s v="DESK-2821"/>
    <s v="Remove *Confirm email field from checkout address form"/>
    <s v="Improvement"/>
    <x v="0"/>
    <d v="2015-10-12T17:14:00"/>
    <x v="5"/>
    <x v="0"/>
    <x v="10"/>
    <n v="1"/>
    <m/>
    <n v="127.5"/>
    <n v="22.500000000000004"/>
  </r>
  <r>
    <s v="SBG - Desktop"/>
    <x v="2"/>
    <s v="Improvement"/>
    <s v="DESK-2821"/>
    <s v="Remove *Confirm email field from checkout address form"/>
    <s v="Improvement"/>
    <x v="0"/>
    <d v="2015-10-13T17:10:00"/>
    <x v="5"/>
    <x v="0"/>
    <x v="10"/>
    <n v="3"/>
    <m/>
    <n v="127.5"/>
    <n v="22.500000000000004"/>
  </r>
  <r>
    <s v="SBG - Desktop"/>
    <x v="1"/>
    <s v="Bug"/>
    <s v="DESK-2825"/>
    <s v="Need implement same behavior on product quick view page as detail page when cart reach to 2, DE"/>
    <s v="Bug"/>
    <x v="1"/>
    <d v="2015-10-07T16:27:00"/>
    <x v="5"/>
    <x v="0"/>
    <x v="1"/>
    <n v="2"/>
    <m/>
    <n v="127.5"/>
    <n v="22.500000000000004"/>
  </r>
  <r>
    <s v="SBG - Desktop"/>
    <x v="0"/>
    <s v="Bug"/>
    <s v="DESK-2825"/>
    <s v="Need implement same behavior on product quick view page as detail page when cart reach to 2, DE"/>
    <s v="Bug"/>
    <x v="1"/>
    <d v="2015-10-07T18:24:00"/>
    <x v="5"/>
    <x v="0"/>
    <x v="7"/>
    <n v="2"/>
    <m/>
    <n v="75"/>
    <n v="75"/>
  </r>
  <r>
    <s v="SBG - Desktop"/>
    <x v="0"/>
    <s v="New Feature"/>
    <s v="DESK-2827"/>
    <s v="Change Home Page Banners back to Discount Banners"/>
    <s v="New Feature"/>
    <x v="0"/>
    <d v="2015-10-15T12:00:00"/>
    <x v="5"/>
    <x v="0"/>
    <x v="7"/>
    <n v="2"/>
    <m/>
    <n v="75"/>
    <n v="75"/>
  </r>
  <r>
    <s v="SBG - Desktop"/>
    <x v="1"/>
    <s v="New Feature"/>
    <s v="DESK-2831"/>
    <s v="Prada Top Bar Campaign"/>
    <s v="New Feature"/>
    <x v="0"/>
    <d v="2015-10-07T16:28:00"/>
    <x v="5"/>
    <x v="0"/>
    <x v="1"/>
    <n v="1"/>
    <m/>
    <n v="127.5"/>
    <n v="22.500000000000004"/>
  </r>
  <r>
    <s v="SBG - Desktop"/>
    <x v="0"/>
    <s v="New Feature"/>
    <s v="DESK-2831"/>
    <s v="Prada Top Bar Campaign"/>
    <s v="New Feature"/>
    <x v="0"/>
    <d v="2015-10-07T16:34:00"/>
    <x v="5"/>
    <x v="0"/>
    <x v="7"/>
    <n v="1"/>
    <m/>
    <n v="75"/>
    <n v="75"/>
  </r>
  <r>
    <s v="SBG - Desktop"/>
    <x v="2"/>
    <s v="Task"/>
    <s v="DESK-2834"/>
    <s v="Brand Banner Update Batch 3"/>
    <s v="Task"/>
    <x v="0"/>
    <d v="2015-10-07T10:28:00"/>
    <x v="5"/>
    <x v="0"/>
    <x v="10"/>
    <n v="8"/>
    <m/>
    <n v="127.5"/>
    <n v="22.500000000000004"/>
  </r>
  <r>
    <s v="SBG - Desktop"/>
    <x v="4"/>
    <s v="Task"/>
    <s v="DESK-2834"/>
    <s v="Brand Banner Update Batch 3"/>
    <s v="Task"/>
    <x v="0"/>
    <d v="2015-10-12T15:30:00"/>
    <x v="5"/>
    <x v="0"/>
    <x v="13"/>
    <n v="4"/>
    <m/>
    <n v="127.5"/>
    <n v="22.500000000000004"/>
  </r>
  <r>
    <s v="SBG - Desktop"/>
    <x v="4"/>
    <s v="Task"/>
    <s v="DESK-2834"/>
    <s v="Brand Banner Update Batch 3"/>
    <s v="Task"/>
    <x v="0"/>
    <d v="2015-10-15T16:13:00"/>
    <x v="5"/>
    <x v="0"/>
    <x v="13"/>
    <n v="3"/>
    <m/>
    <n v="127.5"/>
    <n v="22.500000000000004"/>
  </r>
  <r>
    <s v="SBG - Desktop"/>
    <x v="4"/>
    <s v="Task"/>
    <s v="DESK-2834"/>
    <s v="Brand Banner Update Batch 3"/>
    <s v="Task"/>
    <x v="0"/>
    <d v="2015-10-26T13:28:00"/>
    <x v="5"/>
    <x v="0"/>
    <x v="13"/>
    <n v="4"/>
    <m/>
    <n v="127.5"/>
    <n v="22.500000000000004"/>
  </r>
  <r>
    <s v="SBG - Desktop"/>
    <x v="4"/>
    <s v="Task"/>
    <s v="DESK-2834"/>
    <s v="Brand Banner Update Batch 3"/>
    <s v="Task"/>
    <x v="0"/>
    <d v="2015-10-26T15:28:00"/>
    <x v="5"/>
    <x v="0"/>
    <x v="13"/>
    <n v="4"/>
    <m/>
    <n v="127.5"/>
    <n v="22.500000000000004"/>
  </r>
  <r>
    <s v="SBG - Desktop"/>
    <x v="0"/>
    <s v="Task"/>
    <s v="DESK-2834"/>
    <s v="Brand Banner Update Batch 3"/>
    <s v="Task"/>
    <x v="0"/>
    <d v="2015-10-26T18:07:00"/>
    <x v="5"/>
    <x v="0"/>
    <x v="7"/>
    <n v="4"/>
    <m/>
    <n v="75"/>
    <n v="75"/>
  </r>
  <r>
    <s v="SBG - Desktop"/>
    <x v="2"/>
    <s v="Task"/>
    <s v="DESK-2834"/>
    <s v="Brand Banner Update Batch 3"/>
    <s v="Task"/>
    <x v="0"/>
    <d v="2015-10-26T18:28:00"/>
    <x v="5"/>
    <x v="0"/>
    <x v="10"/>
    <n v="2"/>
    <m/>
    <n v="127.5"/>
    <n v="22.500000000000004"/>
  </r>
  <r>
    <s v="SBG - Desktop"/>
    <x v="2"/>
    <s v="Task"/>
    <s v="DESK-2834"/>
    <s v="Brand Banner Update Batch 3"/>
    <s v="Task"/>
    <x v="0"/>
    <d v="2015-10-27T15:27:00"/>
    <x v="5"/>
    <x v="0"/>
    <x v="10"/>
    <n v="3"/>
    <m/>
    <n v="127.5"/>
    <n v="22.500000000000004"/>
  </r>
  <r>
    <s v="SBG - Desktop"/>
    <x v="2"/>
    <s v="Task"/>
    <s v="DESK-2834"/>
    <s v="Brand Banner Update Batch 3"/>
    <s v="Task"/>
    <x v="0"/>
    <d v="2015-10-28T09:26:00"/>
    <x v="5"/>
    <x v="0"/>
    <x v="10"/>
    <n v="3"/>
    <m/>
    <n v="127.5"/>
    <n v="22.500000000000004"/>
  </r>
  <r>
    <s v="SBG - Desktop"/>
    <x v="2"/>
    <s v="Task"/>
    <s v="DESK-2834"/>
    <s v="Brand Banner Update Batch 3"/>
    <s v="Task"/>
    <x v="0"/>
    <d v="2015-10-29T09:48:00"/>
    <x v="5"/>
    <x v="0"/>
    <x v="10"/>
    <n v="1"/>
    <m/>
    <n v="127.5"/>
    <n v="22.500000000000004"/>
  </r>
  <r>
    <s v="SBG - Desktop"/>
    <x v="4"/>
    <s v="Task"/>
    <s v="DESK-2834"/>
    <s v="Brand Banner Update Batch 3"/>
    <s v="Task"/>
    <x v="0"/>
    <d v="2015-10-29T13:28:00"/>
    <x v="5"/>
    <x v="0"/>
    <x v="13"/>
    <n v="4"/>
    <m/>
    <n v="127.5"/>
    <n v="22.500000000000004"/>
  </r>
  <r>
    <s v="SBG - Desktop"/>
    <x v="2"/>
    <s v="Task"/>
    <s v="DESK-2834"/>
    <s v="Brand Banner Update Batch 3"/>
    <s v="Task"/>
    <x v="0"/>
    <d v="2015-10-30T17:52:00"/>
    <x v="5"/>
    <x v="0"/>
    <x v="10"/>
    <n v="3"/>
    <m/>
    <n v="127.5"/>
    <n v="22.500000000000004"/>
  </r>
  <r>
    <s v="SBG - Desktop"/>
    <x v="2"/>
    <s v="Bug"/>
    <s v="DESK-2841"/>
    <s v="update om_payment_log table when customer finishes purchasing process to update the currency type and paid_amount"/>
    <s v="Bug"/>
    <x v="1"/>
    <d v="2015-10-19T18:04:00"/>
    <x v="5"/>
    <x v="0"/>
    <x v="2"/>
    <n v="8"/>
    <s v="1.To reappear the bug 2.encounter GC and paypal couldn't work on small website include(mobile , desktop ,219 and 185 server) 3. the network speed is very slow. sometimes couldn't open the page on 185 and 219 server"/>
    <n v="127.5"/>
    <n v="22.500000000000004"/>
  </r>
  <r>
    <s v="SBG - Desktop"/>
    <x v="2"/>
    <s v="Bug"/>
    <s v="DESK-2841"/>
    <s v="update om_payment_log table when customer finishes purchasing process to update the currency type and paid_amount"/>
    <s v="Bug"/>
    <x v="1"/>
    <d v="2015-10-20T17:15:00"/>
    <x v="5"/>
    <x v="0"/>
    <x v="2"/>
    <n v="8"/>
    <m/>
    <n v="127.5"/>
    <n v="22.500000000000004"/>
  </r>
  <r>
    <s v="SBG - Desktop"/>
    <x v="1"/>
    <s v="Bug"/>
    <s v="DESK-2841"/>
    <s v="update om_payment_log table when customer finishes purchasing process to update the currency type and paid_amount"/>
    <s v="Bug"/>
    <x v="1"/>
    <d v="2015-11-30T12:26:00"/>
    <x v="8"/>
    <x v="0"/>
    <x v="21"/>
    <n v="8"/>
    <m/>
    <n v="147.9"/>
    <n v="26.100000000000005"/>
  </r>
  <r>
    <s v="SBG - Desktop"/>
    <x v="4"/>
    <s v="Task"/>
    <s v="DESK-2843"/>
    <s v="Add Tracking Pixels for Pampa Network (LATAM + BR)"/>
    <s v="Task"/>
    <x v="0"/>
    <d v="2015-10-09T16:11:00"/>
    <x v="5"/>
    <x v="0"/>
    <x v="13"/>
    <n v="3"/>
    <m/>
    <n v="127.5"/>
    <n v="22.500000000000004"/>
  </r>
  <r>
    <s v="SBG - Desktop"/>
    <x v="4"/>
    <s v="Task"/>
    <s v="DESK-2844"/>
    <s v="Add pixels for new partner RemIntrex"/>
    <s v="Task"/>
    <x v="0"/>
    <d v="2015-10-08T16:10:00"/>
    <x v="5"/>
    <x v="0"/>
    <x v="13"/>
    <n v="3"/>
    <m/>
    <n v="127.5"/>
    <n v="22.500000000000004"/>
  </r>
  <r>
    <s v="SBG - Desktop"/>
    <x v="2"/>
    <s v="Task"/>
    <s v="DESK-2844"/>
    <s v="Add pixels for new partner RemIntrex"/>
    <s v="Task"/>
    <x v="0"/>
    <d v="2015-10-19T09:30:00"/>
    <x v="5"/>
    <x v="0"/>
    <x v="29"/>
    <n v="6"/>
    <m/>
    <n v="127.5"/>
    <n v="22.500000000000004"/>
  </r>
  <r>
    <s v="SBG - Desktop"/>
    <x v="2"/>
    <s v="Task"/>
    <s v="DESK-2844"/>
    <s v="Add pixels for new partner RemIntrex"/>
    <s v="Task"/>
    <x v="0"/>
    <d v="2015-11-02T18:42:00"/>
    <x v="8"/>
    <x v="0"/>
    <x v="29"/>
    <n v="5"/>
    <m/>
    <n v="147.9"/>
    <n v="26.100000000000005"/>
  </r>
  <r>
    <s v="SBG - Desktop"/>
    <x v="1"/>
    <s v="Task"/>
    <s v="DESK-2844"/>
    <s v="Add pixels for new partner RemIntrex"/>
    <s v="Task"/>
    <x v="0"/>
    <d v="2015-11-09T17:45:00"/>
    <x v="8"/>
    <x v="0"/>
    <x v="1"/>
    <n v="1"/>
    <m/>
    <n v="147.9"/>
    <n v="26.100000000000005"/>
  </r>
  <r>
    <s v="SBG - Desktop"/>
    <x v="2"/>
    <s v="Task"/>
    <s v="DESK-2844"/>
    <s v="Add pixels for new partner RemIntrex"/>
    <s v="Task"/>
    <x v="0"/>
    <d v="2015-11-12T21:30:00"/>
    <x v="8"/>
    <x v="0"/>
    <x v="29"/>
    <n v="8"/>
    <m/>
    <n v="147.9"/>
    <n v="26.100000000000005"/>
  </r>
  <r>
    <s v="SBG - Desktop"/>
    <x v="1"/>
    <s v="Task"/>
    <s v="DESK-2844"/>
    <s v="Add pixels for new partner RemIntrex"/>
    <s v="Task"/>
    <x v="0"/>
    <d v="2015-11-19T19:47:00"/>
    <x v="8"/>
    <x v="0"/>
    <x v="1"/>
    <n v="8"/>
    <m/>
    <n v="147.9"/>
    <n v="26.100000000000005"/>
  </r>
  <r>
    <s v="SBG - Desktop"/>
    <x v="1"/>
    <s v="Task"/>
    <s v="DESK-2844"/>
    <s v="Add pixels for new partner RemIntrex"/>
    <s v="Task"/>
    <x v="0"/>
    <d v="2015-11-25T16:17:00"/>
    <x v="8"/>
    <x v="0"/>
    <x v="1"/>
    <n v="2"/>
    <m/>
    <n v="147.9"/>
    <n v="26.100000000000005"/>
  </r>
  <r>
    <s v="SBG - Desktop"/>
    <x v="4"/>
    <s v="New Feature"/>
    <s v="DESK-2845"/>
    <s v="AU Health Fund Email CC to Gmail account"/>
    <s v="New Feature"/>
    <x v="0"/>
    <d v="2015-10-14T16:12:00"/>
    <x v="5"/>
    <x v="0"/>
    <x v="13"/>
    <n v="3"/>
    <m/>
    <n v="127.5"/>
    <n v="22.500000000000004"/>
  </r>
  <r>
    <s v="SBG - Desktop"/>
    <x v="2"/>
    <s v="New Feature"/>
    <s v="DESK-2845"/>
    <s v="AU Health Fund Email CC to Gmail account"/>
    <s v="New Feature"/>
    <x v="0"/>
    <d v="2015-10-21T18:13:00"/>
    <x v="5"/>
    <x v="0"/>
    <x v="2"/>
    <n v="1"/>
    <m/>
    <n v="127.5"/>
    <n v="22.500000000000004"/>
  </r>
  <r>
    <s v="SBG - Desktop"/>
    <x v="2"/>
    <s v="New Feature"/>
    <s v="DESK-2845"/>
    <s v="AU Health Fund Email CC to Gmail account"/>
    <s v="New Feature"/>
    <x v="0"/>
    <d v="2015-10-23T12:20:00"/>
    <x v="5"/>
    <x v="0"/>
    <x v="2"/>
    <n v="8"/>
    <s v="Configure email server and testing"/>
    <n v="127.5"/>
    <n v="22.500000000000004"/>
  </r>
  <r>
    <s v="SBG - Desktop"/>
    <x v="2"/>
    <s v="New Feature"/>
    <s v="DESK-2845"/>
    <s v="AU Health Fund Email CC to Gmail account"/>
    <s v="New Feature"/>
    <x v="0"/>
    <d v="2015-10-27T13:04:00"/>
    <x v="5"/>
    <x v="0"/>
    <x v="2"/>
    <n v="1"/>
    <m/>
    <n v="127.5"/>
    <n v="22.500000000000004"/>
  </r>
  <r>
    <s v="SBG - Desktop"/>
    <x v="2"/>
    <s v="New Feature"/>
    <s v="DESK-2845"/>
    <s v="AU Health Fund Email CC to Gmail account"/>
    <s v="New Feature"/>
    <x v="0"/>
    <d v="2015-10-30T18:01:00"/>
    <x v="5"/>
    <x v="0"/>
    <x v="2"/>
    <n v="8"/>
    <m/>
    <n v="127.5"/>
    <n v="22.500000000000004"/>
  </r>
  <r>
    <s v="SBG - Desktop"/>
    <x v="1"/>
    <s v="Bug"/>
    <s v="DESK-2846"/>
    <s v="reward bugs that users can use both rewards and coupon code"/>
    <s v="Bug"/>
    <x v="1"/>
    <d v="2015-10-02T08:02:00"/>
    <x v="5"/>
    <x v="0"/>
    <x v="23"/>
    <n v="8"/>
    <m/>
    <n v="127.5"/>
    <n v="22.500000000000004"/>
  </r>
  <r>
    <s v="SBG - Desktop"/>
    <x v="1"/>
    <s v="Bug"/>
    <s v="DESK-2846"/>
    <s v="reward bugs that users can use both rewards and coupon code"/>
    <s v="Bug"/>
    <x v="1"/>
    <d v="2015-10-06T08:01:00"/>
    <x v="5"/>
    <x v="0"/>
    <x v="23"/>
    <n v="8"/>
    <m/>
    <n v="127.5"/>
    <n v="22.500000000000004"/>
  </r>
  <r>
    <s v="SBG - Desktop"/>
    <x v="1"/>
    <s v="Bug"/>
    <s v="DESK-2846"/>
    <s v="reward bugs that users can use both rewards and coupon code"/>
    <s v="Bug"/>
    <x v="1"/>
    <d v="2015-10-15T08:00:00"/>
    <x v="5"/>
    <x v="0"/>
    <x v="23"/>
    <n v="8"/>
    <m/>
    <n v="127.5"/>
    <n v="22.500000000000004"/>
  </r>
  <r>
    <s v="SBG - Desktop"/>
    <x v="1"/>
    <s v="Bug"/>
    <s v="DESK-2846"/>
    <s v="reward bugs that users can use both rewards and coupon code"/>
    <s v="Bug"/>
    <x v="1"/>
    <d v="2015-10-16T12:01:00"/>
    <x v="5"/>
    <x v="0"/>
    <x v="23"/>
    <n v="4"/>
    <m/>
    <n v="127.5"/>
    <n v="22.500000000000004"/>
  </r>
  <r>
    <s v="SBG - Desktop"/>
    <x v="1"/>
    <s v="Bug"/>
    <s v="DESK-2846"/>
    <s v="reward bugs that users can use both rewards and coupon code"/>
    <s v="Bug"/>
    <x v="1"/>
    <d v="2015-10-21T07:59:00"/>
    <x v="5"/>
    <x v="0"/>
    <x v="23"/>
    <n v="8"/>
    <m/>
    <n v="127.5"/>
    <n v="22.500000000000004"/>
  </r>
  <r>
    <s v="SBG - Desktop"/>
    <x v="1"/>
    <s v="Bug"/>
    <s v="DESK-2846"/>
    <s v="reward bugs that users can use both rewards and coupon code"/>
    <s v="Bug"/>
    <x v="1"/>
    <d v="2015-10-23T14:00:00"/>
    <x v="5"/>
    <x v="0"/>
    <x v="23"/>
    <n v="2"/>
    <m/>
    <n v="127.5"/>
    <n v="22.500000000000004"/>
  </r>
  <r>
    <s v="SBG - Desktop"/>
    <x v="1"/>
    <s v="Bug"/>
    <s v="DESK-2846"/>
    <s v="reward bugs that users can use both rewards and coupon code"/>
    <s v="Bug"/>
    <x v="1"/>
    <d v="2015-10-27T07:43:00"/>
    <x v="5"/>
    <x v="0"/>
    <x v="23"/>
    <n v="8"/>
    <m/>
    <n v="127.5"/>
    <n v="22.500000000000004"/>
  </r>
  <r>
    <s v="SBG - Desktop"/>
    <x v="1"/>
    <s v="Bug"/>
    <s v="DESK-2846"/>
    <s v="reward bugs that users can use both rewards and coupon code"/>
    <s v="Bug"/>
    <x v="1"/>
    <d v="2015-10-28T07:43:00"/>
    <x v="5"/>
    <x v="0"/>
    <x v="23"/>
    <n v="8"/>
    <m/>
    <n v="127.5"/>
    <n v="22.500000000000004"/>
  </r>
  <r>
    <s v="SBG - Desktop"/>
    <x v="2"/>
    <s v="Bug"/>
    <s v="DESK-2846"/>
    <s v="reward bugs that users can use both rewards and coupon code"/>
    <s v="Bug"/>
    <x v="1"/>
    <d v="2015-10-28T09:27:00"/>
    <x v="5"/>
    <x v="0"/>
    <x v="10"/>
    <n v="2"/>
    <m/>
    <n v="127.5"/>
    <n v="22.500000000000004"/>
  </r>
  <r>
    <s v="SBG - Desktop"/>
    <x v="1"/>
    <s v="Bug"/>
    <s v="DESK-2846"/>
    <s v="reward bugs that users can use both rewards and coupon code"/>
    <s v="Bug"/>
    <x v="1"/>
    <d v="2015-11-03T09:36:00"/>
    <x v="8"/>
    <x v="0"/>
    <x v="23"/>
    <n v="3"/>
    <m/>
    <n v="147.9"/>
    <n v="26.100000000000005"/>
  </r>
  <r>
    <s v="SBG - Desktop"/>
    <x v="2"/>
    <s v="Bug"/>
    <s v="DESK-2846"/>
    <s v="reward bugs that users can use both rewards and coupon code"/>
    <s v="Bug"/>
    <x v="1"/>
    <d v="2015-11-03T18:38:00"/>
    <x v="8"/>
    <x v="0"/>
    <x v="10"/>
    <n v="2"/>
    <m/>
    <n v="147.9"/>
    <n v="26.100000000000005"/>
  </r>
  <r>
    <s v="SBG - Desktop"/>
    <x v="2"/>
    <s v="Bug"/>
    <s v="DESK-2846"/>
    <s v="reward bugs that users can use both rewards and coupon code"/>
    <s v="Bug"/>
    <x v="1"/>
    <d v="2015-11-05T12:30:00"/>
    <x v="8"/>
    <x v="0"/>
    <x v="10"/>
    <n v="6"/>
    <m/>
    <n v="147.9"/>
    <n v="26.100000000000005"/>
  </r>
  <r>
    <s v="SBG - Desktop"/>
    <x v="1"/>
    <s v="Bug"/>
    <s v="DESK-2846"/>
    <s v="reward bugs that users can use both rewards and coupon code"/>
    <s v="Bug"/>
    <x v="1"/>
    <d v="2015-11-13T12:47:00"/>
    <x v="8"/>
    <x v="0"/>
    <x v="23"/>
    <n v="3"/>
    <m/>
    <n v="147.9"/>
    <n v="26.100000000000005"/>
  </r>
  <r>
    <s v="SBG - Desktop"/>
    <x v="0"/>
    <s v="Technical task"/>
    <s v="DESK-2847"/>
    <s v="DESK-2120&gt; Quickview Page - The detail button is covered by the search box"/>
    <s v="Technical task"/>
    <x v="0"/>
    <d v="2015-10-13T09:11:00"/>
    <x v="5"/>
    <x v="0"/>
    <x v="19"/>
    <n v="8"/>
    <m/>
    <n v="75"/>
    <n v="75"/>
  </r>
  <r>
    <s v="SBG - Desktop"/>
    <x v="0"/>
    <s v="Technical task"/>
    <s v="DESK-2847"/>
    <s v="DESK-2120&gt; Quickview Page - The detail button is covered by the search box"/>
    <s v="Technical task"/>
    <x v="0"/>
    <d v="2015-10-14T09:10:00"/>
    <x v="5"/>
    <x v="0"/>
    <x v="19"/>
    <n v="8"/>
    <m/>
    <n v="75"/>
    <n v="75"/>
  </r>
  <r>
    <s v="SBG - Desktop"/>
    <x v="0"/>
    <s v="Technical task"/>
    <s v="DESK-2847"/>
    <s v="DESK-2120&gt; Quickview Page - The detail button is covered by the search box"/>
    <s v="Technical task"/>
    <x v="0"/>
    <d v="2015-10-15T15:17:00"/>
    <x v="5"/>
    <x v="0"/>
    <x v="19"/>
    <n v="0.5"/>
    <m/>
    <n v="75"/>
    <n v="75"/>
  </r>
  <r>
    <s v="SBG - Desktop"/>
    <x v="0"/>
    <s v="Bug"/>
    <s v="DESK-2848"/>
    <s v="change all the paypal button back to old version"/>
    <s v="Bug"/>
    <x v="1"/>
    <d v="2015-10-19T17:35:00"/>
    <x v="5"/>
    <x v="0"/>
    <x v="7"/>
    <n v="5"/>
    <m/>
    <n v="75"/>
    <n v="75"/>
  </r>
  <r>
    <s v="SBG - Desktop"/>
    <x v="0"/>
    <s v="Task"/>
    <s v="DESK-2849"/>
    <s v="Merge media logos for New footer"/>
    <s v="Task"/>
    <x v="0"/>
    <d v="2015-10-20T18:46:00"/>
    <x v="5"/>
    <x v="0"/>
    <x v="7"/>
    <n v="0.5"/>
    <m/>
    <n v="75"/>
    <n v="75"/>
  </r>
  <r>
    <s v="SBG - Desktop"/>
    <x v="4"/>
    <s v="Task"/>
    <s v="DESK-2850"/>
    <s v="Click Frenzy Technical Requirements - AU Domain"/>
    <s v="Task"/>
    <x v="0"/>
    <d v="2015-10-21T11:14:00"/>
    <x v="5"/>
    <x v="0"/>
    <x v="13"/>
    <n v="3"/>
    <m/>
    <n v="127.5"/>
    <n v="22.500000000000004"/>
  </r>
  <r>
    <s v="SBG - Desktop"/>
    <x v="4"/>
    <s v="Task"/>
    <s v="DESK-2850"/>
    <s v="Click Frenzy Technical Requirements - AU Domain"/>
    <s v="Task"/>
    <x v="0"/>
    <d v="2015-10-26T16:14:00"/>
    <x v="5"/>
    <x v="0"/>
    <x v="13"/>
    <n v="2"/>
    <m/>
    <n v="127.5"/>
    <n v="22.500000000000004"/>
  </r>
  <r>
    <s v="SBG - Desktop"/>
    <x v="4"/>
    <s v="Task"/>
    <s v="DESK-2850"/>
    <s v="Click Frenzy Technical Requirements - AU Domain"/>
    <s v="Task"/>
    <x v="0"/>
    <d v="2015-10-30T13:15:00"/>
    <x v="5"/>
    <x v="0"/>
    <x v="13"/>
    <n v="2"/>
    <m/>
    <n v="127.5"/>
    <n v="22.500000000000004"/>
  </r>
  <r>
    <s v="SBG - Desktop"/>
    <x v="4"/>
    <s v="Task"/>
    <s v="DESK-2850"/>
    <s v="Click Frenzy Technical Requirements - AU Domain"/>
    <s v="Task"/>
    <x v="0"/>
    <d v="2015-11-02T09:47:00"/>
    <x v="8"/>
    <x v="0"/>
    <x v="13"/>
    <n v="4"/>
    <m/>
    <n v="147.9"/>
    <n v="26.100000000000005"/>
  </r>
  <r>
    <s v="SBG - Desktop"/>
    <x v="4"/>
    <s v="Task"/>
    <s v="DESK-2850"/>
    <s v="Click Frenzy Technical Requirements - AU Domain"/>
    <s v="Task"/>
    <x v="0"/>
    <d v="2015-11-03T09:47:00"/>
    <x v="8"/>
    <x v="0"/>
    <x v="13"/>
    <n v="4"/>
    <m/>
    <n v="147.9"/>
    <n v="26.100000000000005"/>
  </r>
  <r>
    <s v="SBG - Desktop"/>
    <x v="4"/>
    <s v="Task"/>
    <s v="DESK-2850"/>
    <s v="Click Frenzy Technical Requirements - AU Domain"/>
    <s v="Task"/>
    <x v="0"/>
    <d v="2015-11-04T09:47:00"/>
    <x v="8"/>
    <x v="0"/>
    <x v="13"/>
    <n v="4"/>
    <m/>
    <n v="147.9"/>
    <n v="26.100000000000005"/>
  </r>
  <r>
    <s v="SBG - Desktop"/>
    <x v="4"/>
    <s v="Task"/>
    <s v="DESK-2850"/>
    <s v="Click Frenzy Technical Requirements - AU Domain"/>
    <s v="Task"/>
    <x v="0"/>
    <d v="2015-11-05T09:47:00"/>
    <x v="8"/>
    <x v="0"/>
    <x v="13"/>
    <n v="4"/>
    <m/>
    <n v="147.9"/>
    <n v="26.100000000000005"/>
  </r>
  <r>
    <s v="SBG - Desktop"/>
    <x v="2"/>
    <s v="Task"/>
    <s v="DESK-2850"/>
    <s v="Click Frenzy Technical Requirements - AU Domain"/>
    <s v="Task"/>
    <x v="0"/>
    <d v="2015-11-09T10:22:00"/>
    <x v="8"/>
    <x v="0"/>
    <x v="22"/>
    <n v="8"/>
    <m/>
    <n v="147.9"/>
    <n v="26.100000000000005"/>
  </r>
  <r>
    <s v="SBG - Desktop"/>
    <x v="2"/>
    <s v="Task"/>
    <s v="DESK-2850"/>
    <s v="Click Frenzy Technical Requirements - AU Domain"/>
    <s v="Task"/>
    <x v="0"/>
    <d v="2015-11-10T10:22:00"/>
    <x v="8"/>
    <x v="0"/>
    <x v="22"/>
    <n v="8"/>
    <m/>
    <n v="147.9"/>
    <n v="26.100000000000005"/>
  </r>
  <r>
    <s v="SBG - Desktop"/>
    <x v="0"/>
    <s v="Task"/>
    <s v="DESK-2850"/>
    <s v="Click Frenzy Technical Requirements - AU Domain"/>
    <s v="Task"/>
    <x v="0"/>
    <d v="2015-11-10T18:28:00"/>
    <x v="8"/>
    <x v="0"/>
    <x v="7"/>
    <n v="0.16700000000000001"/>
    <m/>
    <n v="87"/>
    <n v="87"/>
  </r>
  <r>
    <s v="SBG - Desktop"/>
    <x v="4"/>
    <s v="Task"/>
    <s v="DESK-2850"/>
    <s v="Click Frenzy Technical Requirements - AU Domain"/>
    <s v="Task"/>
    <x v="0"/>
    <d v="2015-11-11T09:47:00"/>
    <x v="8"/>
    <x v="0"/>
    <x v="13"/>
    <n v="3"/>
    <m/>
    <n v="147.9"/>
    <n v="26.100000000000005"/>
  </r>
  <r>
    <s v="SBG - Desktop"/>
    <x v="2"/>
    <s v="Task"/>
    <s v="DESK-2850"/>
    <s v="Click Frenzy Technical Requirements - AU Domain"/>
    <s v="Task"/>
    <x v="0"/>
    <d v="2015-11-11T10:23:00"/>
    <x v="8"/>
    <x v="0"/>
    <x v="22"/>
    <n v="2"/>
    <m/>
    <n v="147.9"/>
    <n v="26.100000000000005"/>
  </r>
  <r>
    <s v="SBG - Desktop"/>
    <x v="1"/>
    <s v="Task"/>
    <s v="DESK-2850"/>
    <s v="Click Frenzy Technical Requirements - AU Domain"/>
    <s v="Task"/>
    <x v="0"/>
    <d v="2015-11-12T09:31:00"/>
    <x v="8"/>
    <x v="0"/>
    <x v="23"/>
    <n v="4"/>
    <m/>
    <n v="147.9"/>
    <n v="26.100000000000005"/>
  </r>
  <r>
    <s v="SBG - Desktop"/>
    <x v="2"/>
    <s v="Task"/>
    <s v="DESK-2850"/>
    <s v="Click Frenzy Technical Requirements - AU Domain"/>
    <s v="Task"/>
    <x v="0"/>
    <d v="2015-11-12T10:23:00"/>
    <x v="8"/>
    <x v="0"/>
    <x v="22"/>
    <n v="2"/>
    <m/>
    <n v="147.9"/>
    <n v="26.100000000000005"/>
  </r>
  <r>
    <s v="SBG - Desktop"/>
    <x v="2"/>
    <s v="Task"/>
    <s v="DESK-2850"/>
    <s v="Click Frenzy Technical Requirements - AU Domain"/>
    <s v="Task"/>
    <x v="0"/>
    <d v="2015-11-12T16:58:00"/>
    <x v="8"/>
    <x v="0"/>
    <x v="10"/>
    <n v="4"/>
    <m/>
    <n v="147.9"/>
    <n v="26.100000000000005"/>
  </r>
  <r>
    <s v="SBG - Desktop"/>
    <x v="2"/>
    <s v="Task"/>
    <s v="DESK-2850"/>
    <s v="Click Frenzy Technical Requirements - AU Domain"/>
    <s v="Task"/>
    <x v="0"/>
    <d v="2015-11-13T10:23:00"/>
    <x v="8"/>
    <x v="0"/>
    <x v="22"/>
    <n v="2"/>
    <m/>
    <n v="147.9"/>
    <n v="26.100000000000005"/>
  </r>
  <r>
    <s v="SBG - Desktop"/>
    <x v="2"/>
    <s v="Task"/>
    <s v="DESK-2850"/>
    <s v="Click Frenzy Technical Requirements - AU Domain"/>
    <s v="Task"/>
    <x v="0"/>
    <d v="2015-11-13T18:12:00"/>
    <x v="8"/>
    <x v="0"/>
    <x v="10"/>
    <n v="2"/>
    <m/>
    <n v="147.9"/>
    <n v="26.100000000000005"/>
  </r>
  <r>
    <s v="SBG - Desktop"/>
    <x v="2"/>
    <s v="Task"/>
    <s v="DESK-2850"/>
    <s v="Click Frenzy Technical Requirements - AU Domain"/>
    <s v="Task"/>
    <x v="0"/>
    <d v="2015-11-16T09:24:00"/>
    <x v="8"/>
    <x v="0"/>
    <x v="10"/>
    <n v="6"/>
    <m/>
    <n v="147.9"/>
    <n v="26.100000000000005"/>
  </r>
  <r>
    <s v="SBG - Desktop"/>
    <x v="2"/>
    <s v="Task"/>
    <s v="DESK-2850"/>
    <s v="Click Frenzy Technical Requirements - AU Domain"/>
    <s v="Task"/>
    <x v="0"/>
    <d v="2015-11-16T12:17:00"/>
    <x v="8"/>
    <x v="0"/>
    <x v="22"/>
    <n v="11"/>
    <m/>
    <n v="147.9"/>
    <n v="26.100000000000005"/>
  </r>
  <r>
    <s v="SBG - Desktop"/>
    <x v="2"/>
    <s v="Task"/>
    <s v="DESK-2850"/>
    <s v="Click Frenzy Technical Requirements - AU Domain"/>
    <s v="Task"/>
    <x v="0"/>
    <d v="2015-11-17T09:48:00"/>
    <x v="8"/>
    <x v="0"/>
    <x v="22"/>
    <n v="6"/>
    <m/>
    <n v="147.9"/>
    <n v="26.100000000000005"/>
  </r>
  <r>
    <s v="SBG - Desktop"/>
    <x v="2"/>
    <s v="Task"/>
    <s v="DESK-2850"/>
    <s v="Click Frenzy Technical Requirements - AU Domain"/>
    <s v="Task"/>
    <x v="0"/>
    <d v="2015-11-17T12:17:00"/>
    <x v="8"/>
    <x v="0"/>
    <x v="22"/>
    <n v="3"/>
    <m/>
    <n v="147.9"/>
    <n v="26.100000000000005"/>
  </r>
  <r>
    <s v="SBG - Desktop"/>
    <x v="2"/>
    <s v="Technical task"/>
    <s v="DESK-2851"/>
    <s v="DESK-2787&gt; add the state dropdown list for country AU"/>
    <s v="Technical task"/>
    <x v="0"/>
    <d v="2015-10-23T09:31:00"/>
    <x v="5"/>
    <x v="0"/>
    <x v="11"/>
    <n v="8"/>
    <m/>
    <n v="127.5"/>
    <n v="22.500000000000004"/>
  </r>
  <r>
    <s v="SBG - Desktop"/>
    <x v="2"/>
    <s v="Technical task"/>
    <s v="DESK-2851"/>
    <s v="DESK-2787&gt; add the state dropdown list for country AU"/>
    <s v="Technical task"/>
    <x v="0"/>
    <d v="2015-10-26T09:40:00"/>
    <x v="5"/>
    <x v="0"/>
    <x v="11"/>
    <n v="6"/>
    <m/>
    <n v="127.5"/>
    <n v="22.500000000000004"/>
  </r>
  <r>
    <s v="SBG - Desktop"/>
    <x v="4"/>
    <s v="Technical task"/>
    <s v="DESK-2852"/>
    <s v="DESK-2787&gt; [Checkout improvements] Country dropdown logic"/>
    <s v="Technical task"/>
    <x v="0"/>
    <d v="2015-10-22T16:16:00"/>
    <x v="5"/>
    <x v="0"/>
    <x v="13"/>
    <n v="3"/>
    <m/>
    <n v="127.5"/>
    <n v="22.500000000000004"/>
  </r>
  <r>
    <s v="SBG - Desktop"/>
    <x v="4"/>
    <s v="Technical task"/>
    <s v="DESK-2852"/>
    <s v="DESK-2787&gt; [Checkout improvements] Country dropdown logic"/>
    <s v="Technical task"/>
    <x v="0"/>
    <d v="2015-10-29T16:16:00"/>
    <x v="5"/>
    <x v="0"/>
    <x v="13"/>
    <n v="2"/>
    <m/>
    <n v="127.5"/>
    <n v="22.500000000000004"/>
  </r>
  <r>
    <s v="SBG - Desktop"/>
    <x v="2"/>
    <s v="Technical task"/>
    <s v="DESK-2852"/>
    <s v="DESK-2787&gt; [Checkout improvements] Country dropdown logic"/>
    <s v="Technical task"/>
    <x v="0"/>
    <d v="2015-10-30T10:00:00"/>
    <x v="5"/>
    <x v="0"/>
    <x v="11"/>
    <n v="6"/>
    <m/>
    <n v="127.5"/>
    <n v="22.500000000000004"/>
  </r>
  <r>
    <s v="SBG - Desktop"/>
    <x v="2"/>
    <s v="Improvement"/>
    <s v="DESK-2853"/>
    <s v="Add text labels to Frame Shape filter"/>
    <s v="Improvement"/>
    <x v="0"/>
    <d v="2015-10-05T11:00:00"/>
    <x v="5"/>
    <x v="0"/>
    <x v="18"/>
    <n v="8"/>
    <m/>
    <n v="127.5"/>
    <n v="22.500000000000004"/>
  </r>
  <r>
    <s v="SBG - Desktop"/>
    <x v="4"/>
    <s v="Improvement"/>
    <s v="DESK-2853"/>
    <s v="Add text labels to Frame Shape filter"/>
    <s v="Improvement"/>
    <x v="0"/>
    <d v="2015-10-26T15:22:00"/>
    <x v="5"/>
    <x v="0"/>
    <x v="13"/>
    <n v="3"/>
    <m/>
    <n v="127.5"/>
    <n v="22.500000000000004"/>
  </r>
  <r>
    <s v="SBG - Desktop"/>
    <x v="2"/>
    <s v="Improvement"/>
    <s v="DESK-2853"/>
    <s v="Add text labels to Frame Shape filter"/>
    <s v="Improvement"/>
    <x v="0"/>
    <d v="2015-10-26T17:41:00"/>
    <x v="5"/>
    <x v="0"/>
    <x v="18"/>
    <n v="4"/>
    <m/>
    <n v="127.5"/>
    <n v="22.500000000000004"/>
  </r>
  <r>
    <s v="SBG - Desktop"/>
    <x v="0"/>
    <s v="Improvement"/>
    <s v="DESK-2853"/>
    <s v="Add text labels to Frame Shape filter"/>
    <s v="Improvement"/>
    <x v="0"/>
    <d v="2015-10-30T12:14:00"/>
    <x v="5"/>
    <x v="0"/>
    <x v="7"/>
    <n v="3"/>
    <m/>
    <n v="75"/>
    <n v="75"/>
  </r>
  <r>
    <s v="SBG - Desktop"/>
    <x v="0"/>
    <s v="Improvement"/>
    <s v="DESK-2853"/>
    <s v="Add text labels to Frame Shape filter"/>
    <s v="Improvement"/>
    <x v="0"/>
    <d v="2015-11-02T11:00:00"/>
    <x v="8"/>
    <x v="0"/>
    <x v="7"/>
    <n v="0.5"/>
    <m/>
    <n v="87"/>
    <n v="87"/>
  </r>
  <r>
    <s v="SBG - Desktop"/>
    <x v="0"/>
    <s v="Improvement"/>
    <s v="DESK-2853"/>
    <s v="Add text labels to Frame Shape filter"/>
    <s v="Improvement"/>
    <x v="0"/>
    <d v="2015-11-02T15:04:00"/>
    <x v="8"/>
    <x v="0"/>
    <x v="7"/>
    <n v="0.5"/>
    <m/>
    <n v="87"/>
    <n v="87"/>
  </r>
  <r>
    <s v="SBG - Desktop"/>
    <x v="4"/>
    <s v="Improvement"/>
    <s v="DESK-2855"/>
    <s v="Remove Tracking Pixels - Affiliates"/>
    <s v="Improvement"/>
    <x v="0"/>
    <d v="2015-10-29T15:24:00"/>
    <x v="5"/>
    <x v="0"/>
    <x v="13"/>
    <n v="3"/>
    <m/>
    <n v="127.5"/>
    <n v="22.500000000000004"/>
  </r>
  <r>
    <s v="SBG - Desktop"/>
    <x v="4"/>
    <s v="Technical task"/>
    <s v="DESK-2856"/>
    <s v="DESK-2787&gt; [Checkout improvements] Shipping / Billing Address"/>
    <s v="Technical task"/>
    <x v="0"/>
    <d v="2015-10-29T15:25:00"/>
    <x v="5"/>
    <x v="0"/>
    <x v="13"/>
    <n v="4"/>
    <m/>
    <n v="127.5"/>
    <n v="22.500000000000004"/>
  </r>
  <r>
    <s v="SBG - Desktop"/>
    <x v="0"/>
    <s v="Technical task"/>
    <s v="DESK-2856"/>
    <s v="DESK-2787&gt; [Checkout improvements] Shipping / Billing Address"/>
    <s v="Technical task"/>
    <x v="0"/>
    <d v="2015-11-02T11:58:00"/>
    <x v="8"/>
    <x v="0"/>
    <x v="19"/>
    <n v="2"/>
    <m/>
    <n v="87"/>
    <n v="87"/>
  </r>
  <r>
    <s v="SBG - Desktop"/>
    <x v="4"/>
    <s v="Improvement"/>
    <s v="DESK-2860"/>
    <s v="Rewards, Discount, Referral fields improvement on Cart page"/>
    <s v="Improvement"/>
    <x v="0"/>
    <d v="2015-10-27T15:38:00"/>
    <x v="5"/>
    <x v="0"/>
    <x v="13"/>
    <n v="4"/>
    <m/>
    <n v="127.5"/>
    <n v="22.500000000000004"/>
  </r>
  <r>
    <s v="SBG - Desktop"/>
    <x v="4"/>
    <s v="Improvement"/>
    <s v="DESK-2860"/>
    <s v="Rewards, Discount, Referral fields improvement on Cart page"/>
    <s v="Improvement"/>
    <x v="0"/>
    <d v="2015-10-28T15:38:00"/>
    <x v="5"/>
    <x v="0"/>
    <x v="13"/>
    <n v="3"/>
    <m/>
    <n v="127.5"/>
    <n v="22.500000000000004"/>
  </r>
  <r>
    <s v="SBG - Desktop"/>
    <x v="4"/>
    <s v="Improvement"/>
    <s v="DESK-2860"/>
    <s v="Rewards, Discount, Referral fields improvement on Cart page"/>
    <s v="Improvement"/>
    <x v="0"/>
    <d v="2015-11-09T12:20:00"/>
    <x v="8"/>
    <x v="0"/>
    <x v="13"/>
    <n v="4"/>
    <m/>
    <n v="147.9"/>
    <n v="26.100000000000005"/>
  </r>
  <r>
    <s v="SBG - Desktop"/>
    <x v="4"/>
    <s v="Improvement"/>
    <s v="DESK-2860"/>
    <s v="Rewards, Discount, Referral fields improvement on Cart page"/>
    <s v="Improvement"/>
    <x v="0"/>
    <d v="2015-11-09T12:20:00"/>
    <x v="8"/>
    <x v="0"/>
    <x v="13"/>
    <n v="1"/>
    <m/>
    <n v="147.9"/>
    <n v="26.100000000000005"/>
  </r>
  <r>
    <s v="SBG - Desktop"/>
    <x v="4"/>
    <s v="Improvement"/>
    <s v="DESK-2860"/>
    <s v="Rewards, Discount, Referral fields improvement on Cart page"/>
    <s v="Improvement"/>
    <x v="0"/>
    <d v="2015-11-10T12:20:00"/>
    <x v="8"/>
    <x v="0"/>
    <x v="13"/>
    <n v="4"/>
    <m/>
    <n v="147.9"/>
    <n v="26.100000000000005"/>
  </r>
  <r>
    <s v="SBG - Desktop"/>
    <x v="4"/>
    <s v="Improvement"/>
    <s v="DESK-2860"/>
    <s v="Rewards, Discount, Referral fields improvement on Cart page"/>
    <s v="Improvement"/>
    <x v="0"/>
    <d v="2015-11-12T12:20:00"/>
    <x v="8"/>
    <x v="0"/>
    <x v="13"/>
    <n v="5"/>
    <m/>
    <n v="147.9"/>
    <n v="26.100000000000005"/>
  </r>
  <r>
    <s v="SBG - Desktop"/>
    <x v="4"/>
    <s v="Improvement"/>
    <s v="DESK-2860"/>
    <s v="Rewards, Discount, Referral fields improvement on Cart page"/>
    <s v="Improvement"/>
    <x v="0"/>
    <d v="2015-11-13T12:20:00"/>
    <x v="8"/>
    <x v="0"/>
    <x v="13"/>
    <n v="5"/>
    <m/>
    <n v="147.9"/>
    <n v="26.100000000000005"/>
  </r>
  <r>
    <s v="SBG - Desktop"/>
    <x v="4"/>
    <s v="Improvement"/>
    <s v="DESK-2860"/>
    <s v="Rewards, Discount, Referral fields improvement on Cart page"/>
    <s v="Improvement"/>
    <x v="0"/>
    <d v="2015-11-16T12:20:00"/>
    <x v="8"/>
    <x v="0"/>
    <x v="13"/>
    <n v="5"/>
    <m/>
    <n v="147.9"/>
    <n v="26.100000000000005"/>
  </r>
  <r>
    <s v="SBG - Desktop"/>
    <x v="4"/>
    <s v="Improvement"/>
    <s v="DESK-2860"/>
    <s v="Rewards, Discount, Referral fields improvement on Cart page"/>
    <s v="Improvement"/>
    <x v="0"/>
    <d v="2015-11-17T12:20:00"/>
    <x v="8"/>
    <x v="0"/>
    <x v="13"/>
    <n v="5"/>
    <m/>
    <n v="147.9"/>
    <n v="26.100000000000005"/>
  </r>
  <r>
    <s v="SBG - Desktop"/>
    <x v="0"/>
    <s v="Improvement"/>
    <s v="DESK-2860"/>
    <s v="Rewards, Discount, Referral fields improvement on Cart page"/>
    <s v="Improvement"/>
    <x v="0"/>
    <d v="2015-11-26T09:13:00"/>
    <x v="8"/>
    <x v="0"/>
    <x v="19"/>
    <n v="8"/>
    <m/>
    <n v="87"/>
    <n v="87"/>
  </r>
  <r>
    <s v="SBG - Desktop"/>
    <x v="0"/>
    <s v="Improvement"/>
    <s v="DESK-2860"/>
    <s v="Rewards, Discount, Referral fields improvement on Cart page"/>
    <s v="Improvement"/>
    <x v="0"/>
    <d v="2015-11-30T09:13:00"/>
    <x v="8"/>
    <x v="0"/>
    <x v="19"/>
    <n v="8"/>
    <m/>
    <n v="87"/>
    <n v="87"/>
  </r>
  <r>
    <s v="SBG - Desktop"/>
    <x v="0"/>
    <s v="Improvement"/>
    <s v="DESK-2861"/>
    <s v="Add a close button for a Top promo bar"/>
    <s v="Improvement"/>
    <x v="0"/>
    <d v="2015-11-02T14:36:00"/>
    <x v="8"/>
    <x v="0"/>
    <x v="7"/>
    <n v="4"/>
    <m/>
    <n v="87"/>
    <n v="87"/>
  </r>
  <r>
    <s v="SBG - Desktop"/>
    <x v="2"/>
    <s v="Improvement"/>
    <s v="DESK-2861"/>
    <s v="Add a close button for a Top promo bar"/>
    <s v="Improvement"/>
    <x v="0"/>
    <d v="2015-11-02T17:49:00"/>
    <x v="8"/>
    <x v="0"/>
    <x v="10"/>
    <n v="4"/>
    <m/>
    <n v="147.9"/>
    <n v="26.100000000000005"/>
  </r>
  <r>
    <s v="SBG - Desktop"/>
    <x v="2"/>
    <s v="Improvement"/>
    <s v="DESK-2861"/>
    <s v="Add a close button for a Top promo bar"/>
    <s v="Improvement"/>
    <x v="0"/>
    <d v="2015-11-03T18:37:00"/>
    <x v="8"/>
    <x v="0"/>
    <x v="10"/>
    <n v="3"/>
    <m/>
    <n v="147.9"/>
    <n v="26.100000000000005"/>
  </r>
  <r>
    <s v="SBG - Desktop"/>
    <x v="2"/>
    <s v="Improvement"/>
    <s v="DESK-2861"/>
    <s v="Add a close button for a Top promo bar"/>
    <s v="Improvement"/>
    <x v="0"/>
    <d v="2015-11-04T10:20:00"/>
    <x v="8"/>
    <x v="0"/>
    <x v="10"/>
    <n v="2"/>
    <m/>
    <n v="147.9"/>
    <n v="26.100000000000005"/>
  </r>
  <r>
    <s v="SBG - Desktop"/>
    <x v="2"/>
    <s v="Improvement"/>
    <s v="DESK-2861"/>
    <s v="Add a close button for a Top promo bar"/>
    <s v="Improvement"/>
    <x v="0"/>
    <d v="2015-11-05T16:32:00"/>
    <x v="8"/>
    <x v="0"/>
    <x v="10"/>
    <n v="2"/>
    <m/>
    <n v="147.9"/>
    <n v="26.100000000000005"/>
  </r>
  <r>
    <s v="SBG - Desktop"/>
    <x v="2"/>
    <s v="Improvement"/>
    <s v="DESK-2861"/>
    <s v="Add a close button for a Top promo bar"/>
    <s v="Improvement"/>
    <x v="0"/>
    <d v="2015-11-06T11:19:00"/>
    <x v="8"/>
    <x v="0"/>
    <x v="10"/>
    <n v="2"/>
    <m/>
    <n v="147.9"/>
    <n v="26.100000000000005"/>
  </r>
  <r>
    <s v="SBG - Desktop"/>
    <x v="0"/>
    <s v="Improvement"/>
    <s v="DESK-2861"/>
    <s v="Add a close button for a Top promo bar"/>
    <s v="Improvement"/>
    <x v="0"/>
    <d v="2015-11-09T17:25:00"/>
    <x v="8"/>
    <x v="0"/>
    <x v="19"/>
    <n v="1"/>
    <m/>
    <n v="87"/>
    <n v="87"/>
  </r>
  <r>
    <s v="SBG - Desktop"/>
    <x v="0"/>
    <s v="Improvement"/>
    <s v="DESK-2861"/>
    <s v="Add a close button for a Top promo bar"/>
    <s v="Improvement"/>
    <x v="0"/>
    <d v="2015-11-10T15:18:00"/>
    <x v="8"/>
    <x v="0"/>
    <x v="19"/>
    <n v="2"/>
    <m/>
    <n v="87"/>
    <n v="87"/>
  </r>
  <r>
    <s v="SBG - Desktop"/>
    <x v="0"/>
    <s v="Improvement"/>
    <s v="DESK-2861"/>
    <s v="Add a close button for a Top promo bar"/>
    <s v="Improvement"/>
    <x v="0"/>
    <d v="2015-11-11T09:12:00"/>
    <x v="8"/>
    <x v="0"/>
    <x v="19"/>
    <n v="8"/>
    <m/>
    <n v="87"/>
    <n v="87"/>
  </r>
  <r>
    <s v="SBG - Desktop"/>
    <x v="0"/>
    <s v="Improvement"/>
    <s v="DESK-2861"/>
    <s v="Add a close button for a Top promo bar"/>
    <s v="Improvement"/>
    <x v="0"/>
    <d v="2015-11-13T15:12:00"/>
    <x v="8"/>
    <x v="0"/>
    <x v="19"/>
    <n v="2"/>
    <m/>
    <n v="87"/>
    <n v="87"/>
  </r>
  <r>
    <s v="SBG - Desktop"/>
    <x v="0"/>
    <s v="Improvement"/>
    <s v="DESK-2861"/>
    <s v="Add a close button for a Top promo bar"/>
    <s v="Improvement"/>
    <x v="0"/>
    <d v="2015-11-20T09:12:00"/>
    <x v="8"/>
    <x v="0"/>
    <x v="19"/>
    <n v="8"/>
    <m/>
    <n v="87"/>
    <n v="87"/>
  </r>
  <r>
    <s v="SBG - Desktop"/>
    <x v="0"/>
    <s v="Improvement"/>
    <s v="DESK-2861"/>
    <s v="Add a close button for a Top promo bar"/>
    <s v="Improvement"/>
    <x v="0"/>
    <d v="2015-11-25T09:13:00"/>
    <x v="8"/>
    <x v="0"/>
    <x v="19"/>
    <n v="8"/>
    <m/>
    <n v="87"/>
    <n v="87"/>
  </r>
  <r>
    <s v="SBG - Desktop"/>
    <x v="0"/>
    <s v="New Feature"/>
    <s v="DESK-2862"/>
    <s v="Header banner doesn't work in Safari"/>
    <s v="New Feature"/>
    <x v="0"/>
    <d v="2015-10-30T16:30:00"/>
    <x v="5"/>
    <x v="0"/>
    <x v="19"/>
    <n v="1"/>
    <m/>
    <n v="75"/>
    <n v="75"/>
  </r>
  <r>
    <s v="SBG - Desktop"/>
    <x v="1"/>
    <s v="New Feature"/>
    <s v="DESK-2863"/>
    <s v="RAY-BAN RX EUROPE TOP BAR CAMPAIGN"/>
    <s v="New Feature"/>
    <x v="0"/>
    <d v="2015-10-01T08:02:00"/>
    <x v="5"/>
    <x v="0"/>
    <x v="23"/>
    <n v="8"/>
    <m/>
    <n v="127.5"/>
    <n v="22.500000000000004"/>
  </r>
  <r>
    <s v="SBG - Desktop"/>
    <x v="1"/>
    <s v="New Feature"/>
    <s v="DESK-2863"/>
    <s v="RAY-BAN RX EUROPE TOP BAR CAMPAIGN"/>
    <s v="New Feature"/>
    <x v="0"/>
    <d v="2015-10-07T08:01:00"/>
    <x v="5"/>
    <x v="0"/>
    <x v="23"/>
    <n v="8"/>
    <m/>
    <n v="127.5"/>
    <n v="22.500000000000004"/>
  </r>
  <r>
    <s v="SBG - Desktop"/>
    <x v="1"/>
    <s v="New Feature"/>
    <s v="DESK-2863"/>
    <s v="RAY-BAN RX EUROPE TOP BAR CAMPAIGN"/>
    <s v="New Feature"/>
    <x v="0"/>
    <d v="2015-10-09T08:01:00"/>
    <x v="5"/>
    <x v="0"/>
    <x v="23"/>
    <n v="8"/>
    <m/>
    <n v="127.5"/>
    <n v="22.500000000000004"/>
  </r>
  <r>
    <s v="SBG - Desktop"/>
    <x v="1"/>
    <s v="New Feature"/>
    <s v="DESK-2863"/>
    <s v="RAY-BAN RX EUROPE TOP BAR CAMPAIGN"/>
    <s v="New Feature"/>
    <x v="0"/>
    <d v="2015-10-14T10:00:00"/>
    <x v="5"/>
    <x v="0"/>
    <x v="23"/>
    <n v="6"/>
    <m/>
    <n v="127.5"/>
    <n v="22.500000000000004"/>
  </r>
  <r>
    <s v="SBG - Desktop"/>
    <x v="1"/>
    <s v="New Feature"/>
    <s v="DESK-2863"/>
    <s v="RAY-BAN RX EUROPE TOP BAR CAMPAIGN"/>
    <s v="New Feature"/>
    <x v="0"/>
    <d v="2015-10-16T14:01:00"/>
    <x v="5"/>
    <x v="0"/>
    <x v="23"/>
    <n v="2"/>
    <m/>
    <n v="127.5"/>
    <n v="22.500000000000004"/>
  </r>
  <r>
    <s v="SBG - Desktop"/>
    <x v="1"/>
    <s v="New Feature"/>
    <s v="DESK-2863"/>
    <s v="RAY-BAN RX EUROPE TOP BAR CAMPAIGN"/>
    <s v="New Feature"/>
    <x v="0"/>
    <d v="2015-10-22T07:59:00"/>
    <x v="5"/>
    <x v="0"/>
    <x v="23"/>
    <n v="8"/>
    <m/>
    <n v="127.5"/>
    <n v="22.500000000000004"/>
  </r>
  <r>
    <s v="SBG - Desktop"/>
    <x v="1"/>
    <s v="New Feature"/>
    <s v="DESK-2863"/>
    <s v="RAY-BAN RX EUROPE TOP BAR CAMPAIGN"/>
    <s v="New Feature"/>
    <x v="0"/>
    <d v="2015-10-23T14:00:00"/>
    <x v="5"/>
    <x v="0"/>
    <x v="23"/>
    <n v="2"/>
    <m/>
    <n v="127.5"/>
    <n v="22.500000000000004"/>
  </r>
  <r>
    <s v="SBG - Desktop"/>
    <x v="1"/>
    <s v="New Feature"/>
    <s v="DESK-2863"/>
    <s v="RAY-BAN RX EUROPE TOP BAR CAMPAIGN"/>
    <s v="New Feature"/>
    <x v="0"/>
    <d v="2015-10-29T07:43:00"/>
    <x v="5"/>
    <x v="0"/>
    <x v="23"/>
    <n v="8"/>
    <m/>
    <n v="127.5"/>
    <n v="22.500000000000004"/>
  </r>
  <r>
    <s v="SBG - Desktop"/>
    <x v="2"/>
    <s v="New Feature"/>
    <s v="DESK-2863"/>
    <s v="RAY-BAN RX EUROPE TOP BAR CAMPAIGN"/>
    <s v="New Feature"/>
    <x v="0"/>
    <d v="2015-11-02T17:50:00"/>
    <x v="8"/>
    <x v="0"/>
    <x v="10"/>
    <n v="4"/>
    <m/>
    <n v="147.9"/>
    <n v="26.100000000000005"/>
  </r>
  <r>
    <s v="SBG - Desktop"/>
    <x v="0"/>
    <s v="New Feature"/>
    <s v="DESK-2863"/>
    <s v="RAY-BAN RX EUROPE TOP BAR CAMPAIGN"/>
    <s v="New Feature"/>
    <x v="0"/>
    <d v="2015-11-03T15:15:00"/>
    <x v="8"/>
    <x v="0"/>
    <x v="7"/>
    <n v="1"/>
    <m/>
    <n v="87"/>
    <n v="87"/>
  </r>
  <r>
    <s v="SBG - Desktop"/>
    <x v="0"/>
    <s v="New Feature"/>
    <s v="DESK-2863"/>
    <s v="RAY-BAN RX EUROPE TOP BAR CAMPAIGN"/>
    <s v="New Feature"/>
    <x v="0"/>
    <d v="2015-11-03T17:07:00"/>
    <x v="8"/>
    <x v="0"/>
    <x v="7"/>
    <n v="0.5"/>
    <m/>
    <n v="87"/>
    <n v="87"/>
  </r>
  <r>
    <s v="SBG - Desktop"/>
    <x v="2"/>
    <s v="New Feature"/>
    <s v="DESK-2863"/>
    <s v="RAY-BAN RX EUROPE TOP BAR CAMPAIGN"/>
    <s v="New Feature"/>
    <x v="0"/>
    <d v="2015-11-03T18:38:00"/>
    <x v="8"/>
    <x v="0"/>
    <x v="10"/>
    <n v="3"/>
    <m/>
    <n v="147.9"/>
    <n v="26.100000000000005"/>
  </r>
  <r>
    <s v="SBG - Desktop"/>
    <x v="1"/>
    <s v="New Feature"/>
    <s v="DESK-2863"/>
    <s v="RAY-BAN RX EUROPE TOP BAR CAMPAIGN"/>
    <s v="New Feature"/>
    <x v="0"/>
    <d v="2015-11-04T09:39:00"/>
    <x v="8"/>
    <x v="0"/>
    <x v="23"/>
    <n v="3"/>
    <m/>
    <n v="147.9"/>
    <n v="26.100000000000005"/>
  </r>
  <r>
    <s v="SBG - Desktop"/>
    <x v="2"/>
    <s v="New Feature"/>
    <s v="DESK-2863"/>
    <s v="RAY-BAN RX EUROPE TOP BAR CAMPAIGN"/>
    <s v="New Feature"/>
    <x v="0"/>
    <d v="2015-11-04T10:19:00"/>
    <x v="8"/>
    <x v="0"/>
    <x v="10"/>
    <n v="2"/>
    <m/>
    <n v="147.9"/>
    <n v="26.100000000000005"/>
  </r>
  <r>
    <s v="SBG - Desktop"/>
    <x v="0"/>
    <s v="New Feature"/>
    <s v="DESK-2863"/>
    <s v="RAY-BAN RX EUROPE TOP BAR CAMPAIGN"/>
    <s v="New Feature"/>
    <x v="0"/>
    <d v="2015-11-04T11:52:00"/>
    <x v="8"/>
    <x v="0"/>
    <x v="7"/>
    <n v="0.5"/>
    <m/>
    <n v="87"/>
    <n v="87"/>
  </r>
  <r>
    <s v="SBG - Desktop"/>
    <x v="2"/>
    <s v="New Feature"/>
    <s v="DESK-2863"/>
    <s v="RAY-BAN RX EUROPE TOP BAR CAMPAIGN"/>
    <s v="New Feature"/>
    <x v="0"/>
    <d v="2015-11-06T11:19:00"/>
    <x v="8"/>
    <x v="0"/>
    <x v="10"/>
    <n v="3"/>
    <m/>
    <n v="147.9"/>
    <n v="26.100000000000005"/>
  </r>
  <r>
    <s v="SBG - Desktop"/>
    <x v="0"/>
    <s v="New Feature"/>
    <s v="DESK-2863"/>
    <s v="RAY-BAN RX EUROPE TOP BAR CAMPAIGN"/>
    <s v="New Feature"/>
    <x v="0"/>
    <d v="2015-11-06T17:41:00"/>
    <x v="8"/>
    <x v="0"/>
    <x v="7"/>
    <n v="0.5"/>
    <m/>
    <n v="87"/>
    <n v="87"/>
  </r>
  <r>
    <s v="SBG - Desktop"/>
    <x v="1"/>
    <s v="New Feature"/>
    <s v="DESK-2863"/>
    <s v="RAY-BAN RX EUROPE TOP BAR CAMPAIGN"/>
    <s v="New Feature"/>
    <x v="0"/>
    <d v="2015-11-11T07:46:00"/>
    <x v="8"/>
    <x v="0"/>
    <x v="23"/>
    <n v="8"/>
    <m/>
    <n v="147.9"/>
    <n v="26.100000000000005"/>
  </r>
  <r>
    <s v="SBG - Desktop"/>
    <x v="0"/>
    <s v="New Feature"/>
    <s v="DESK-2864"/>
    <s v="Home Page Banner Replacement"/>
    <s v="New Feature"/>
    <x v="0"/>
    <d v="2015-11-02T18:21:00"/>
    <x v="8"/>
    <x v="0"/>
    <x v="7"/>
    <n v="1.5"/>
    <m/>
    <n v="87"/>
    <n v="87"/>
  </r>
  <r>
    <s v="SBG - Desktop"/>
    <x v="0"/>
    <s v="New Feature"/>
    <s v="DESK-2864"/>
    <s v="Home Page Banner Replacement"/>
    <s v="New Feature"/>
    <x v="0"/>
    <d v="2015-11-03T15:47:00"/>
    <x v="8"/>
    <x v="0"/>
    <x v="7"/>
    <n v="0.5"/>
    <m/>
    <n v="87"/>
    <n v="87"/>
  </r>
  <r>
    <s v="SBG - Desktop"/>
    <x v="0"/>
    <s v="New Feature"/>
    <s v="DESK-2864"/>
    <s v="Home Page Banner Replacement"/>
    <s v="New Feature"/>
    <x v="0"/>
    <d v="2015-11-03T17:24:00"/>
    <x v="8"/>
    <x v="0"/>
    <x v="7"/>
    <n v="0.5"/>
    <m/>
    <n v="87"/>
    <n v="87"/>
  </r>
  <r>
    <s v="SBG - Desktop"/>
    <x v="0"/>
    <s v="New Feature"/>
    <s v="DESK-2864"/>
    <s v="Home Page Banner Replacement"/>
    <s v="New Feature"/>
    <x v="0"/>
    <d v="2015-11-09T18:13:00"/>
    <x v="8"/>
    <x v="0"/>
    <x v="7"/>
    <n v="0.5"/>
    <m/>
    <n v="87"/>
    <n v="87"/>
  </r>
  <r>
    <s v="SBG - Desktop"/>
    <x v="1"/>
    <s v="New Feature"/>
    <s v="DESK-2864"/>
    <s v="Home Page Banner Replacement"/>
    <s v="New Feature"/>
    <x v="0"/>
    <d v="2015-11-10T07:46:00"/>
    <x v="8"/>
    <x v="0"/>
    <x v="23"/>
    <n v="8"/>
    <m/>
    <n v="147.9"/>
    <n v="26.100000000000005"/>
  </r>
  <r>
    <s v="SBG - Desktop"/>
    <x v="1"/>
    <s v="New Feature"/>
    <s v="DESK-2864"/>
    <s v="Home Page Banner Replacement"/>
    <s v="New Feature"/>
    <x v="0"/>
    <d v="2015-11-13T09:40:00"/>
    <x v="8"/>
    <x v="0"/>
    <x v="23"/>
    <n v="3"/>
    <m/>
    <n v="147.9"/>
    <n v="26.100000000000005"/>
  </r>
  <r>
    <s v="SBG - Desktop"/>
    <x v="2"/>
    <s v="Improvement"/>
    <s v="DESK-2865"/>
    <s v="SBG too many connects to mysql server issue"/>
    <s v="Improvement"/>
    <x v="0"/>
    <d v="2015-11-02T17:49:00"/>
    <x v="8"/>
    <x v="0"/>
    <x v="2"/>
    <n v="8"/>
    <m/>
    <n v="147.9"/>
    <n v="26.100000000000005"/>
  </r>
  <r>
    <s v="SBG - Desktop"/>
    <x v="0"/>
    <s v="Bug"/>
    <s v="DESK-2866"/>
    <s v="Desktop UX/ Content Issues"/>
    <s v="Bug"/>
    <x v="1"/>
    <d v="2015-10-07T10:19:00"/>
    <x v="5"/>
    <x v="0"/>
    <x v="24"/>
    <n v="8"/>
    <m/>
    <n v="75"/>
    <n v="75"/>
  </r>
  <r>
    <s v="SBG - Desktop"/>
    <x v="0"/>
    <s v="Bug"/>
    <s v="DESK-2866"/>
    <s v="Desktop UX/ Content Issues"/>
    <s v="Bug"/>
    <x v="1"/>
    <d v="2015-10-14T10:19:00"/>
    <x v="5"/>
    <x v="0"/>
    <x v="24"/>
    <n v="8"/>
    <m/>
    <n v="75"/>
    <n v="75"/>
  </r>
  <r>
    <s v="SBG - Desktop"/>
    <x v="0"/>
    <s v="Bug"/>
    <s v="DESK-2866"/>
    <s v="Desktop UX/ Content Issues"/>
    <s v="Bug"/>
    <x v="1"/>
    <d v="2015-10-15T10:19:00"/>
    <x v="5"/>
    <x v="0"/>
    <x v="24"/>
    <n v="8"/>
    <m/>
    <n v="75"/>
    <n v="75"/>
  </r>
  <r>
    <s v="SBG - Desktop"/>
    <x v="0"/>
    <s v="Bug"/>
    <s v="DESK-2866"/>
    <s v="Desktop UX/ Content Issues"/>
    <s v="Bug"/>
    <x v="1"/>
    <d v="2015-10-19T10:19:00"/>
    <x v="5"/>
    <x v="0"/>
    <x v="24"/>
    <n v="8"/>
    <m/>
    <n v="75"/>
    <n v="75"/>
  </r>
  <r>
    <s v="SBG - Desktop"/>
    <x v="0"/>
    <s v="Bug"/>
    <s v="DESK-2866"/>
    <s v="Desktop UX/ Content Issues"/>
    <s v="Bug"/>
    <x v="1"/>
    <d v="2015-10-20T10:19:00"/>
    <x v="5"/>
    <x v="0"/>
    <x v="24"/>
    <n v="8"/>
    <m/>
    <n v="75"/>
    <n v="75"/>
  </r>
  <r>
    <s v="SBG - Desktop"/>
    <x v="0"/>
    <s v="Bug"/>
    <s v="DESK-2866"/>
    <s v="Desktop UX/ Content Issues"/>
    <s v="Bug"/>
    <x v="1"/>
    <d v="2015-10-21T10:19:00"/>
    <x v="5"/>
    <x v="0"/>
    <x v="24"/>
    <n v="8"/>
    <m/>
    <n v="75"/>
    <n v="75"/>
  </r>
  <r>
    <s v="SBG - Desktop"/>
    <x v="0"/>
    <s v="Bug"/>
    <s v="DESK-2866"/>
    <s v="Desktop UX/ Content Issues"/>
    <s v="Bug"/>
    <x v="1"/>
    <d v="2015-10-22T10:27:00"/>
    <x v="5"/>
    <x v="0"/>
    <x v="24"/>
    <n v="8"/>
    <s v="Arranging UX issues."/>
    <n v="75"/>
    <n v="75"/>
  </r>
  <r>
    <s v="SBG - Desktop"/>
    <x v="0"/>
    <s v="Bug"/>
    <s v="DESK-2866"/>
    <s v="Desktop UX/ Content Issues"/>
    <s v="Bug"/>
    <x v="1"/>
    <d v="2015-10-23T10:28:00"/>
    <x v="5"/>
    <x v="0"/>
    <x v="24"/>
    <n v="8"/>
    <s v="Arranging UX issues."/>
    <n v="75"/>
    <n v="75"/>
  </r>
  <r>
    <s v="SBG - Desktop"/>
    <x v="0"/>
    <s v="Bug"/>
    <s v="DESK-2866"/>
    <s v="Desktop UX/ Content Issues"/>
    <s v="Bug"/>
    <x v="1"/>
    <d v="2015-10-26T10:19:00"/>
    <x v="5"/>
    <x v="0"/>
    <x v="24"/>
    <n v="8"/>
    <m/>
    <n v="75"/>
    <n v="75"/>
  </r>
  <r>
    <s v="SBG - Desktop"/>
    <x v="0"/>
    <s v="Bug"/>
    <s v="DESK-2866"/>
    <s v="Desktop UX/ Content Issues"/>
    <s v="Bug"/>
    <x v="1"/>
    <d v="2015-10-27T10:19:00"/>
    <x v="5"/>
    <x v="0"/>
    <x v="24"/>
    <n v="8"/>
    <m/>
    <n v="75"/>
    <n v="75"/>
  </r>
  <r>
    <s v="SBG - Desktop"/>
    <x v="0"/>
    <s v="Bug"/>
    <s v="DESK-2866"/>
    <s v="Desktop UX/ Content Issues"/>
    <s v="Bug"/>
    <x v="1"/>
    <d v="2015-10-28T13:19:00"/>
    <x v="5"/>
    <x v="0"/>
    <x v="24"/>
    <n v="5"/>
    <m/>
    <n v="75"/>
    <n v="75"/>
  </r>
  <r>
    <s v="SBG - Desktop"/>
    <x v="1"/>
    <s v="Task"/>
    <s v="DESK-2872"/>
    <s v="Invoice Update"/>
    <s v="Task"/>
    <x v="0"/>
    <d v="2015-11-23T19:48:00"/>
    <x v="8"/>
    <x v="0"/>
    <x v="1"/>
    <n v="8"/>
    <m/>
    <n v="147.9"/>
    <n v="26.100000000000005"/>
  </r>
  <r>
    <s v="SBG - Desktop"/>
    <x v="1"/>
    <s v="Task"/>
    <s v="DESK-2872"/>
    <s v="Invoice Update"/>
    <s v="Task"/>
    <x v="0"/>
    <d v="2015-11-26T19:49:00"/>
    <x v="8"/>
    <x v="0"/>
    <x v="1"/>
    <n v="8"/>
    <m/>
    <n v="147.9"/>
    <n v="26.100000000000005"/>
  </r>
  <r>
    <s v="SBG - Desktop"/>
    <x v="1"/>
    <s v="Task"/>
    <s v="DESK-2872"/>
    <s v="Invoice Update"/>
    <s v="Task"/>
    <x v="0"/>
    <d v="2015-11-27T10:02:00"/>
    <x v="8"/>
    <x v="0"/>
    <x v="1"/>
    <n v="3"/>
    <m/>
    <n v="147.9"/>
    <n v="26.100000000000005"/>
  </r>
  <r>
    <s v="SBG - Desktop"/>
    <x v="1"/>
    <s v="Task"/>
    <s v="DESK-2872"/>
    <s v="Invoice Update"/>
    <s v="Task"/>
    <x v="0"/>
    <d v="2015-11-27T12:32:00"/>
    <x v="8"/>
    <x v="0"/>
    <x v="1"/>
    <n v="4"/>
    <m/>
    <n v="147.9"/>
    <n v="26.100000000000005"/>
  </r>
  <r>
    <s v="SBG - Desktop"/>
    <x v="1"/>
    <s v="Task"/>
    <s v="DESK-2872"/>
    <s v="Invoice Update"/>
    <s v="Task"/>
    <x v="0"/>
    <d v="2015-11-30T17:30:00"/>
    <x v="8"/>
    <x v="0"/>
    <x v="1"/>
    <n v="3"/>
    <m/>
    <n v="147.9"/>
    <n v="26.100000000000005"/>
  </r>
  <r>
    <s v="SBG - Desktop"/>
    <x v="2"/>
    <s v="Task"/>
    <s v="DESK-2873"/>
    <s v="Php upgrade to 5.6 from 5.2"/>
    <s v="Task"/>
    <x v="0"/>
    <d v="2015-11-26T09:30:00"/>
    <x v="8"/>
    <x v="0"/>
    <x v="29"/>
    <n v="8"/>
    <m/>
    <n v="147.9"/>
    <n v="26.100000000000005"/>
  </r>
  <r>
    <s v="SBG - Desktop"/>
    <x v="2"/>
    <s v="Task"/>
    <s v="DESK-2874"/>
    <s v="DB connection performance tuning"/>
    <s v="Task"/>
    <x v="0"/>
    <d v="2015-11-03T16:00:00"/>
    <x v="8"/>
    <x v="0"/>
    <x v="29"/>
    <n v="2"/>
    <m/>
    <n v="147.9"/>
    <n v="26.100000000000005"/>
  </r>
  <r>
    <s v="SBG - Desktop"/>
    <x v="2"/>
    <s v="Task"/>
    <s v="DESK-2874"/>
    <s v="DB connection performance tuning"/>
    <s v="Task"/>
    <x v="0"/>
    <d v="2015-11-04T14:00:00"/>
    <x v="8"/>
    <x v="0"/>
    <x v="29"/>
    <n v="4"/>
    <m/>
    <n v="147.9"/>
    <n v="26.100000000000005"/>
  </r>
  <r>
    <s v="SBG - Desktop"/>
    <x v="2"/>
    <s v="Task"/>
    <s v="DESK-2874"/>
    <s v="DB connection performance tuning"/>
    <s v="Task"/>
    <x v="0"/>
    <d v="2015-11-04T21:50:00"/>
    <x v="8"/>
    <x v="0"/>
    <x v="29"/>
    <n v="3"/>
    <m/>
    <n v="147.9"/>
    <n v="26.100000000000005"/>
  </r>
  <r>
    <s v="SBG - Desktop"/>
    <x v="2"/>
    <s v="Task"/>
    <s v="DESK-2874"/>
    <s v="DB connection performance tuning"/>
    <s v="Task"/>
    <x v="0"/>
    <d v="2015-11-05T14:30:00"/>
    <x v="8"/>
    <x v="0"/>
    <x v="29"/>
    <n v="4"/>
    <m/>
    <n v="147.9"/>
    <n v="26.100000000000005"/>
  </r>
  <r>
    <s v="SBG - Desktop"/>
    <x v="2"/>
    <s v="Task"/>
    <s v="DESK-2874"/>
    <s v="DB connection performance tuning"/>
    <s v="Task"/>
    <x v="0"/>
    <d v="2015-11-05T21:00:00"/>
    <x v="8"/>
    <x v="0"/>
    <x v="29"/>
    <n v="5"/>
    <m/>
    <n v="147.9"/>
    <n v="26.100000000000005"/>
  </r>
  <r>
    <s v="SBG - Desktop"/>
    <x v="2"/>
    <s v="Task"/>
    <s v="DESK-2874"/>
    <s v="DB connection performance tuning"/>
    <s v="Task"/>
    <x v="0"/>
    <d v="2015-11-06T09:30:00"/>
    <x v="8"/>
    <x v="0"/>
    <x v="29"/>
    <n v="3"/>
    <m/>
    <n v="147.9"/>
    <n v="26.100000000000005"/>
  </r>
  <r>
    <s v="SBG - Desktop"/>
    <x v="2"/>
    <s v="Task"/>
    <s v="DESK-2874"/>
    <s v="DB connection performance tuning"/>
    <s v="Task"/>
    <x v="0"/>
    <d v="2015-11-07T09:30:00"/>
    <x v="8"/>
    <x v="0"/>
    <x v="29"/>
    <n v="7"/>
    <m/>
    <n v="147.9"/>
    <n v="26.100000000000005"/>
  </r>
  <r>
    <s v="SBG - Desktop"/>
    <x v="2"/>
    <s v="Task"/>
    <s v="DESK-2874"/>
    <s v="DB connection performance tuning"/>
    <s v="Task"/>
    <x v="0"/>
    <d v="2015-11-09T09:30:00"/>
    <x v="8"/>
    <x v="0"/>
    <x v="29"/>
    <n v="8"/>
    <m/>
    <n v="147.9"/>
    <n v="26.100000000000005"/>
  </r>
  <r>
    <s v="SBG - Desktop"/>
    <x v="2"/>
    <s v="Task"/>
    <s v="DESK-2874"/>
    <s v="DB connection performance tuning"/>
    <s v="Task"/>
    <x v="0"/>
    <d v="2015-11-10T09:30:00"/>
    <x v="8"/>
    <x v="0"/>
    <x v="29"/>
    <n v="8"/>
    <m/>
    <n v="147.9"/>
    <n v="26.100000000000005"/>
  </r>
  <r>
    <s v="SBG - Desktop"/>
    <x v="2"/>
    <s v="Task"/>
    <s v="DESK-2874"/>
    <s v="DB connection performance tuning"/>
    <s v="Task"/>
    <x v="0"/>
    <d v="2015-11-16T09:30:00"/>
    <x v="8"/>
    <x v="0"/>
    <x v="29"/>
    <n v="8"/>
    <m/>
    <n v="147.9"/>
    <n v="26.100000000000005"/>
  </r>
  <r>
    <s v="SBG - Desktop"/>
    <x v="2"/>
    <s v="Task"/>
    <s v="DESK-2874"/>
    <s v="DB connection performance tuning"/>
    <s v="Task"/>
    <x v="0"/>
    <d v="2015-11-17T09:30:00"/>
    <x v="8"/>
    <x v="0"/>
    <x v="29"/>
    <n v="8"/>
    <m/>
    <n v="147.9"/>
    <n v="26.100000000000005"/>
  </r>
  <r>
    <s v="SBG - Desktop"/>
    <x v="2"/>
    <s v="Task"/>
    <s v="DESK-2874"/>
    <s v="DB connection performance tuning"/>
    <s v="Task"/>
    <x v="0"/>
    <d v="2015-11-18T09:30:00"/>
    <x v="8"/>
    <x v="0"/>
    <x v="29"/>
    <n v="5"/>
    <m/>
    <n v="147.9"/>
    <n v="26.100000000000005"/>
  </r>
  <r>
    <s v="SBG - Desktop"/>
    <x v="2"/>
    <s v="Task"/>
    <s v="DESK-2874"/>
    <s v="DB connection performance tuning"/>
    <s v="Task"/>
    <x v="0"/>
    <d v="2015-11-18T18:26:00"/>
    <x v="8"/>
    <x v="0"/>
    <x v="29"/>
    <n v="3"/>
    <m/>
    <n v="147.9"/>
    <n v="26.100000000000005"/>
  </r>
  <r>
    <s v="SBG - Desktop"/>
    <x v="2"/>
    <s v="Task"/>
    <s v="DESK-2874"/>
    <s v="DB connection performance tuning"/>
    <s v="Task"/>
    <x v="0"/>
    <d v="2015-11-19T09:30:00"/>
    <x v="8"/>
    <x v="0"/>
    <x v="29"/>
    <n v="8"/>
    <m/>
    <n v="147.9"/>
    <n v="26.100000000000005"/>
  </r>
  <r>
    <s v="SBG - Desktop"/>
    <x v="2"/>
    <s v="Task"/>
    <s v="DESK-2874"/>
    <s v="DB connection performance tuning"/>
    <s v="Task"/>
    <x v="0"/>
    <d v="2015-11-20T09:30:00"/>
    <x v="8"/>
    <x v="0"/>
    <x v="29"/>
    <n v="8"/>
    <m/>
    <n v="147.9"/>
    <n v="26.100000000000005"/>
  </r>
  <r>
    <s v="SBG - Desktop"/>
    <x v="2"/>
    <s v="Task"/>
    <s v="DESK-2874"/>
    <s v="DB connection performance tuning"/>
    <s v="Task"/>
    <x v="0"/>
    <d v="2015-11-23T09:30:00"/>
    <x v="8"/>
    <x v="0"/>
    <x v="29"/>
    <n v="8"/>
    <m/>
    <n v="147.9"/>
    <n v="26.100000000000005"/>
  </r>
  <r>
    <s v="SBG - Desktop"/>
    <x v="2"/>
    <s v="Task"/>
    <s v="DESK-2874"/>
    <s v="DB connection performance tuning"/>
    <s v="Task"/>
    <x v="0"/>
    <d v="2015-11-24T09:30:00"/>
    <x v="8"/>
    <x v="0"/>
    <x v="29"/>
    <n v="8"/>
    <m/>
    <n v="147.9"/>
    <n v="26.100000000000005"/>
  </r>
  <r>
    <s v="SBG - Desktop"/>
    <x v="2"/>
    <s v="New Feature"/>
    <s v="DESK-2877"/>
    <s v="push back the existing smartbuy/VD banner to 11/10"/>
    <s v="New Feature"/>
    <x v="0"/>
    <d v="2015-11-04T10:18:00"/>
    <x v="8"/>
    <x v="0"/>
    <x v="10"/>
    <n v="2"/>
    <m/>
    <n v="147.9"/>
    <n v="26.100000000000005"/>
  </r>
  <r>
    <s v="SBG - Desktop"/>
    <x v="2"/>
    <s v="Sub-task"/>
    <s v="DESK-2879"/>
    <s v="DESK-2874&gt; Product page AJAX fix"/>
    <s v="Sub-task"/>
    <x v="0"/>
    <d v="2015-11-06T14:00:00"/>
    <x v="8"/>
    <x v="0"/>
    <x v="29"/>
    <n v="4"/>
    <m/>
    <n v="147.9"/>
    <n v="26.100000000000005"/>
  </r>
  <r>
    <s v="SBG - Desktop"/>
    <x v="2"/>
    <s v="Sub-task"/>
    <s v="DESK-2879"/>
    <s v="DESK-2874&gt; Product page AJAX fix"/>
    <s v="Sub-task"/>
    <x v="0"/>
    <d v="2015-11-09T21:30:00"/>
    <x v="8"/>
    <x v="0"/>
    <x v="29"/>
    <n v="2"/>
    <m/>
    <n v="147.9"/>
    <n v="26.100000000000005"/>
  </r>
  <r>
    <s v="SBG - Desktop"/>
    <x v="2"/>
    <s v="New Feature"/>
    <s v="DESK-2880"/>
    <s v="Ski Goggles Top Bar - US/CA"/>
    <s v="New Feature"/>
    <x v="0"/>
    <d v="2015-11-06T11:19:00"/>
    <x v="8"/>
    <x v="0"/>
    <x v="10"/>
    <n v="3"/>
    <m/>
    <n v="147.9"/>
    <n v="26.100000000000005"/>
  </r>
  <r>
    <s v="SBG - Desktop"/>
    <x v="0"/>
    <s v="New Feature"/>
    <s v="DESK-2880"/>
    <s v="Ski Goggles Top Bar - US/CA"/>
    <s v="New Feature"/>
    <x v="0"/>
    <d v="2015-11-06T16:28:00"/>
    <x v="8"/>
    <x v="0"/>
    <x v="7"/>
    <n v="0.5"/>
    <m/>
    <n v="87"/>
    <n v="87"/>
  </r>
  <r>
    <s v="SBG - Desktop"/>
    <x v="1"/>
    <s v="New Feature"/>
    <s v="DESK-2880"/>
    <s v="Ski Goggles Top Bar - US/CA"/>
    <s v="New Feature"/>
    <x v="0"/>
    <d v="2015-11-09T07:46:00"/>
    <x v="8"/>
    <x v="0"/>
    <x v="23"/>
    <n v="8"/>
    <m/>
    <n v="147.9"/>
    <n v="26.100000000000005"/>
  </r>
  <r>
    <s v="SBG - Desktop"/>
    <x v="2"/>
    <s v="New Feature"/>
    <s v="DESK-2880"/>
    <s v="Ski Goggles Top Bar - US/CA"/>
    <s v="New Feature"/>
    <x v="0"/>
    <d v="2015-11-09T10:25:00"/>
    <x v="8"/>
    <x v="0"/>
    <x v="10"/>
    <n v="3"/>
    <m/>
    <n v="147.9"/>
    <n v="26.100000000000005"/>
  </r>
  <r>
    <s v="SBG - Desktop"/>
    <x v="0"/>
    <s v="New Feature"/>
    <s v="DESK-2880"/>
    <s v="Ski Goggles Top Bar - US/CA"/>
    <s v="New Feature"/>
    <x v="0"/>
    <d v="2015-11-09T10:30:00"/>
    <x v="8"/>
    <x v="0"/>
    <x v="7"/>
    <n v="0.5"/>
    <m/>
    <n v="87"/>
    <n v="87"/>
  </r>
  <r>
    <s v="SBG - Desktop"/>
    <x v="2"/>
    <s v="New Feature"/>
    <s v="DESK-2880"/>
    <s v="Ski Goggles Top Bar - US/CA"/>
    <s v="New Feature"/>
    <x v="0"/>
    <d v="2015-11-10T18:02:00"/>
    <x v="8"/>
    <x v="0"/>
    <x v="10"/>
    <n v="1"/>
    <m/>
    <n v="147.9"/>
    <n v="26.100000000000005"/>
  </r>
  <r>
    <s v="SBG - Desktop"/>
    <x v="2"/>
    <s v="New Feature"/>
    <s v="DESK-2880"/>
    <s v="Ski Goggles Top Bar - US/CA"/>
    <s v="New Feature"/>
    <x v="0"/>
    <d v="2015-11-11T16:58:00"/>
    <x v="8"/>
    <x v="0"/>
    <x v="10"/>
    <n v="2"/>
    <m/>
    <n v="147.9"/>
    <n v="26.100000000000005"/>
  </r>
  <r>
    <s v="SBG - Desktop"/>
    <x v="0"/>
    <s v="New Feature"/>
    <s v="DESK-2880"/>
    <s v="Ski Goggles Top Bar - US/CA"/>
    <s v="New Feature"/>
    <x v="0"/>
    <d v="2015-11-12T11:50:00"/>
    <x v="8"/>
    <x v="0"/>
    <x v="7"/>
    <n v="0.5"/>
    <s v="Updated pictures"/>
    <n v="87"/>
    <n v="87"/>
  </r>
  <r>
    <s v="SBG - Desktop"/>
    <x v="2"/>
    <s v="New Feature"/>
    <s v="DESK-2880"/>
    <s v="Ski Goggles Top Bar - US/CA"/>
    <s v="New Feature"/>
    <x v="0"/>
    <d v="2015-11-12T18:16:00"/>
    <x v="8"/>
    <x v="0"/>
    <x v="10"/>
    <n v="2"/>
    <m/>
    <n v="147.9"/>
    <n v="26.100000000000005"/>
  </r>
  <r>
    <s v="SBG - Desktop"/>
    <x v="1"/>
    <s v="New Feature"/>
    <s v="DESK-2880"/>
    <s v="Ski Goggles Top Bar - US/CA"/>
    <s v="New Feature"/>
    <x v="0"/>
    <d v="2015-11-13T09:40:00"/>
    <x v="8"/>
    <x v="0"/>
    <x v="23"/>
    <n v="2"/>
    <m/>
    <n v="147.9"/>
    <n v="26.100000000000005"/>
  </r>
  <r>
    <s v="SBG - Desktop"/>
    <x v="1"/>
    <s v="New Feature"/>
    <s v="DESK-2881"/>
    <s v="Luxottica APAC Campaign Top Bar"/>
    <s v="New Feature"/>
    <x v="0"/>
    <d v="2015-10-08T08:01:00"/>
    <x v="5"/>
    <x v="0"/>
    <x v="23"/>
    <n v="8"/>
    <m/>
    <n v="127.5"/>
    <n v="22.500000000000004"/>
  </r>
  <r>
    <s v="SBG - Desktop"/>
    <x v="1"/>
    <s v="New Feature"/>
    <s v="DESK-2881"/>
    <s v="Luxottica APAC Campaign Top Bar"/>
    <s v="New Feature"/>
    <x v="0"/>
    <d v="2015-10-13T08:00:00"/>
    <x v="5"/>
    <x v="0"/>
    <x v="23"/>
    <n v="8"/>
    <m/>
    <n v="127.5"/>
    <n v="22.500000000000004"/>
  </r>
  <r>
    <s v="SBG - Desktop"/>
    <x v="1"/>
    <s v="New Feature"/>
    <s v="DESK-2881"/>
    <s v="Luxottica APAC Campaign Top Bar"/>
    <s v="New Feature"/>
    <x v="0"/>
    <d v="2015-10-14T14:01:00"/>
    <x v="5"/>
    <x v="0"/>
    <x v="23"/>
    <n v="2"/>
    <m/>
    <n v="127.5"/>
    <n v="22.500000000000004"/>
  </r>
  <r>
    <s v="SBG - Desktop"/>
    <x v="1"/>
    <s v="New Feature"/>
    <s v="DESK-2881"/>
    <s v="Luxottica APAC Campaign Top Bar"/>
    <s v="New Feature"/>
    <x v="0"/>
    <d v="2015-10-20T07:59:00"/>
    <x v="5"/>
    <x v="0"/>
    <x v="23"/>
    <n v="8"/>
    <m/>
    <n v="127.5"/>
    <n v="22.500000000000004"/>
  </r>
  <r>
    <s v="SBG - Desktop"/>
    <x v="1"/>
    <s v="New Feature"/>
    <s v="DESK-2881"/>
    <s v="Luxottica APAC Campaign Top Bar"/>
    <s v="New Feature"/>
    <x v="0"/>
    <d v="2015-10-23T14:00:00"/>
    <x v="5"/>
    <x v="0"/>
    <x v="23"/>
    <n v="2"/>
    <m/>
    <n v="127.5"/>
    <n v="22.500000000000004"/>
  </r>
  <r>
    <s v="SBG - Desktop"/>
    <x v="1"/>
    <s v="New Feature"/>
    <s v="DESK-2881"/>
    <s v="Luxottica APAC Campaign Top Bar"/>
    <s v="New Feature"/>
    <x v="0"/>
    <d v="2015-10-30T07:44:00"/>
    <x v="5"/>
    <x v="0"/>
    <x v="23"/>
    <n v="8"/>
    <m/>
    <n v="127.5"/>
    <n v="22.500000000000004"/>
  </r>
  <r>
    <s v="SBG - Desktop"/>
    <x v="1"/>
    <s v="New Feature"/>
    <s v="DESK-2881"/>
    <s v="Luxottica APAC Campaign Top Bar"/>
    <s v="New Feature"/>
    <x v="0"/>
    <d v="2015-11-04T09:40:00"/>
    <x v="8"/>
    <x v="0"/>
    <x v="23"/>
    <n v="3"/>
    <m/>
    <n v="147.9"/>
    <n v="26.100000000000005"/>
  </r>
  <r>
    <s v="SBG - Desktop"/>
    <x v="1"/>
    <s v="New Feature"/>
    <s v="DESK-2881"/>
    <s v="Luxottica APAC Campaign Top Bar"/>
    <s v="New Feature"/>
    <x v="0"/>
    <d v="2015-11-06T07:46:00"/>
    <x v="8"/>
    <x v="0"/>
    <x v="23"/>
    <n v="8"/>
    <m/>
    <n v="147.9"/>
    <n v="26.100000000000005"/>
  </r>
  <r>
    <s v="SBG - Desktop"/>
    <x v="0"/>
    <s v="New Feature"/>
    <s v="DESK-2881"/>
    <s v="Luxottica APAC Campaign Top Bar"/>
    <s v="New Feature"/>
    <x v="0"/>
    <d v="2015-11-06T17:41:00"/>
    <x v="8"/>
    <x v="0"/>
    <x v="7"/>
    <n v="0.5"/>
    <m/>
    <n v="87"/>
    <n v="87"/>
  </r>
  <r>
    <s v="SBG - Desktop"/>
    <x v="2"/>
    <s v="New Feature"/>
    <s v="DESK-2881"/>
    <s v="Luxottica APAC Campaign Top Bar"/>
    <s v="New Feature"/>
    <x v="0"/>
    <d v="2015-11-09T10:25:00"/>
    <x v="8"/>
    <x v="0"/>
    <x v="10"/>
    <n v="3"/>
    <m/>
    <n v="147.9"/>
    <n v="26.100000000000005"/>
  </r>
  <r>
    <s v="SBG - Desktop"/>
    <x v="0"/>
    <s v="New Feature"/>
    <s v="DESK-2881"/>
    <s v="Luxottica APAC Campaign Top Bar"/>
    <s v="New Feature"/>
    <x v="0"/>
    <d v="2015-11-09T10:30:00"/>
    <x v="8"/>
    <x v="0"/>
    <x v="7"/>
    <n v="0.5"/>
    <m/>
    <n v="87"/>
    <n v="87"/>
  </r>
  <r>
    <s v="SBG - Desktop"/>
    <x v="0"/>
    <s v="New Feature"/>
    <s v="DESK-2881"/>
    <s v="Luxottica APAC Campaign Top Bar"/>
    <s v="New Feature"/>
    <x v="0"/>
    <d v="2015-11-10T10:19:00"/>
    <x v="8"/>
    <x v="0"/>
    <x v="7"/>
    <n v="1"/>
    <m/>
    <n v="87"/>
    <n v="87"/>
  </r>
  <r>
    <s v="SBG - Desktop"/>
    <x v="0"/>
    <s v="New Feature"/>
    <s v="DESK-2881"/>
    <s v="Luxottica APAC Campaign Top Bar"/>
    <s v="New Feature"/>
    <x v="0"/>
    <d v="2015-11-10T12:04:00"/>
    <x v="8"/>
    <x v="0"/>
    <x v="7"/>
    <n v="1"/>
    <m/>
    <n v="87"/>
    <n v="87"/>
  </r>
  <r>
    <s v="SBG - Desktop"/>
    <x v="2"/>
    <s v="New Feature"/>
    <s v="DESK-2881"/>
    <s v="Luxottica APAC Campaign Top Bar"/>
    <s v="New Feature"/>
    <x v="0"/>
    <d v="2015-11-10T18:02:00"/>
    <x v="8"/>
    <x v="0"/>
    <x v="10"/>
    <n v="2"/>
    <m/>
    <n v="147.9"/>
    <n v="26.100000000000005"/>
  </r>
  <r>
    <s v="SBG - Desktop"/>
    <x v="2"/>
    <s v="New Feature"/>
    <s v="DESK-2881"/>
    <s v="Luxottica APAC Campaign Top Bar"/>
    <s v="New Feature"/>
    <x v="0"/>
    <d v="2015-11-11T16:56:00"/>
    <x v="8"/>
    <x v="0"/>
    <x v="10"/>
    <n v="3"/>
    <m/>
    <n v="147.9"/>
    <n v="26.100000000000005"/>
  </r>
  <r>
    <s v="SBG - Desktop"/>
    <x v="0"/>
    <s v="New Feature"/>
    <s v="DESK-2881"/>
    <s v="Luxottica APAC Campaign Top Bar"/>
    <s v="New Feature"/>
    <x v="0"/>
    <d v="2015-11-12T11:48:00"/>
    <x v="8"/>
    <x v="0"/>
    <x v="7"/>
    <n v="0.5"/>
    <m/>
    <n v="87"/>
    <n v="87"/>
  </r>
  <r>
    <s v="SBG - Desktop"/>
    <x v="2"/>
    <s v="New Feature"/>
    <s v="DESK-2881"/>
    <s v="Luxottica APAC Campaign Top Bar"/>
    <s v="New Feature"/>
    <x v="0"/>
    <d v="2015-11-12T16:57:00"/>
    <x v="8"/>
    <x v="0"/>
    <x v="10"/>
    <n v="2"/>
    <m/>
    <n v="147.9"/>
    <n v="26.100000000000005"/>
  </r>
  <r>
    <s v="SBG - Desktop"/>
    <x v="1"/>
    <s v="New Feature"/>
    <s v="DESK-2882"/>
    <s v="test www.smartbuyglasses.co.uk on 67.192.91.40"/>
    <s v="New Feature"/>
    <x v="0"/>
    <d v="2015-10-14T08:15:00"/>
    <x v="5"/>
    <x v="0"/>
    <x v="26"/>
    <n v="8"/>
    <m/>
    <n v="127.5"/>
    <n v="22.500000000000004"/>
  </r>
  <r>
    <s v="SBG - Desktop"/>
    <x v="1"/>
    <s v="New Feature"/>
    <s v="DESK-2882"/>
    <s v="test www.smartbuyglasses.co.uk on 67.192.91.40"/>
    <s v="New Feature"/>
    <x v="0"/>
    <d v="2015-10-21T08:14:00"/>
    <x v="5"/>
    <x v="0"/>
    <x v="26"/>
    <n v="8"/>
    <m/>
    <n v="127.5"/>
    <n v="22.500000000000004"/>
  </r>
  <r>
    <s v="SBG - Desktop"/>
    <x v="1"/>
    <s v="New Feature"/>
    <s v="DESK-2882"/>
    <s v="test www.smartbuyglasses.co.uk on 67.192.91.40"/>
    <s v="New Feature"/>
    <x v="0"/>
    <d v="2015-10-30T08:14:00"/>
    <x v="5"/>
    <x v="0"/>
    <x v="26"/>
    <n v="8"/>
    <m/>
    <n v="127.5"/>
    <n v="22.500000000000004"/>
  </r>
  <r>
    <s v="SBG - Desktop"/>
    <x v="1"/>
    <s v="New Feature"/>
    <s v="DESK-2882"/>
    <s v="test www.smartbuyglasses.co.uk on 67.192.91.40"/>
    <s v="New Feature"/>
    <x v="0"/>
    <d v="2015-11-02T08:14:00"/>
    <x v="8"/>
    <x v="0"/>
    <x v="26"/>
    <n v="8"/>
    <m/>
    <n v="147.9"/>
    <n v="26.100000000000005"/>
  </r>
  <r>
    <s v="SBG - Desktop"/>
    <x v="1"/>
    <s v="New Feature"/>
    <s v="DESK-2882"/>
    <s v="test www.smartbuyglasses.co.uk on 67.192.91.40"/>
    <s v="New Feature"/>
    <x v="0"/>
    <d v="2015-11-06T11:17:00"/>
    <x v="8"/>
    <x v="0"/>
    <x v="26"/>
    <n v="4"/>
    <m/>
    <n v="147.9"/>
    <n v="26.100000000000005"/>
  </r>
  <r>
    <s v="SBG - Desktop"/>
    <x v="0"/>
    <s v="Improvement"/>
    <s v="DESK-2884"/>
    <s v="Header / Footer Improvement"/>
    <s v="Improvement"/>
    <x v="0"/>
    <d v="2015-11-18T17:12:00"/>
    <x v="8"/>
    <x v="0"/>
    <x v="19"/>
    <n v="4"/>
    <m/>
    <n v="87"/>
    <n v="87"/>
  </r>
  <r>
    <s v="SBG - Desktop"/>
    <x v="2"/>
    <s v="Improvement"/>
    <s v="DESK-2884"/>
    <s v="Header / Footer Improvement"/>
    <s v="Improvement"/>
    <x v="0"/>
    <d v="2015-11-18T17:32:00"/>
    <x v="8"/>
    <x v="0"/>
    <x v="22"/>
    <n v="4"/>
    <m/>
    <n v="147.9"/>
    <n v="26.100000000000005"/>
  </r>
  <r>
    <s v="SBG - Desktop"/>
    <x v="0"/>
    <s v="Improvement"/>
    <s v="DESK-2884"/>
    <s v="Header / Footer Improvement"/>
    <s v="Improvement"/>
    <x v="0"/>
    <d v="2015-11-23T11:06:00"/>
    <x v="8"/>
    <x v="0"/>
    <x v="19"/>
    <n v="1"/>
    <m/>
    <n v="87"/>
    <n v="87"/>
  </r>
  <r>
    <s v="SBG - Desktop"/>
    <x v="2"/>
    <s v="Bug"/>
    <s v="DESK-2888"/>
    <s v="implement memcache on header and footer"/>
    <s v="Bug"/>
    <x v="1"/>
    <d v="2015-11-09T09:30:00"/>
    <x v="8"/>
    <x v="0"/>
    <x v="11"/>
    <n v="16"/>
    <m/>
    <n v="147.9"/>
    <n v="26.100000000000005"/>
  </r>
  <r>
    <s v="SBG - Desktop"/>
    <x v="2"/>
    <s v="Bug"/>
    <s v="DESK-2888"/>
    <s v="implement memcache on header and footer"/>
    <s v="Bug"/>
    <x v="1"/>
    <d v="2015-11-16T08:30:00"/>
    <x v="8"/>
    <x v="0"/>
    <x v="11"/>
    <n v="1"/>
    <s v="fix log, was 1 d"/>
    <n v="147.9"/>
    <n v="26.100000000000005"/>
  </r>
  <r>
    <s v="SBG - Desktop"/>
    <x v="2"/>
    <s v="Bug"/>
    <s v="DESK-2888"/>
    <s v="implement memcache on header and footer"/>
    <s v="Bug"/>
    <x v="1"/>
    <d v="2015-11-17T21:33:00"/>
    <x v="8"/>
    <x v="0"/>
    <x v="11"/>
    <n v="6"/>
    <m/>
    <n v="147.9"/>
    <n v="26.100000000000005"/>
  </r>
  <r>
    <s v="SBG - Desktop"/>
    <x v="2"/>
    <s v="Bug"/>
    <s v="DESK-2888"/>
    <s v="implement memcache on header and footer"/>
    <s v="Bug"/>
    <x v="1"/>
    <d v="2015-11-19T09:30:00"/>
    <x v="8"/>
    <x v="0"/>
    <x v="11"/>
    <n v="17"/>
    <s v="fix log, was 1d"/>
    <n v="147.9"/>
    <n v="26.100000000000005"/>
  </r>
  <r>
    <s v="SBG - Desktop"/>
    <x v="2"/>
    <s v="Bug"/>
    <s v="DESK-2888"/>
    <s v="implement memcache on header and footer"/>
    <s v="Bug"/>
    <x v="1"/>
    <d v="2015-11-24T09:32:00"/>
    <x v="8"/>
    <x v="0"/>
    <x v="11"/>
    <n v="8"/>
    <m/>
    <n v="147.9"/>
    <n v="26.100000000000005"/>
  </r>
  <r>
    <s v="SBG - Desktop"/>
    <x v="2"/>
    <s v="New Feature"/>
    <s v="DESK-2890"/>
    <s v="Please reduce the request times and number from checkout page to mysql server"/>
    <s v="New Feature"/>
    <x v="0"/>
    <d v="2015-11-10T15:21:00"/>
    <x v="8"/>
    <x v="0"/>
    <x v="2"/>
    <n v="8"/>
    <m/>
    <n v="147.9"/>
    <n v="26.100000000000005"/>
  </r>
  <r>
    <s v="SBG - Desktop"/>
    <x v="2"/>
    <s v="New Feature"/>
    <s v="DESK-2898"/>
    <s v="Black Friday/ Cyber Monday"/>
    <s v="New Feature"/>
    <x v="0"/>
    <d v="2015-11-23T10:19:00"/>
    <x v="8"/>
    <x v="0"/>
    <x v="22"/>
    <n v="8"/>
    <m/>
    <n v="147.9"/>
    <n v="26.100000000000005"/>
  </r>
  <r>
    <s v="SBG - Desktop"/>
    <x v="2"/>
    <s v="New Feature"/>
    <s v="DESK-2898"/>
    <s v="Black Friday/ Cyber Monday"/>
    <s v="New Feature"/>
    <x v="0"/>
    <d v="2015-11-26T09:26:00"/>
    <x v="8"/>
    <x v="0"/>
    <x v="10"/>
    <n v="3"/>
    <m/>
    <n v="147.9"/>
    <n v="26.100000000000005"/>
  </r>
  <r>
    <s v="SBG - Desktop"/>
    <x v="0"/>
    <s v="New Feature"/>
    <s v="DESK-2898"/>
    <s v="Black Friday/ Cyber Monday"/>
    <s v="New Feature"/>
    <x v="0"/>
    <d v="2015-11-26T11:21:00"/>
    <x v="8"/>
    <x v="0"/>
    <x v="7"/>
    <n v="0.5"/>
    <m/>
    <n v="87"/>
    <n v="87"/>
  </r>
  <r>
    <s v="SBG - Desktop"/>
    <x v="2"/>
    <s v="New Feature"/>
    <s v="DESK-2898"/>
    <s v="Black Friday/ Cyber Monday"/>
    <s v="New Feature"/>
    <x v="0"/>
    <d v="2015-11-27T09:39:00"/>
    <x v="8"/>
    <x v="0"/>
    <x v="10"/>
    <n v="1"/>
    <m/>
    <n v="147.9"/>
    <n v="26.100000000000005"/>
  </r>
  <r>
    <s v="SBG - Desktop"/>
    <x v="1"/>
    <s v="New Feature"/>
    <s v="DESK-2898"/>
    <s v="Black Friday/ Cyber Monday"/>
    <s v="New Feature"/>
    <x v="0"/>
    <d v="2015-11-30T09:45:00"/>
    <x v="8"/>
    <x v="0"/>
    <x v="23"/>
    <n v="7"/>
    <m/>
    <n v="147.9"/>
    <n v="26.100000000000005"/>
  </r>
  <r>
    <s v="SBG - Desktop"/>
    <x v="4"/>
    <s v="New Feature"/>
    <s v="DESK-2899"/>
    <s v="Product Page Buy Button A/B test"/>
    <s v="New Feature"/>
    <x v="0"/>
    <d v="2015-11-02T12:40:00"/>
    <x v="8"/>
    <x v="0"/>
    <x v="13"/>
    <n v="4"/>
    <m/>
    <n v="147.9"/>
    <n v="26.100000000000005"/>
  </r>
  <r>
    <s v="SBG - Desktop"/>
    <x v="4"/>
    <s v="New Feature"/>
    <s v="DESK-2899"/>
    <s v="Product Page Buy Button A/B test"/>
    <s v="New Feature"/>
    <x v="0"/>
    <d v="2015-11-03T12:40:00"/>
    <x v="8"/>
    <x v="0"/>
    <x v="13"/>
    <n v="4"/>
    <m/>
    <n v="147.9"/>
    <n v="26.100000000000005"/>
  </r>
  <r>
    <s v="SBG - Desktop"/>
    <x v="4"/>
    <s v="New Feature"/>
    <s v="DESK-2899"/>
    <s v="Product Page Buy Button A/B test"/>
    <s v="New Feature"/>
    <x v="0"/>
    <d v="2015-11-04T12:40:00"/>
    <x v="8"/>
    <x v="0"/>
    <x v="13"/>
    <n v="4"/>
    <m/>
    <n v="147.9"/>
    <n v="26.100000000000005"/>
  </r>
  <r>
    <s v="SBG - Desktop"/>
    <x v="4"/>
    <s v="New Feature"/>
    <s v="DESK-2899"/>
    <s v="Product Page Buy Button A/B test"/>
    <s v="New Feature"/>
    <x v="0"/>
    <d v="2015-11-05T12:40:00"/>
    <x v="8"/>
    <x v="0"/>
    <x v="13"/>
    <n v="4"/>
    <m/>
    <n v="147.9"/>
    <n v="26.100000000000005"/>
  </r>
  <r>
    <s v="SBG - Desktop"/>
    <x v="4"/>
    <s v="New Feature"/>
    <s v="DESK-2899"/>
    <s v="Product Page Buy Button A/B test"/>
    <s v="New Feature"/>
    <x v="0"/>
    <d v="2015-11-06T12:40:00"/>
    <x v="8"/>
    <x v="0"/>
    <x v="13"/>
    <n v="4"/>
    <m/>
    <n v="147.9"/>
    <n v="26.100000000000005"/>
  </r>
  <r>
    <s v="SBG - Desktop"/>
    <x v="4"/>
    <s v="New Feature"/>
    <s v="DESK-2899"/>
    <s v="Product Page Buy Button A/B test"/>
    <s v="New Feature"/>
    <x v="0"/>
    <d v="2015-11-09T12:40:00"/>
    <x v="8"/>
    <x v="0"/>
    <x v="13"/>
    <n v="4"/>
    <m/>
    <n v="147.9"/>
    <n v="26.100000000000005"/>
  </r>
  <r>
    <s v="SBG - Desktop"/>
    <x v="4"/>
    <s v="New Feature"/>
    <s v="DESK-2899"/>
    <s v="Product Page Buy Button A/B test"/>
    <s v="New Feature"/>
    <x v="0"/>
    <d v="2015-11-10T12:40:00"/>
    <x v="8"/>
    <x v="0"/>
    <x v="13"/>
    <n v="4"/>
    <m/>
    <n v="147.9"/>
    <n v="26.100000000000005"/>
  </r>
  <r>
    <s v="SBG - Desktop"/>
    <x v="4"/>
    <s v="New Feature"/>
    <s v="DESK-2899"/>
    <s v="Product Page Buy Button A/B test"/>
    <s v="New Feature"/>
    <x v="0"/>
    <d v="2015-11-11T12:40:00"/>
    <x v="8"/>
    <x v="0"/>
    <x v="13"/>
    <n v="4"/>
    <m/>
    <n v="147.9"/>
    <n v="26.100000000000005"/>
  </r>
  <r>
    <s v="SBG - Desktop"/>
    <x v="0"/>
    <s v="New Feature"/>
    <s v="DESK-2899"/>
    <s v="Product Page Buy Button A/B test"/>
    <s v="New Feature"/>
    <x v="0"/>
    <d v="2015-11-19T18:42:00"/>
    <x v="8"/>
    <x v="0"/>
    <x v="7"/>
    <n v="3.5"/>
    <m/>
    <n v="87"/>
    <n v="87"/>
  </r>
  <r>
    <s v="SBG - Desktop"/>
    <x v="0"/>
    <s v="New Feature"/>
    <s v="DESK-2899"/>
    <s v="Product Page Buy Button A/B test"/>
    <s v="New Feature"/>
    <x v="0"/>
    <d v="2015-11-20T18:43:00"/>
    <x v="8"/>
    <x v="0"/>
    <x v="7"/>
    <n v="5"/>
    <s v="design html"/>
    <n v="87"/>
    <n v="87"/>
  </r>
  <r>
    <s v="SBG - Desktop"/>
    <x v="0"/>
    <s v="New Feature"/>
    <s v="DESK-2899"/>
    <s v="Product Page Buy Button A/B test"/>
    <s v="New Feature"/>
    <x v="0"/>
    <d v="2015-11-23T18:44:00"/>
    <x v="8"/>
    <x v="0"/>
    <x v="7"/>
    <n v="7"/>
    <m/>
    <n v="87"/>
    <n v="87"/>
  </r>
  <r>
    <s v="SBG - Desktop"/>
    <x v="0"/>
    <s v="New Feature"/>
    <s v="DESK-2899"/>
    <s v="Product Page Buy Button A/B test"/>
    <s v="New Feature"/>
    <x v="0"/>
    <d v="2015-11-24T18:42:00"/>
    <x v="8"/>
    <x v="0"/>
    <x v="7"/>
    <n v="8"/>
    <m/>
    <n v="87"/>
    <n v="87"/>
  </r>
  <r>
    <s v="SBG - Desktop"/>
    <x v="2"/>
    <s v="New Feature"/>
    <s v="DESK-2899"/>
    <s v="Product Page Buy Button A/B test"/>
    <s v="New Feature"/>
    <x v="0"/>
    <d v="2015-11-25T17:51:00"/>
    <x v="8"/>
    <x v="0"/>
    <x v="10"/>
    <n v="8"/>
    <m/>
    <n v="147.9"/>
    <n v="26.100000000000005"/>
  </r>
  <r>
    <s v="SBG - Desktop"/>
    <x v="2"/>
    <s v="New Feature"/>
    <s v="DESK-2899"/>
    <s v="Product Page Buy Button A/B test"/>
    <s v="New Feature"/>
    <x v="0"/>
    <d v="2015-11-26T09:26:00"/>
    <x v="8"/>
    <x v="0"/>
    <x v="10"/>
    <n v="5"/>
    <m/>
    <n v="147.9"/>
    <n v="26.100000000000005"/>
  </r>
  <r>
    <s v="SBG - Desktop"/>
    <x v="2"/>
    <s v="New Feature"/>
    <s v="DESK-2899"/>
    <s v="Product Page Buy Button A/B test"/>
    <s v="New Feature"/>
    <x v="0"/>
    <d v="2015-11-27T09:40:00"/>
    <x v="8"/>
    <x v="0"/>
    <x v="10"/>
    <n v="7"/>
    <m/>
    <n v="147.9"/>
    <n v="26.100000000000005"/>
  </r>
  <r>
    <s v="SBG - Desktop"/>
    <x v="2"/>
    <s v="New Feature"/>
    <s v="DESK-2899"/>
    <s v="Product Page Buy Button A/B test"/>
    <s v="New Feature"/>
    <x v="0"/>
    <d v="2015-11-30T16:27:00"/>
    <x v="8"/>
    <x v="0"/>
    <x v="10"/>
    <n v="4"/>
    <m/>
    <n v="147.9"/>
    <n v="26.100000000000005"/>
  </r>
  <r>
    <s v="SBG - Desktop"/>
    <x v="2"/>
    <s v="New Feature"/>
    <s v="DESK-2900"/>
    <s v="Availability by Size- Front End"/>
    <s v="New Feature"/>
    <x v="0"/>
    <d v="2015-11-26T09:42:00"/>
    <x v="8"/>
    <x v="0"/>
    <x v="22"/>
    <n v="8"/>
    <m/>
    <n v="147.9"/>
    <n v="26.100000000000005"/>
  </r>
  <r>
    <s v="SBG - Desktop"/>
    <x v="2"/>
    <s v="New Feature"/>
    <s v="DESK-2900"/>
    <s v="Availability by Size- Front End"/>
    <s v="New Feature"/>
    <x v="0"/>
    <d v="2015-11-30T10:20:00"/>
    <x v="8"/>
    <x v="0"/>
    <x v="22"/>
    <n v="5"/>
    <m/>
    <n v="147.9"/>
    <n v="26.100000000000005"/>
  </r>
  <r>
    <s v="SBG - Desktop"/>
    <x v="2"/>
    <s v="New Feature"/>
    <s v="DESK-2902"/>
    <s v="Twitter conversion pixel - Vision Direct"/>
    <s v="New Feature"/>
    <x v="0"/>
    <d v="2015-11-30T14:23:00"/>
    <x v="8"/>
    <x v="0"/>
    <x v="29"/>
    <n v="2"/>
    <m/>
    <n v="147.9"/>
    <n v="26.100000000000005"/>
  </r>
  <r>
    <s v="SBG - Desktop"/>
    <x v="2"/>
    <s v="New Feature"/>
    <s v="DESK-2903"/>
    <s v="Implement ContainerTag for Commission Factory"/>
    <s v="New Feature"/>
    <x v="0"/>
    <d v="2015-11-30T14:46:00"/>
    <x v="8"/>
    <x v="0"/>
    <x v="29"/>
    <n v="1"/>
    <m/>
    <n v="147.9"/>
    <n v="26.100000000000005"/>
  </r>
  <r>
    <s v="SBG - Desktop"/>
    <x v="2"/>
    <s v="New Feature"/>
    <s v="DESK-2904"/>
    <s v="Implement MasterTag for Zanox"/>
    <s v="New Feature"/>
    <x v="0"/>
    <d v="2015-11-30T15:45:00"/>
    <x v="8"/>
    <x v="0"/>
    <x v="29"/>
    <n v="3"/>
    <m/>
    <n v="147.9"/>
    <n v="26.100000000000005"/>
  </r>
  <r>
    <s v="SBG - Desktop"/>
    <x v="2"/>
    <s v="New Feature"/>
    <s v="DESK-2910"/>
    <s v="AU Summer Homepage Banner"/>
    <s v="New Feature"/>
    <x v="0"/>
    <d v="2015-10-08T13:29:00"/>
    <x v="5"/>
    <x v="0"/>
    <x v="10"/>
    <n v="5"/>
    <m/>
    <n v="127.5"/>
    <n v="22.500000000000004"/>
  </r>
  <r>
    <s v="SBG - Desktop"/>
    <x v="2"/>
    <s v="New Feature"/>
    <s v="DESK-2910"/>
    <s v="AU Summer Homepage Banner"/>
    <s v="New Feature"/>
    <x v="0"/>
    <d v="2015-11-23T11:28:00"/>
    <x v="8"/>
    <x v="0"/>
    <x v="10"/>
    <n v="1"/>
    <m/>
    <n v="147.9"/>
    <n v="26.100000000000005"/>
  </r>
  <r>
    <s v="SBG - Desktop"/>
    <x v="0"/>
    <s v="New Feature"/>
    <s v="DESK-2910"/>
    <s v="AU Summer Homepage Banner"/>
    <s v="New Feature"/>
    <x v="0"/>
    <d v="2015-11-23T18:44:00"/>
    <x v="8"/>
    <x v="0"/>
    <x v="7"/>
    <n v="1"/>
    <m/>
    <n v="87"/>
    <n v="87"/>
  </r>
  <r>
    <s v="SBG - Desktop"/>
    <x v="2"/>
    <s v="New Feature"/>
    <s v="DESK-2910"/>
    <s v="AU Summer Homepage Banner"/>
    <s v="New Feature"/>
    <x v="0"/>
    <d v="2015-11-24T13:33:00"/>
    <x v="8"/>
    <x v="0"/>
    <x v="10"/>
    <n v="5"/>
    <m/>
    <n v="147.9"/>
    <n v="26.100000000000005"/>
  </r>
  <r>
    <s v="SBG - Desktop"/>
    <x v="2"/>
    <s v="New Feature"/>
    <s v="DESK-2911"/>
    <s v="pimcore for mobile"/>
    <s v="New Feature"/>
    <x v="0"/>
    <d v="2015-11-19T14:58:00"/>
    <x v="8"/>
    <x v="0"/>
    <x v="2"/>
    <n v="1"/>
    <m/>
    <n v="147.9"/>
    <n v="26.100000000000005"/>
  </r>
  <r>
    <s v="SBG - Desktop"/>
    <x v="2"/>
    <s v="New Feature"/>
    <s v="DESK-2911"/>
    <s v="pimcore for mobile"/>
    <s v="New Feature"/>
    <x v="0"/>
    <d v="2015-11-20T14:58:00"/>
    <x v="8"/>
    <x v="0"/>
    <x v="2"/>
    <n v="3"/>
    <m/>
    <n v="147.9"/>
    <n v="26.100000000000005"/>
  </r>
  <r>
    <s v="SBG - Desktop"/>
    <x v="2"/>
    <s v="New Feature"/>
    <s v="DESK-2911"/>
    <s v="pimcore for mobile"/>
    <s v="New Feature"/>
    <x v="0"/>
    <d v="2015-11-20T16:04:00"/>
    <x v="8"/>
    <x v="0"/>
    <x v="2"/>
    <n v="5"/>
    <m/>
    <n v="147.9"/>
    <n v="26.100000000000005"/>
  </r>
  <r>
    <s v="SBG - Desktop"/>
    <x v="2"/>
    <s v="New Feature"/>
    <s v="DESK-2911"/>
    <s v="pimcore for mobile"/>
    <s v="New Feature"/>
    <x v="0"/>
    <d v="2015-11-23T14:58:00"/>
    <x v="8"/>
    <x v="0"/>
    <x v="2"/>
    <n v="3"/>
    <m/>
    <n v="147.9"/>
    <n v="26.100000000000005"/>
  </r>
  <r>
    <s v="SBG - Desktop"/>
    <x v="0"/>
    <s v="New Feature"/>
    <s v="DESK-2911"/>
    <s v="pimcore for mobile"/>
    <s v="New Feature"/>
    <x v="0"/>
    <d v="2015-11-23T17:10:00"/>
    <x v="8"/>
    <x v="0"/>
    <x v="19"/>
    <n v="1"/>
    <m/>
    <n v="87"/>
    <n v="87"/>
  </r>
  <r>
    <s v="SBG - Desktop"/>
    <x v="2"/>
    <s v="New Feature"/>
    <s v="DESK-2911"/>
    <s v="pimcore for mobile"/>
    <s v="New Feature"/>
    <x v="0"/>
    <d v="2015-11-23T17:55:00"/>
    <x v="8"/>
    <x v="0"/>
    <x v="2"/>
    <n v="5"/>
    <m/>
    <n v="147.9"/>
    <n v="26.100000000000005"/>
  </r>
  <r>
    <s v="SBG - Desktop"/>
    <x v="2"/>
    <s v="New Feature"/>
    <s v="DESK-2911"/>
    <s v="pimcore for mobile"/>
    <s v="New Feature"/>
    <x v="0"/>
    <d v="2015-11-24T14:59:00"/>
    <x v="8"/>
    <x v="0"/>
    <x v="2"/>
    <n v="3"/>
    <m/>
    <n v="147.9"/>
    <n v="26.100000000000005"/>
  </r>
  <r>
    <s v="SBG - Desktop"/>
    <x v="0"/>
    <s v="New Feature"/>
    <s v="DESK-2911"/>
    <s v="pimcore for mobile"/>
    <s v="New Feature"/>
    <x v="0"/>
    <d v="2015-11-24T15:31:00"/>
    <x v="8"/>
    <x v="0"/>
    <x v="19"/>
    <n v="6"/>
    <m/>
    <n v="87"/>
    <n v="87"/>
  </r>
  <r>
    <s v="SBG - Desktop"/>
    <x v="2"/>
    <s v="New Feature"/>
    <s v="DESK-2911"/>
    <s v="pimcore for mobile"/>
    <s v="New Feature"/>
    <x v="0"/>
    <d v="2015-11-25T14:59:00"/>
    <x v="8"/>
    <x v="0"/>
    <x v="2"/>
    <n v="3"/>
    <m/>
    <n v="147.9"/>
    <n v="26.100000000000005"/>
  </r>
  <r>
    <s v="SBG - Desktop"/>
    <x v="2"/>
    <s v="New Feature"/>
    <s v="DESK-2911"/>
    <s v="pimcore for mobile"/>
    <s v="New Feature"/>
    <x v="0"/>
    <d v="2015-11-26T14:59:00"/>
    <x v="8"/>
    <x v="0"/>
    <x v="2"/>
    <n v="8"/>
    <m/>
    <n v="147.9"/>
    <n v="26.100000000000005"/>
  </r>
  <r>
    <s v="SBG - Desktop"/>
    <x v="2"/>
    <s v="New Feature"/>
    <s v="DESK-2911"/>
    <s v="pimcore for mobile"/>
    <s v="New Feature"/>
    <x v="0"/>
    <d v="2015-11-27T15:00:00"/>
    <x v="8"/>
    <x v="0"/>
    <x v="2"/>
    <n v="8"/>
    <m/>
    <n v="147.9"/>
    <n v="26.100000000000005"/>
  </r>
  <r>
    <s v="SBG - Desktop"/>
    <x v="1"/>
    <s v="Technical task"/>
    <s v="DESK-2913"/>
    <s v="DESK-2898&gt; Test case design and execution"/>
    <s v="Technical task"/>
    <x v="0"/>
    <d v="2015-11-26T10:03:00"/>
    <x v="8"/>
    <x v="0"/>
    <x v="26"/>
    <n v="3"/>
    <m/>
    <n v="147.9"/>
    <n v="26.100000000000005"/>
  </r>
  <r>
    <s v="SBG - Desktop"/>
    <x v="1"/>
    <s v="Technical task"/>
    <s v="DESK-2914"/>
    <s v="DESK-2135&gt; Test case design and execution"/>
    <s v="Technical task"/>
    <x v="0"/>
    <d v="2015-11-26T10:35:00"/>
    <x v="8"/>
    <x v="0"/>
    <x v="26"/>
    <n v="2"/>
    <m/>
    <n v="147.9"/>
    <n v="26.100000000000005"/>
  </r>
  <r>
    <s v="SBG - Desktop"/>
    <x v="1"/>
    <s v="Technical task"/>
    <s v="DESK-2914"/>
    <s v="DESK-2135&gt; Test case design and execution"/>
    <s v="Technical task"/>
    <x v="0"/>
    <d v="2015-11-27T17:08:00"/>
    <x v="8"/>
    <x v="0"/>
    <x v="26"/>
    <n v="4"/>
    <m/>
    <n v="147.9"/>
    <n v="26.100000000000005"/>
  </r>
  <r>
    <s v="SBG - Desktop"/>
    <x v="1"/>
    <s v="Technical task"/>
    <s v="DESK-2914"/>
    <s v="DESK-2135&gt; Test case design and execution"/>
    <s v="Technical task"/>
    <x v="0"/>
    <d v="2015-11-30T11:03:00"/>
    <x v="8"/>
    <x v="0"/>
    <x v="26"/>
    <n v="6"/>
    <m/>
    <n v="147.9"/>
    <n v="26.100000000000005"/>
  </r>
  <r>
    <s v="SBG - Desktop"/>
    <x v="2"/>
    <s v="New Feature"/>
    <s v="DESK-2919"/>
    <s v="SBG banner customization"/>
    <s v="New Feature"/>
    <x v="0"/>
    <d v="2015-11-24T17:57:00"/>
    <x v="8"/>
    <x v="0"/>
    <x v="2"/>
    <n v="5"/>
    <m/>
    <n v="147.9"/>
    <n v="26.100000000000005"/>
  </r>
  <r>
    <s v="SBG - Desktop"/>
    <x v="2"/>
    <s v="New Feature"/>
    <s v="DESK-2919"/>
    <s v="SBG banner customization"/>
    <s v="New Feature"/>
    <x v="0"/>
    <d v="2015-11-25T17:57:00"/>
    <x v="8"/>
    <x v="0"/>
    <x v="2"/>
    <n v="5"/>
    <m/>
    <n v="147.9"/>
    <n v="26.100000000000005"/>
  </r>
  <r>
    <s v="SBG - Desktop"/>
    <x v="1"/>
    <s v="New Feature"/>
    <s v="DESK-2920"/>
    <s v="Page Title Issues on CA Domain Key Pages"/>
    <s v="New Feature"/>
    <x v="0"/>
    <d v="2015-11-27T17:35:00"/>
    <x v="8"/>
    <x v="0"/>
    <x v="26"/>
    <n v="0.5"/>
    <m/>
    <n v="147.9"/>
    <n v="26.100000000000005"/>
  </r>
  <r>
    <s v="SBG - Desktop"/>
    <x v="2"/>
    <s v="New Feature"/>
    <s v="DESK-2920"/>
    <s v="Page Title Issues on CA Domain Key Pages"/>
    <s v="New Feature"/>
    <x v="0"/>
    <d v="2015-11-27T21:30:00"/>
    <x v="8"/>
    <x v="0"/>
    <x v="11"/>
    <n v="8"/>
    <m/>
    <n v="147.9"/>
    <n v="26.100000000000005"/>
  </r>
  <r>
    <s v="SBG - Desktop"/>
    <x v="2"/>
    <s v="New Feature"/>
    <s v="DESK-2926"/>
    <s v="Christmas Campaign HomePage (Non-English Domains)"/>
    <s v="New Feature"/>
    <x v="0"/>
    <d v="2015-11-23T16:33:00"/>
    <x v="8"/>
    <x v="0"/>
    <x v="10"/>
    <n v="2"/>
    <m/>
    <n v="147.9"/>
    <n v="26.100000000000005"/>
  </r>
  <r>
    <s v="SBG - Desktop"/>
    <x v="1"/>
    <s v="New Feature"/>
    <s v="DESK-2926"/>
    <s v="Christmas Campaign HomePage (Non-English Domains)"/>
    <s v="New Feature"/>
    <x v="0"/>
    <d v="2015-11-27T19:51:00"/>
    <x v="8"/>
    <x v="0"/>
    <x v="1"/>
    <n v="2"/>
    <m/>
    <n v="147.9"/>
    <n v="26.100000000000005"/>
  </r>
  <r>
    <s v="SBG - Desktop"/>
    <x v="2"/>
    <s v="New Feature"/>
    <s v="DESK-2926"/>
    <s v="Christmas Campaign HomePage (Non-English Domains)"/>
    <s v="New Feature"/>
    <x v="0"/>
    <d v="2015-11-30T15:33:00"/>
    <x v="8"/>
    <x v="0"/>
    <x v="10"/>
    <n v="3"/>
    <m/>
    <n v="147.9"/>
    <n v="26.100000000000005"/>
  </r>
  <r>
    <s v="SBG - Desktop"/>
    <x v="0"/>
    <s v="Improvement"/>
    <s v="DESK-2971"/>
    <s v="CSS style &amp; UX fixes"/>
    <s v="Improvement"/>
    <x v="0"/>
    <d v="2015-11-03T10:20:00"/>
    <x v="8"/>
    <x v="0"/>
    <x v="24"/>
    <n v="8"/>
    <m/>
    <n v="87"/>
    <n v="87"/>
  </r>
  <r>
    <s v="SBG - Desktop"/>
    <x v="0"/>
    <s v="Improvement"/>
    <s v="DESK-2971"/>
    <s v="CSS style &amp; UX fixes"/>
    <s v="Improvement"/>
    <x v="0"/>
    <d v="2015-11-09T11:20:00"/>
    <x v="8"/>
    <x v="0"/>
    <x v="24"/>
    <n v="7"/>
    <m/>
    <n v="87"/>
    <n v="87"/>
  </r>
  <r>
    <s v="SBG - Desktop"/>
    <x v="2"/>
    <s v="Bug"/>
    <s v="DESK-2985"/>
    <s v="Product checkout with paypal goes to blank page for some of products that have xx.96 at end of their price value"/>
    <s v="Bug"/>
    <x v="1"/>
    <d v="2015-11-02T11:02:00"/>
    <x v="8"/>
    <x v="0"/>
    <x v="18"/>
    <n v="8"/>
    <m/>
    <n v="147.9"/>
    <n v="26.100000000000005"/>
  </r>
  <r>
    <s v="SBG - Desktop"/>
    <x v="2"/>
    <s v="New Feature"/>
    <s v="DESK-3051"/>
    <s v="Rocketfuel Tracking Pixel AU"/>
    <s v="New Feature"/>
    <x v="0"/>
    <d v="2015-10-02T11:00:00"/>
    <x v="5"/>
    <x v="0"/>
    <x v="18"/>
    <n v="8"/>
    <m/>
    <n v="127.5"/>
    <n v="22.500000000000004"/>
  </r>
  <r>
    <s v="SBG - Desktop"/>
    <x v="2"/>
    <s v="New Feature"/>
    <s v="DESK-3051"/>
    <s v="Rocketfuel Tracking Pixel AU"/>
    <s v="New Feature"/>
    <x v="0"/>
    <d v="2015-10-27T14:40:00"/>
    <x v="5"/>
    <x v="0"/>
    <x v="18"/>
    <n v="4"/>
    <m/>
    <n v="127.5"/>
    <n v="22.500000000000004"/>
  </r>
  <r>
    <s v="SBG - Desktop"/>
    <x v="2"/>
    <s v="New Feature"/>
    <s v="DESK-3078"/>
    <s v="Carrera Frames Top Bar Promotion - IT Domain"/>
    <s v="New Feature"/>
    <x v="0"/>
    <d v="2015-10-23T09:25:00"/>
    <x v="5"/>
    <x v="0"/>
    <x v="10"/>
    <n v="2"/>
    <m/>
    <n v="127.5"/>
    <n v="22.500000000000004"/>
  </r>
  <r>
    <s v="SBG - Desktop"/>
    <x v="2"/>
    <s v="New Feature"/>
    <s v="DESK-3078"/>
    <s v="Carrera Frames Top Bar Promotion - IT Domain"/>
    <s v="New Feature"/>
    <x v="0"/>
    <d v="2015-10-26T18:28:00"/>
    <x v="5"/>
    <x v="0"/>
    <x v="10"/>
    <n v="2"/>
    <m/>
    <n v="127.5"/>
    <n v="22.500000000000004"/>
  </r>
  <r>
    <s v="SBG - Desktop"/>
    <x v="2"/>
    <s v="New Feature"/>
    <s v="DESK-3078"/>
    <s v="Carrera Frames Top Bar Promotion - IT Domain"/>
    <s v="New Feature"/>
    <x v="0"/>
    <d v="2015-10-27T15:44:00"/>
    <x v="5"/>
    <x v="0"/>
    <x v="10"/>
    <n v="1"/>
    <m/>
    <n v="127.5"/>
    <n v="22.500000000000004"/>
  </r>
  <r>
    <s v="SBG - Desktop"/>
    <x v="2"/>
    <s v="New Feature"/>
    <s v="DESK-3189"/>
    <s v="SmartBuy Collection Top Bar Promotion"/>
    <s v="New Feature"/>
    <x v="0"/>
    <d v="2015-10-05T10:27:00"/>
    <x v="5"/>
    <x v="0"/>
    <x v="10"/>
    <n v="8"/>
    <m/>
    <n v="127.5"/>
    <n v="22.500000000000004"/>
  </r>
  <r>
    <s v="SBG - Desktop"/>
    <x v="2"/>
    <s v="New Feature"/>
    <s v="DESK-3189"/>
    <s v="SmartBuy Collection Top Bar Promotion"/>
    <s v="New Feature"/>
    <x v="0"/>
    <d v="2015-10-23T09:25:00"/>
    <x v="5"/>
    <x v="0"/>
    <x v="10"/>
    <n v="2"/>
    <m/>
    <n v="127.5"/>
    <n v="22.500000000000004"/>
  </r>
  <r>
    <s v="SBG - Desktop"/>
    <x v="0"/>
    <s v="New Feature"/>
    <s v="DESK-3189"/>
    <s v="SmartBuy Collection Top Bar Promotion"/>
    <s v="New Feature"/>
    <x v="0"/>
    <d v="2015-10-23T11:56:00"/>
    <x v="5"/>
    <x v="0"/>
    <x v="7"/>
    <n v="2"/>
    <m/>
    <n v="75"/>
    <n v="75"/>
  </r>
  <r>
    <s v="SBG - Desktop"/>
    <x v="2"/>
    <s v="New Feature"/>
    <s v="DESK-3189"/>
    <s v="SmartBuy Collection Top Bar Promotion"/>
    <s v="New Feature"/>
    <x v="0"/>
    <d v="2015-10-26T18:27:00"/>
    <x v="5"/>
    <x v="0"/>
    <x v="10"/>
    <n v="3"/>
    <m/>
    <n v="127.5"/>
    <n v="22.500000000000004"/>
  </r>
  <r>
    <s v="SBG - Desktop"/>
    <x v="0"/>
    <s v="New Feature"/>
    <s v="DESK-3189"/>
    <s v="SmartBuy Collection Top Bar Promotion"/>
    <s v="New Feature"/>
    <x v="0"/>
    <d v="2015-10-27T13:56:00"/>
    <x v="5"/>
    <x v="0"/>
    <x v="7"/>
    <n v="0.5"/>
    <m/>
    <n v="75"/>
    <n v="75"/>
  </r>
  <r>
    <s v="SBG - Desktop"/>
    <x v="2"/>
    <s v="New Feature"/>
    <s v="DESK-3189"/>
    <s v="SmartBuy Collection Top Bar Promotion"/>
    <s v="New Feature"/>
    <x v="0"/>
    <d v="2015-10-27T15:43:00"/>
    <x v="5"/>
    <x v="0"/>
    <x v="10"/>
    <n v="2"/>
    <m/>
    <n v="127.5"/>
    <n v="22.500000000000004"/>
  </r>
  <r>
    <s v="SBG - Desktop"/>
    <x v="2"/>
    <s v="New Feature"/>
    <s v="DESK-3189"/>
    <s v="SmartBuy Collection Top Bar Promotion"/>
    <s v="New Feature"/>
    <x v="0"/>
    <d v="2015-10-28T09:25:00"/>
    <x v="5"/>
    <x v="0"/>
    <x v="10"/>
    <n v="3"/>
    <m/>
    <n v="127.5"/>
    <n v="22.500000000000004"/>
  </r>
  <r>
    <s v="SBG - Desktop"/>
    <x v="0"/>
    <s v="New Feature"/>
    <s v="DESK-3189"/>
    <s v="SmartBuy Collection Top Bar Promotion"/>
    <s v="New Feature"/>
    <x v="0"/>
    <d v="2015-10-28T11:25:00"/>
    <x v="5"/>
    <x v="0"/>
    <x v="7"/>
    <n v="0.5"/>
    <m/>
    <n v="75"/>
    <n v="75"/>
  </r>
  <r>
    <s v="SBG - Desktop"/>
    <x v="0"/>
    <s v="New Feature"/>
    <s v="DESK-3189"/>
    <s v="SmartBuy Collection Top Bar Promotion"/>
    <s v="New Feature"/>
    <x v="0"/>
    <d v="2015-10-28T12:33:00"/>
    <x v="5"/>
    <x v="0"/>
    <x v="7"/>
    <n v="0.5"/>
    <m/>
    <n v="75"/>
    <n v="75"/>
  </r>
  <r>
    <s v="SBG - Desktop"/>
    <x v="1"/>
    <s v="New Feature"/>
    <s v="DESK-3216"/>
    <s v="Adcleek Pixels"/>
    <s v="New Feature"/>
    <x v="0"/>
    <d v="2015-11-18T08:09:00"/>
    <x v="8"/>
    <x v="0"/>
    <x v="21"/>
    <n v="8"/>
    <m/>
    <n v="147.9"/>
    <n v="26.100000000000005"/>
  </r>
  <r>
    <s v="SBG - Desktop"/>
    <x v="2"/>
    <s v="New Feature"/>
    <s v="DESK-3216"/>
    <s v="Adcleek Pixels"/>
    <s v="New Feature"/>
    <x v="0"/>
    <d v="2015-11-18T14:00:00"/>
    <x v="8"/>
    <x v="0"/>
    <x v="29"/>
    <n v="3"/>
    <m/>
    <n v="147.9"/>
    <n v="26.100000000000005"/>
  </r>
  <r>
    <s v="SBG - Desktop"/>
    <x v="1"/>
    <s v="New Feature"/>
    <s v="DESK-3216"/>
    <s v="Adcleek Pixels"/>
    <s v="New Feature"/>
    <x v="0"/>
    <d v="2015-11-23T12:28:00"/>
    <x v="8"/>
    <x v="0"/>
    <x v="21"/>
    <n v="8"/>
    <m/>
    <n v="147.9"/>
    <n v="26.100000000000005"/>
  </r>
  <r>
    <s v="SBG - Desktop"/>
    <x v="1"/>
    <s v="New Feature"/>
    <s v="DESK-3216"/>
    <s v="Adcleek Pixels"/>
    <s v="New Feature"/>
    <x v="0"/>
    <d v="2015-11-25T17:27:00"/>
    <x v="8"/>
    <x v="0"/>
    <x v="21"/>
    <n v="5"/>
    <m/>
    <n v="147.9"/>
    <n v="26.100000000000005"/>
  </r>
  <r>
    <s v="SBG - Desktop"/>
    <x v="1"/>
    <s v="Technical task"/>
    <s v="DESK-3254"/>
    <s v="DESK-3216&gt; Test case design and execution"/>
    <s v="Technical task"/>
    <x v="0"/>
    <d v="2015-10-02T08:12:00"/>
    <x v="5"/>
    <x v="0"/>
    <x v="21"/>
    <n v="8"/>
    <m/>
    <n v="127.5"/>
    <n v="22.500000000000004"/>
  </r>
  <r>
    <s v="SBG - Desktop"/>
    <x v="1"/>
    <s v="Technical task"/>
    <s v="DESK-3254"/>
    <s v="DESK-3216&gt; Test case design and execution"/>
    <s v="Technical task"/>
    <x v="0"/>
    <d v="2015-10-06T08:11:00"/>
    <x v="5"/>
    <x v="0"/>
    <x v="21"/>
    <n v="8"/>
    <m/>
    <n v="127.5"/>
    <n v="22.500000000000004"/>
  </r>
  <r>
    <s v="SBG - Desktop"/>
    <x v="1"/>
    <s v="Technical task"/>
    <s v="DESK-3254"/>
    <s v="DESK-3216&gt; Test case design and execution"/>
    <s v="Technical task"/>
    <x v="0"/>
    <d v="2015-10-12T08:11:00"/>
    <x v="5"/>
    <x v="0"/>
    <x v="21"/>
    <n v="8"/>
    <m/>
    <n v="127.5"/>
    <n v="22.500000000000004"/>
  </r>
  <r>
    <s v="SBG - Desktop"/>
    <x v="1"/>
    <s v="Technical task"/>
    <s v="DESK-3254"/>
    <s v="DESK-3216&gt; Test case design and execution"/>
    <s v="Technical task"/>
    <x v="0"/>
    <d v="2015-10-21T08:11:00"/>
    <x v="5"/>
    <x v="0"/>
    <x v="21"/>
    <n v="8"/>
    <m/>
    <n v="127.5"/>
    <n v="22.500000000000004"/>
  </r>
  <r>
    <s v="SBG - Desktop"/>
    <x v="1"/>
    <s v="Technical task"/>
    <s v="DESK-3254"/>
    <s v="DESK-3216&gt; Test case design and execution"/>
    <s v="Technical task"/>
    <x v="0"/>
    <d v="2015-10-22T08:11:00"/>
    <x v="5"/>
    <x v="0"/>
    <x v="21"/>
    <n v="8"/>
    <m/>
    <n v="127.5"/>
    <n v="22.500000000000004"/>
  </r>
  <r>
    <s v="SBG - Desktop"/>
    <x v="1"/>
    <s v="Technical task"/>
    <s v="DESK-3254"/>
    <s v="DESK-3216&gt; Test case design and execution"/>
    <s v="Technical task"/>
    <x v="0"/>
    <d v="2015-10-26T08:11:00"/>
    <x v="5"/>
    <x v="0"/>
    <x v="21"/>
    <n v="8"/>
    <m/>
    <n v="127.5"/>
    <n v="22.500000000000004"/>
  </r>
  <r>
    <s v="SBG - Desktop"/>
    <x v="1"/>
    <s v="Technical task"/>
    <s v="DESK-3254"/>
    <s v="DESK-3216&gt; Test case design and execution"/>
    <s v="Technical task"/>
    <x v="0"/>
    <d v="2015-11-02T08:10:00"/>
    <x v="8"/>
    <x v="0"/>
    <x v="21"/>
    <n v="8"/>
    <m/>
    <n v="147.9"/>
    <n v="26.100000000000005"/>
  </r>
  <r>
    <s v="SBG - Desktop"/>
    <x v="1"/>
    <s v="Technical task"/>
    <s v="DESK-3254"/>
    <s v="DESK-3216&gt; Test case design and execution"/>
    <s v="Technical task"/>
    <x v="0"/>
    <d v="2015-11-05T08:10:00"/>
    <x v="8"/>
    <x v="0"/>
    <x v="21"/>
    <n v="8"/>
    <m/>
    <n v="147.9"/>
    <n v="26.100000000000005"/>
  </r>
  <r>
    <s v="SBG - Desktop"/>
    <x v="1"/>
    <s v="Technical task"/>
    <s v="DESK-3254"/>
    <s v="DESK-3216&gt; Test case design and execution"/>
    <s v="Technical task"/>
    <x v="0"/>
    <d v="2015-11-09T08:09:00"/>
    <x v="8"/>
    <x v="0"/>
    <x v="21"/>
    <n v="8"/>
    <m/>
    <n v="147.9"/>
    <n v="26.100000000000005"/>
  </r>
  <r>
    <s v="SBG - Desktop"/>
    <x v="1"/>
    <s v="Technical task"/>
    <s v="DESK-3254"/>
    <s v="DESK-3216&gt; Test case design and execution"/>
    <s v="Technical task"/>
    <x v="0"/>
    <d v="2015-11-19T08:09:00"/>
    <x v="8"/>
    <x v="0"/>
    <x v="21"/>
    <n v="8"/>
    <m/>
    <n v="147.9"/>
    <n v="26.100000000000005"/>
  </r>
  <r>
    <s v="SBG - Desktop"/>
    <x v="1"/>
    <s v="Technical task"/>
    <s v="DESK-3254"/>
    <s v="DESK-3216&gt; Test case design and execution"/>
    <s v="Technical task"/>
    <x v="0"/>
    <d v="2015-11-25T16:12:00"/>
    <x v="8"/>
    <x v="0"/>
    <x v="21"/>
    <n v="5"/>
    <m/>
    <n v="147.9"/>
    <n v="26.100000000000005"/>
  </r>
  <r>
    <s v="SBG - Desktop"/>
    <x v="0"/>
    <s v="Bug"/>
    <s v="DESK-3306"/>
    <s v="Mega Menu css fixes"/>
    <s v="Bug"/>
    <x v="1"/>
    <d v="2015-11-10T12:50:00"/>
    <x v="8"/>
    <x v="0"/>
    <x v="7"/>
    <n v="3"/>
    <m/>
    <n v="87"/>
    <n v="87"/>
  </r>
  <r>
    <s v="SBG - Desktop"/>
    <x v="0"/>
    <s v="Bug"/>
    <s v="DESK-3311"/>
    <s v="Icon missing on RU domain checkout page"/>
    <s v="Bug"/>
    <x v="1"/>
    <d v="2015-10-16T17:58:00"/>
    <x v="5"/>
    <x v="0"/>
    <x v="7"/>
    <n v="1.5"/>
    <m/>
    <n v="75"/>
    <n v="75"/>
  </r>
  <r>
    <s v="SBG - Desktop"/>
    <x v="0"/>
    <s v="Bug"/>
    <s v="DESK-3314"/>
    <s v="In NO domain,fast-shipping static page,the fast-shipping logo cannot display."/>
    <s v="Bug"/>
    <x v="1"/>
    <d v="2015-11-13T10:40:00"/>
    <x v="8"/>
    <x v="0"/>
    <x v="7"/>
    <n v="0.33300000000000002"/>
    <m/>
    <n v="87"/>
    <n v="87"/>
  </r>
  <r>
    <s v="SBG - Desktop"/>
    <x v="0"/>
    <s v="Bug"/>
    <s v="DESK-3326"/>
    <s v="Font style isn't same with the rest of other fonts."/>
    <s v="Bug"/>
    <x v="1"/>
    <d v="2015-10-19T16:43:00"/>
    <x v="5"/>
    <x v="0"/>
    <x v="19"/>
    <n v="1"/>
    <m/>
    <n v="75"/>
    <n v="75"/>
  </r>
  <r>
    <s v="SBG - Desktop"/>
    <x v="0"/>
    <s v="Bug"/>
    <s v="DESK-3341"/>
    <s v="Flight icon is truncated"/>
    <s v="Bug"/>
    <x v="1"/>
    <d v="2015-10-16T18:12:00"/>
    <x v="5"/>
    <x v="0"/>
    <x v="7"/>
    <n v="3"/>
    <m/>
    <n v="75"/>
    <n v="75"/>
  </r>
  <r>
    <s v="SBG - Desktop"/>
    <x v="0"/>
    <s v="Bug"/>
    <s v="DESK-3341"/>
    <s v="Flight icon is truncated"/>
    <s v="Bug"/>
    <x v="1"/>
    <d v="2015-10-22T09:37:00"/>
    <x v="5"/>
    <x v="0"/>
    <x v="7"/>
    <n v="0.5"/>
    <m/>
    <n v="75"/>
    <n v="75"/>
  </r>
  <r>
    <s v="SBG - Desktop"/>
    <x v="0"/>
    <s v="Bug"/>
    <s v="DESK-3341"/>
    <s v="Flight icon is truncated"/>
    <s v="Bug"/>
    <x v="1"/>
    <d v="2015-10-22T14:41:00"/>
    <x v="5"/>
    <x v="0"/>
    <x v="7"/>
    <n v="1"/>
    <m/>
    <n v="75"/>
    <n v="75"/>
  </r>
  <r>
    <s v="SBG - Desktop"/>
    <x v="2"/>
    <s v="Bug"/>
    <s v="DESK-3368"/>
    <s v="Discontinuing Products- one product showing two same sizes"/>
    <s v="Bug"/>
    <x v="1"/>
    <d v="2015-10-01T13:42:00"/>
    <x v="5"/>
    <x v="0"/>
    <x v="10"/>
    <n v="1"/>
    <m/>
    <n v="127.5"/>
    <n v="22.500000000000004"/>
  </r>
  <r>
    <s v="SBG - Desktop"/>
    <x v="2"/>
    <s v="Bug"/>
    <s v="DESK-3368"/>
    <s v="Discontinuing Products- one product showing two same sizes"/>
    <s v="Bug"/>
    <x v="1"/>
    <d v="2015-10-09T17:15:00"/>
    <x v="5"/>
    <x v="0"/>
    <x v="10"/>
    <n v="2"/>
    <m/>
    <n v="127.5"/>
    <n v="22.500000000000004"/>
  </r>
  <r>
    <s v="SBG - Desktop"/>
    <x v="2"/>
    <s v="Bug"/>
    <s v="DESK-3387"/>
    <s v="The site URL changes to HTTPS after clicking &quot;Continue Shopping&quot; button in Thank You page."/>
    <s v="Bug"/>
    <x v="1"/>
    <d v="2015-11-18T16:17:00"/>
    <x v="8"/>
    <x v="0"/>
    <x v="10"/>
    <n v="2"/>
    <m/>
    <n v="147.9"/>
    <n v="26.100000000000005"/>
  </r>
  <r>
    <s v="SBG - Desktop"/>
    <x v="2"/>
    <s v="Bug"/>
    <s v="DESK-3387"/>
    <s v="The site URL changes to HTTPS after clicking &quot;Continue Shopping&quot; button in Thank You page."/>
    <s v="Bug"/>
    <x v="1"/>
    <d v="2015-11-19T16:17:00"/>
    <x v="8"/>
    <x v="0"/>
    <x v="10"/>
    <n v="2"/>
    <m/>
    <n v="147.9"/>
    <n v="26.100000000000005"/>
  </r>
  <r>
    <s v="SBG - Desktop"/>
    <x v="2"/>
    <s v="Bug"/>
    <s v="DESK-3398"/>
    <s v="BLOC Products Not Appearing on Page"/>
    <s v="Bug"/>
    <x v="1"/>
    <d v="2015-10-26T17:23:00"/>
    <x v="5"/>
    <x v="0"/>
    <x v="22"/>
    <n v="4"/>
    <m/>
    <n v="127.5"/>
    <n v="22.500000000000004"/>
  </r>
  <r>
    <s v="SBG - Desktop"/>
    <x v="2"/>
    <s v="Bug"/>
    <s v="DESK-3398"/>
    <s v="BLOC Products Not Appearing on Page"/>
    <s v="Bug"/>
    <x v="1"/>
    <d v="2015-10-29T10:14:00"/>
    <x v="5"/>
    <x v="0"/>
    <x v="22"/>
    <n v="4"/>
    <m/>
    <n v="127.5"/>
    <n v="22.500000000000004"/>
  </r>
  <r>
    <s v="SBG - Desktop"/>
    <x v="2"/>
    <s v="Bug"/>
    <s v="DESK-3398"/>
    <s v="BLOC Products Not Appearing on Page"/>
    <s v="Bug"/>
    <x v="1"/>
    <d v="2015-10-30T10:15:00"/>
    <x v="5"/>
    <x v="0"/>
    <x v="22"/>
    <n v="2"/>
    <m/>
    <n v="127.5"/>
    <n v="22.500000000000004"/>
  </r>
  <r>
    <s v="SBG - Desktop"/>
    <x v="2"/>
    <s v="Bug"/>
    <s v="DESK-3398"/>
    <s v="BLOC Products Not Appearing on Page"/>
    <s v="Bug"/>
    <x v="1"/>
    <d v="2015-11-03T17:22:00"/>
    <x v="8"/>
    <x v="0"/>
    <x v="22"/>
    <n v="1"/>
    <m/>
    <n v="147.9"/>
    <n v="26.100000000000005"/>
  </r>
  <r>
    <s v="SBG - Desktop"/>
    <x v="1"/>
    <s v="Bug"/>
    <s v="DESK-3401"/>
    <s v="Update website"/>
    <s v="Bug"/>
    <x v="1"/>
    <d v="2015-11-16T08:47:00"/>
    <x v="8"/>
    <x v="0"/>
    <x v="23"/>
    <n v="7"/>
    <m/>
    <n v="147.9"/>
    <n v="26.100000000000005"/>
  </r>
  <r>
    <s v="SBG - Desktop"/>
    <x v="1"/>
    <s v="Bug"/>
    <s v="DESK-3401"/>
    <s v="Update website"/>
    <s v="Bug"/>
    <x v="1"/>
    <d v="2015-11-17T08:47:00"/>
    <x v="8"/>
    <x v="0"/>
    <x v="23"/>
    <n v="7"/>
    <m/>
    <n v="147.9"/>
    <n v="26.100000000000005"/>
  </r>
  <r>
    <s v="SBG - Desktop"/>
    <x v="1"/>
    <s v="Bug"/>
    <s v="DESK-3401"/>
    <s v="Update website"/>
    <s v="Bug"/>
    <x v="1"/>
    <d v="2015-11-18T17:09:00"/>
    <x v="8"/>
    <x v="0"/>
    <x v="23"/>
    <n v="4"/>
    <m/>
    <n v="147.9"/>
    <n v="26.100000000000005"/>
  </r>
  <r>
    <s v="SBG - Desktop"/>
    <x v="2"/>
    <s v="Bug"/>
    <s v="DESK-3445"/>
    <s v="Referral transfer data from sbg to om missing records"/>
    <s v="Bug"/>
    <x v="1"/>
    <d v="2015-10-29T17:23:00"/>
    <x v="5"/>
    <x v="0"/>
    <x v="2"/>
    <n v="8"/>
    <m/>
    <n v="127.5"/>
    <n v="22.500000000000004"/>
  </r>
  <r>
    <s v="SBG - Desktop"/>
    <x v="1"/>
    <s v="Bug"/>
    <s v="DESK-3465"/>
    <s v="Key products missing in color_feed"/>
    <s v="Bug"/>
    <x v="1"/>
    <d v="2015-11-04T11:10:00"/>
    <x v="8"/>
    <x v="0"/>
    <x v="1"/>
    <n v="2"/>
    <m/>
    <n v="147.9"/>
    <n v="26.100000000000005"/>
  </r>
  <r>
    <s v="SBG - Desktop"/>
    <x v="2"/>
    <s v="Bug"/>
    <s v="DESK-3465"/>
    <s v="Key products missing in color_feed"/>
    <s v="Bug"/>
    <x v="1"/>
    <d v="2015-11-04T18:41:00"/>
    <x v="8"/>
    <x v="0"/>
    <x v="2"/>
    <n v="8"/>
    <m/>
    <n v="147.9"/>
    <n v="26.100000000000005"/>
  </r>
  <r>
    <s v="SBG - Desktop"/>
    <x v="1"/>
    <s v="Bug"/>
    <s v="DESK-3465"/>
    <s v="Key products missing in color_feed"/>
    <s v="Bug"/>
    <x v="1"/>
    <d v="2015-11-04T18:44:00"/>
    <x v="8"/>
    <x v="0"/>
    <x v="1"/>
    <n v="2"/>
    <m/>
    <n v="147.9"/>
    <n v="26.100000000000005"/>
  </r>
  <r>
    <s v="SBG - Desktop"/>
    <x v="1"/>
    <s v="Bug"/>
    <s v="DESK-3465"/>
    <s v="Key products missing in color_feed"/>
    <s v="Bug"/>
    <x v="1"/>
    <d v="2015-11-06T11:11:00"/>
    <x v="8"/>
    <x v="0"/>
    <x v="1"/>
    <n v="2"/>
    <m/>
    <n v="147.9"/>
    <n v="26.100000000000005"/>
  </r>
  <r>
    <s v="SBG - Desktop"/>
    <x v="2"/>
    <s v="Bug"/>
    <s v="DESK-3490"/>
    <s v="Meta data at head"/>
    <s v="Bug"/>
    <x v="1"/>
    <d v="2015-11-02T09:30:00"/>
    <x v="8"/>
    <x v="0"/>
    <x v="11"/>
    <n v="3"/>
    <m/>
    <n v="147.9"/>
    <n v="26.100000000000005"/>
  </r>
  <r>
    <s v="SBG - Desktop"/>
    <x v="2"/>
    <s v="Bug"/>
    <s v="DESK-3536"/>
    <s v="MOBILE - meta title and description"/>
    <s v="Bug"/>
    <x v="1"/>
    <d v="2015-11-30T22:30:00"/>
    <x v="8"/>
    <x v="0"/>
    <x v="11"/>
    <n v="3"/>
    <m/>
    <n v="147.9"/>
    <n v="26.100000000000005"/>
  </r>
  <r>
    <s v="SBG - Desktop"/>
    <x v="2"/>
    <s v="Bug"/>
    <s v="DESK-3549"/>
    <s v="Price formatting issue leading to price discrepancy on desktop and moble"/>
    <s v="Bug"/>
    <x v="1"/>
    <d v="2015-11-18T16:18:00"/>
    <x v="8"/>
    <x v="0"/>
    <x v="10"/>
    <n v="2"/>
    <m/>
    <n v="147.9"/>
    <n v="26.100000000000005"/>
  </r>
  <r>
    <s v="SBG - Desktop"/>
    <x v="2"/>
    <s v="Bug"/>
    <s v="DESK-3549"/>
    <s v="Price formatting issue leading to price discrepancy on desktop and moble"/>
    <s v="Bug"/>
    <x v="1"/>
    <d v="2015-11-19T16:18:00"/>
    <x v="8"/>
    <x v="0"/>
    <x v="10"/>
    <n v="2"/>
    <m/>
    <n v="147.9"/>
    <n v="26.100000000000005"/>
  </r>
  <r>
    <s v="SBG - Desktop"/>
    <x v="2"/>
    <s v="Bug"/>
    <s v="DESK-3549"/>
    <s v="Price formatting issue leading to price discrepancy on desktop and moble"/>
    <s v="Bug"/>
    <x v="1"/>
    <d v="2015-11-30T16:27:00"/>
    <x v="8"/>
    <x v="0"/>
    <x v="10"/>
    <n v="2"/>
    <m/>
    <n v="147.9"/>
    <n v="26.100000000000005"/>
  </r>
  <r>
    <s v="SBG - Desktop"/>
    <x v="1"/>
    <s v="Bug"/>
    <s v="DESK-3549"/>
    <s v="Price formatting issue leading to price discrepancy on desktop and moble"/>
    <s v="Bug"/>
    <x v="1"/>
    <d v="2015-11-30T16:58:00"/>
    <x v="8"/>
    <x v="0"/>
    <x v="1"/>
    <n v="2"/>
    <m/>
    <n v="147.9"/>
    <n v="26.100000000000005"/>
  </r>
  <r>
    <s v="SBG - Desktop"/>
    <x v="0"/>
    <s v="Bug"/>
    <s v="DESK-3574"/>
    <s v="New Header footer remaining issues."/>
    <s v="Bug"/>
    <x v="1"/>
    <d v="2015-10-30T18:34:00"/>
    <x v="5"/>
    <x v="0"/>
    <x v="7"/>
    <n v="4"/>
    <m/>
    <n v="75"/>
    <n v="75"/>
  </r>
  <r>
    <s v="SBG - Desktop"/>
    <x v="1"/>
    <s v="Bug"/>
    <s v="DESK-3574"/>
    <s v="New Header footer remaining issues."/>
    <s v="Bug"/>
    <x v="1"/>
    <d v="2015-11-02T07:45:00"/>
    <x v="8"/>
    <x v="0"/>
    <x v="23"/>
    <n v="8"/>
    <m/>
    <n v="147.9"/>
    <n v="26.100000000000005"/>
  </r>
  <r>
    <s v="SBG - Desktop"/>
    <x v="1"/>
    <s v="Bug"/>
    <s v="DESK-3574"/>
    <s v="New Header footer remaining issues."/>
    <s v="Bug"/>
    <x v="1"/>
    <d v="2015-11-03T09:38:00"/>
    <x v="8"/>
    <x v="0"/>
    <x v="23"/>
    <n v="3"/>
    <m/>
    <n v="147.9"/>
    <n v="26.100000000000005"/>
  </r>
  <r>
    <s v="SBG - Desktop"/>
    <x v="1"/>
    <s v="Bug"/>
    <s v="DESK-3574"/>
    <s v="New Header footer remaining issues."/>
    <s v="Bug"/>
    <x v="1"/>
    <d v="2015-11-05T07:45:00"/>
    <x v="8"/>
    <x v="0"/>
    <x v="23"/>
    <n v="8"/>
    <m/>
    <n v="147.9"/>
    <n v="26.100000000000005"/>
  </r>
  <r>
    <s v="SBG - Desktop"/>
    <x v="0"/>
    <s v="Bug"/>
    <s v="DESK-3574"/>
    <s v="New Header footer remaining issues."/>
    <s v="Bug"/>
    <x v="1"/>
    <d v="2015-11-12T09:12:00"/>
    <x v="8"/>
    <x v="0"/>
    <x v="19"/>
    <n v="8"/>
    <m/>
    <n v="87"/>
    <n v="87"/>
  </r>
  <r>
    <s v="SBG - Desktop"/>
    <x v="0"/>
    <s v="Bug"/>
    <s v="DESK-3574"/>
    <s v="New Header footer remaining issues."/>
    <s v="Bug"/>
    <x v="1"/>
    <d v="2015-11-13T12:23:00"/>
    <x v="8"/>
    <x v="0"/>
    <x v="19"/>
    <n v="3"/>
    <m/>
    <n v="87"/>
    <n v="87"/>
  </r>
  <r>
    <s v="SBG - Desktop"/>
    <x v="0"/>
    <s v="Bug"/>
    <s v="DESK-3574"/>
    <s v="New Header footer remaining issues."/>
    <s v="Bug"/>
    <x v="1"/>
    <d v="2015-11-16T09:12:00"/>
    <x v="8"/>
    <x v="0"/>
    <x v="19"/>
    <n v="8"/>
    <m/>
    <n v="87"/>
    <n v="87"/>
  </r>
  <r>
    <s v="SBG - Desktop"/>
    <x v="0"/>
    <s v="Bug"/>
    <s v="DESK-3574"/>
    <s v="New Header footer remaining issues."/>
    <s v="Bug"/>
    <x v="1"/>
    <d v="2015-11-19T09:12:00"/>
    <x v="8"/>
    <x v="0"/>
    <x v="19"/>
    <n v="8"/>
    <m/>
    <n v="87"/>
    <n v="87"/>
  </r>
  <r>
    <s v="SBG - Desktop"/>
    <x v="0"/>
    <s v="Bug"/>
    <s v="DESK-3574"/>
    <s v="New Header footer remaining issues."/>
    <s v="Bug"/>
    <x v="1"/>
    <d v="2015-11-23T09:12:00"/>
    <x v="8"/>
    <x v="0"/>
    <x v="19"/>
    <n v="8"/>
    <m/>
    <n v="87"/>
    <n v="87"/>
  </r>
  <r>
    <s v="SBG - Desktop"/>
    <x v="2"/>
    <s v="Bug"/>
    <s v="DESK-3612"/>
    <s v="Sports Sunglasses Page Bug (Ski Goggles)"/>
    <s v="Bug"/>
    <x v="1"/>
    <d v="2015-11-12T18:00:00"/>
    <x v="8"/>
    <x v="0"/>
    <x v="29"/>
    <n v="2"/>
    <m/>
    <n v="147.9"/>
    <n v="26.100000000000005"/>
  </r>
  <r>
    <s v="SBG - Desktop"/>
    <x v="2"/>
    <s v="Bug"/>
    <s v="DESK-3612"/>
    <s v="Sports Sunglasses Page Bug (Ski Goggles)"/>
    <s v="Bug"/>
    <x v="1"/>
    <d v="2015-11-16T09:30:00"/>
    <x v="8"/>
    <x v="0"/>
    <x v="29"/>
    <n v="1"/>
    <m/>
    <n v="147.9"/>
    <n v="26.100000000000005"/>
  </r>
  <r>
    <s v="SBG - Desktop"/>
    <x v="2"/>
    <s v="Bug"/>
    <s v="DESK-3612"/>
    <s v="Sports Sunglasses Page Bug (Ski Goggles)"/>
    <s v="Bug"/>
    <x v="1"/>
    <d v="2015-11-17T21:30:00"/>
    <x v="8"/>
    <x v="0"/>
    <x v="29"/>
    <n v="4"/>
    <m/>
    <n v="147.9"/>
    <n v="26.100000000000005"/>
  </r>
  <r>
    <s v="SBG - Desktop"/>
    <x v="2"/>
    <s v="Bug"/>
    <s v="DESK-3612"/>
    <s v="Sports Sunglasses Page Bug (Ski Goggles)"/>
    <s v="Bug"/>
    <x v="1"/>
    <d v="2015-11-18T09:25:00"/>
    <x v="8"/>
    <x v="0"/>
    <x v="29"/>
    <n v="5"/>
    <m/>
    <n v="147.9"/>
    <n v="26.100000000000005"/>
  </r>
  <r>
    <s v="SBG - Desktop"/>
    <x v="2"/>
    <s v="Bug"/>
    <s v="DESK-3612"/>
    <s v="Sports Sunglasses Page Bug (Ski Goggles)"/>
    <s v="Bug"/>
    <x v="1"/>
    <d v="2015-11-19T21:30:00"/>
    <x v="8"/>
    <x v="0"/>
    <x v="29"/>
    <n v="8"/>
    <m/>
    <n v="147.9"/>
    <n v="26.100000000000005"/>
  </r>
  <r>
    <s v="SBG - Desktop"/>
    <x v="2"/>
    <s v="Bug"/>
    <s v="DESK-3613"/>
    <s v="Contact lens - volume pricing - minor wrong calculation on cart page"/>
    <s v="Bug"/>
    <x v="1"/>
    <d v="2015-11-18T16:18:00"/>
    <x v="8"/>
    <x v="0"/>
    <x v="10"/>
    <n v="2"/>
    <m/>
    <n v="147.9"/>
    <n v="26.100000000000005"/>
  </r>
  <r>
    <s v="SBG - Desktop"/>
    <x v="2"/>
    <s v="Bug"/>
    <s v="DESK-3613"/>
    <s v="Contact lens - volume pricing - minor wrong calculation on cart page"/>
    <s v="Bug"/>
    <x v="1"/>
    <d v="2015-11-19T16:18:00"/>
    <x v="8"/>
    <x v="0"/>
    <x v="10"/>
    <n v="2"/>
    <m/>
    <n v="147.9"/>
    <n v="26.100000000000005"/>
  </r>
  <r>
    <s v="SBG - Desktop"/>
    <x v="0"/>
    <s v="Bug"/>
    <s v="DESK-3634"/>
    <s v="360 Image Bug"/>
    <s v="Bug"/>
    <x v="1"/>
    <d v="2015-11-18T13:16:00"/>
    <x v="8"/>
    <x v="0"/>
    <x v="19"/>
    <n v="4"/>
    <m/>
    <n v="87"/>
    <n v="87"/>
  </r>
  <r>
    <s v="SBG - Desktop"/>
    <x v="0"/>
    <s v="Bug"/>
    <s v="DESK-3634"/>
    <s v="360 Image Bug"/>
    <s v="Bug"/>
    <x v="1"/>
    <d v="2015-11-27T16:47:00"/>
    <x v="8"/>
    <x v="0"/>
    <x v="19"/>
    <n v="1"/>
    <m/>
    <n v="87"/>
    <n v="87"/>
  </r>
  <r>
    <s v="SBG - Desktop"/>
    <x v="1"/>
    <s v="Bug"/>
    <s v="DESK-3634"/>
    <s v="360 Image Bug"/>
    <s v="Bug"/>
    <x v="1"/>
    <d v="2015-11-27T17:35:00"/>
    <x v="8"/>
    <x v="0"/>
    <x v="26"/>
    <n v="0.5"/>
    <m/>
    <n v="147.9"/>
    <n v="26.100000000000005"/>
  </r>
  <r>
    <s v="SBG - Desktop"/>
    <x v="0"/>
    <s v="Bug"/>
    <s v="DESK-3641"/>
    <s v="AU_health email is missing health providers"/>
    <s v="Bug"/>
    <x v="1"/>
    <d v="2015-11-24T15:16:00"/>
    <x v="8"/>
    <x v="0"/>
    <x v="19"/>
    <n v="2"/>
    <m/>
    <n v="87"/>
    <n v="87"/>
  </r>
  <r>
    <s v="SBG - Desktop"/>
    <x v="2"/>
    <s v="Bug"/>
    <s v="DESK-3641"/>
    <s v="AU_health email is missing health providers"/>
    <s v="Bug"/>
    <x v="1"/>
    <d v="2015-11-30T18:32:00"/>
    <x v="8"/>
    <x v="0"/>
    <x v="2"/>
    <n v="4"/>
    <m/>
    <n v="147.9"/>
    <n v="26.100000000000005"/>
  </r>
  <r>
    <s v="SBG - Desktop"/>
    <x v="1"/>
    <s v="Bug"/>
    <s v="DESK-3650"/>
    <s v="DESKTOP &amp; MOBILE - search result grid page doesn't show discounted price of clearance item"/>
    <s v="Bug"/>
    <x v="1"/>
    <d v="2015-11-16T14:48:00"/>
    <x v="8"/>
    <x v="0"/>
    <x v="23"/>
    <n v="1"/>
    <m/>
    <n v="147.9"/>
    <n v="26.100000000000005"/>
  </r>
  <r>
    <s v="SBG - Desktop"/>
    <x v="1"/>
    <s v="Bug"/>
    <s v="DESK-3650"/>
    <s v="DESKTOP &amp; MOBILE - search result grid page doesn't show discounted price of clearance item"/>
    <s v="Bug"/>
    <x v="1"/>
    <d v="2015-11-18T17:10:00"/>
    <x v="8"/>
    <x v="0"/>
    <x v="23"/>
    <n v="4"/>
    <m/>
    <n v="147.9"/>
    <n v="26.100000000000005"/>
  </r>
  <r>
    <s v="SBG - Desktop"/>
    <x v="1"/>
    <s v="Bug"/>
    <s v="DESK-3650"/>
    <s v="DESKTOP &amp; MOBILE - search result grid page doesn't show discounted price of clearance item"/>
    <s v="Bug"/>
    <x v="1"/>
    <d v="2015-11-19T11:47:00"/>
    <x v="8"/>
    <x v="0"/>
    <x v="23"/>
    <n v="4"/>
    <m/>
    <n v="147.9"/>
    <n v="26.100000000000005"/>
  </r>
  <r>
    <s v="SBG - Desktop"/>
    <x v="1"/>
    <s v="Bug"/>
    <s v="DESK-3650"/>
    <s v="DESKTOP &amp; MOBILE - search result grid page doesn't show discounted price of clearance item"/>
    <s v="Bug"/>
    <x v="1"/>
    <d v="2015-11-25T07:48:00"/>
    <x v="8"/>
    <x v="0"/>
    <x v="23"/>
    <n v="8"/>
    <m/>
    <n v="147.9"/>
    <n v="26.100000000000005"/>
  </r>
  <r>
    <s v="SBG - Desktop"/>
    <x v="1"/>
    <s v="Bug"/>
    <s v="DESK-3715"/>
    <s v="Referral Gift Voucher Sync Doesn't Happen-- Cannot Match Referral Order, Canot Send Out Referral Earned email"/>
    <s v="Bug"/>
    <x v="1"/>
    <d v="2015-10-27T14:52:00"/>
    <x v="5"/>
    <x v="0"/>
    <x v="8"/>
    <n v="2"/>
    <m/>
    <n v="127.5"/>
    <n v="22.500000000000004"/>
  </r>
  <r>
    <s v="SBG - Desktop"/>
    <x v="2"/>
    <s v="Bug"/>
    <s v="DESK-3740"/>
    <s v="0.01 Payment Due error"/>
    <s v="Bug"/>
    <x v="1"/>
    <d v="2015-11-03T18:22:00"/>
    <x v="8"/>
    <x v="0"/>
    <x v="9"/>
    <n v="0.5"/>
    <m/>
    <n v="147.9"/>
    <n v="26.100000000000005"/>
  </r>
  <r>
    <s v="SBG - Desktop"/>
    <x v="2"/>
    <s v="Bug"/>
    <s v="DESK-3749"/>
    <s v="Brand page issue"/>
    <s v="Bug"/>
    <x v="1"/>
    <d v="2015-11-09T15:19:00"/>
    <x v="8"/>
    <x v="0"/>
    <x v="29"/>
    <n v="1"/>
    <m/>
    <n v="147.9"/>
    <n v="26.100000000000005"/>
  </r>
  <r>
    <s v="SBG - Desktop"/>
    <x v="1"/>
    <s v="Bug"/>
    <s v="DESK-3797"/>
    <s v="Search index issues"/>
    <s v="Bug"/>
    <x v="1"/>
    <d v="2015-10-14T18:17:00"/>
    <x v="5"/>
    <x v="0"/>
    <x v="1"/>
    <n v="1"/>
    <s v="Update price"/>
    <n v="127.5"/>
    <n v="22.500000000000004"/>
  </r>
  <r>
    <s v="SBG - Desktop"/>
    <x v="2"/>
    <s v="Bug"/>
    <s v="DESK-3829"/>
    <s v="The datafeed url bug in co, mx , cl ,ar es country"/>
    <s v="Bug"/>
    <x v="1"/>
    <d v="2015-11-18T17:50:00"/>
    <x v="8"/>
    <x v="0"/>
    <x v="2"/>
    <n v="3"/>
    <m/>
    <n v="147.9"/>
    <n v="26.100000000000005"/>
  </r>
  <r>
    <s v="SBG - Desktop"/>
    <x v="2"/>
    <s v="Bug"/>
    <s v="DESK-3831"/>
    <s v="Product Assortment Problem- Not Displaying ALL products"/>
    <s v="Bug"/>
    <x v="1"/>
    <d v="2015-10-19T16:52:00"/>
    <x v="5"/>
    <x v="0"/>
    <x v="10"/>
    <n v="2"/>
    <m/>
    <n v="127.5"/>
    <n v="22.500000000000004"/>
  </r>
  <r>
    <s v="SBG - Desktop"/>
    <x v="2"/>
    <s v="Bug"/>
    <s v="DESK-3831"/>
    <s v="Product Assortment Problem- Not Displaying ALL products"/>
    <s v="Bug"/>
    <x v="1"/>
    <d v="2015-10-20T16:41:00"/>
    <x v="5"/>
    <x v="0"/>
    <x v="10"/>
    <n v="4"/>
    <m/>
    <n v="127.5"/>
    <n v="22.500000000000004"/>
  </r>
  <r>
    <s v="SBG - Desktop"/>
    <x v="1"/>
    <s v="Bug"/>
    <s v="DESK-3831"/>
    <s v="Product Assortment Problem- Not Displaying ALL products"/>
    <s v="Bug"/>
    <x v="1"/>
    <d v="2015-11-03T09:38:00"/>
    <x v="8"/>
    <x v="0"/>
    <x v="23"/>
    <n v="2"/>
    <m/>
    <n v="147.9"/>
    <n v="26.100000000000005"/>
  </r>
  <r>
    <s v="SBG - Desktop"/>
    <x v="2"/>
    <s v="Bug"/>
    <s v="DESK-3831"/>
    <s v="Product Assortment Problem- Not Displaying ALL products"/>
    <s v="Bug"/>
    <x v="1"/>
    <d v="2015-11-04T10:18:00"/>
    <x v="8"/>
    <x v="0"/>
    <x v="10"/>
    <n v="2"/>
    <m/>
    <n v="147.9"/>
    <n v="26.100000000000005"/>
  </r>
  <r>
    <s v="SBG - Desktop"/>
    <x v="2"/>
    <s v="Bug"/>
    <s v="DESK-3831"/>
    <s v="Product Assortment Problem- Not Displaying ALL products"/>
    <s v="Bug"/>
    <x v="1"/>
    <d v="2015-11-10T18:04:00"/>
    <x v="8"/>
    <x v="0"/>
    <x v="10"/>
    <n v="2"/>
    <m/>
    <n v="147.9"/>
    <n v="26.100000000000005"/>
  </r>
  <r>
    <s v="SBG - Desktop"/>
    <x v="2"/>
    <s v="Bug"/>
    <s v="DESK-3845"/>
    <s v="AU Health Email (2 versions, 1x without Medibank)"/>
    <s v="Bug"/>
    <x v="1"/>
    <d v="2015-11-19T17:32:00"/>
    <x v="8"/>
    <x v="0"/>
    <x v="2"/>
    <n v="4"/>
    <m/>
    <n v="147.9"/>
    <n v="26.100000000000005"/>
  </r>
  <r>
    <s v="SBG - Desktop"/>
    <x v="2"/>
    <s v="Bug"/>
    <s v="DESK-3856"/>
    <s v="Duplicate initial payment log which results in PO creation failure"/>
    <s v="Bug"/>
    <x v="1"/>
    <d v="2015-10-09T17:08:00"/>
    <x v="5"/>
    <x v="0"/>
    <x v="9"/>
    <n v="2"/>
    <m/>
    <n v="127.5"/>
    <n v="22.500000000000004"/>
  </r>
  <r>
    <s v="SBG - Desktop"/>
    <x v="2"/>
    <s v="Bug"/>
    <s v="DESK-3856"/>
    <s v="Duplicate initial payment log which results in PO creation failure"/>
    <s v="Bug"/>
    <x v="1"/>
    <d v="2015-10-12T19:03:00"/>
    <x v="5"/>
    <x v="0"/>
    <x v="9"/>
    <n v="1"/>
    <m/>
    <n v="127.5"/>
    <n v="22.500000000000004"/>
  </r>
  <r>
    <s v="SBG - Desktop"/>
    <x v="2"/>
    <s v="Bug"/>
    <s v="DESK-3856"/>
    <s v="Duplicate initial payment log which results in PO creation failure"/>
    <s v="Bug"/>
    <x v="1"/>
    <d v="2015-11-17T18:02:00"/>
    <x v="8"/>
    <x v="0"/>
    <x v="9"/>
    <n v="1"/>
    <s v="fix Duplicate initial payment log"/>
    <n v="147.9"/>
    <n v="26.100000000000005"/>
  </r>
  <r>
    <s v="SBG - Desktop"/>
    <x v="2"/>
    <s v="Bug"/>
    <s v="DESK-3887"/>
    <s v="link brand page to ski goggles page for Smith &amp; Oakley"/>
    <s v="Bug"/>
    <x v="1"/>
    <d v="2015-10-19T16:52:00"/>
    <x v="5"/>
    <x v="0"/>
    <x v="10"/>
    <n v="3"/>
    <m/>
    <n v="127.5"/>
    <n v="22.500000000000004"/>
  </r>
  <r>
    <s v="SBG - Desktop"/>
    <x v="2"/>
    <s v="Bug"/>
    <s v="DESK-3888"/>
    <s v="Activate Persol EYE + SUN in CH, AT, DE"/>
    <s v="Bug"/>
    <x v="1"/>
    <d v="2015-10-27T15:30:00"/>
    <x v="5"/>
    <x v="0"/>
    <x v="10"/>
    <n v="2"/>
    <m/>
    <n v="127.5"/>
    <n v="22.500000000000004"/>
  </r>
  <r>
    <s v="SBG - Desktop"/>
    <x v="2"/>
    <s v="Bug"/>
    <s v="DESK-3898"/>
    <s v="image url encoding issue"/>
    <s v="Bug"/>
    <x v="1"/>
    <d v="2015-11-30T18:33:00"/>
    <x v="8"/>
    <x v="0"/>
    <x v="2"/>
    <n v="4"/>
    <m/>
    <n v="147.9"/>
    <n v="26.100000000000005"/>
  </r>
  <r>
    <s v="SBG - Desktop"/>
    <x v="2"/>
    <s v="Bug"/>
    <s v="DESK-3902"/>
    <s v="Physical Address missing - please add!"/>
    <s v="Bug"/>
    <x v="1"/>
    <d v="2015-10-20T16:42:00"/>
    <x v="5"/>
    <x v="0"/>
    <x v="10"/>
    <n v="2"/>
    <m/>
    <n v="127.5"/>
    <n v="22.500000000000004"/>
  </r>
  <r>
    <s v="SBG - Desktop"/>
    <x v="1"/>
    <s v="Bug"/>
    <s v="DESK-3902"/>
    <s v="Physical Address missing - please add!"/>
    <s v="Bug"/>
    <x v="1"/>
    <d v="2015-10-21T11:14:00"/>
    <x v="5"/>
    <x v="0"/>
    <x v="8"/>
    <n v="0.5"/>
    <m/>
    <n v="127.5"/>
    <n v="22.500000000000004"/>
  </r>
  <r>
    <s v="SBG - Desktop"/>
    <x v="1"/>
    <s v="Bug"/>
    <s v="DESK-3902"/>
    <s v="Physical Address missing - please add!"/>
    <s v="Bug"/>
    <x v="1"/>
    <d v="2015-10-27T17:49:00"/>
    <x v="5"/>
    <x v="0"/>
    <x v="8"/>
    <n v="1"/>
    <m/>
    <n v="127.5"/>
    <n v="22.500000000000004"/>
  </r>
  <r>
    <s v="SBG - Desktop"/>
    <x v="2"/>
    <s v="Bug"/>
    <s v="DESK-3972"/>
    <s v="Progressive Lens - Send Later - Essilor 1.50 missing in lens recommendation"/>
    <s v="Bug"/>
    <x v="1"/>
    <d v="2015-10-12T15:59:00"/>
    <x v="5"/>
    <x v="0"/>
    <x v="18"/>
    <n v="3"/>
    <m/>
    <n v="127.5"/>
    <n v="22.500000000000004"/>
  </r>
  <r>
    <s v="SBG - Desktop"/>
    <x v="2"/>
    <s v="Bug"/>
    <s v="DESK-3972"/>
    <s v="Progressive Lens - Send Later - Essilor 1.50 missing in lens recommendation"/>
    <s v="Bug"/>
    <x v="1"/>
    <d v="2015-10-15T10:59:00"/>
    <x v="5"/>
    <x v="0"/>
    <x v="18"/>
    <n v="8"/>
    <m/>
    <n v="127.5"/>
    <n v="22.500000000000004"/>
  </r>
  <r>
    <s v="SBG - Desktop"/>
    <x v="2"/>
    <s v="Bug"/>
    <s v="DESK-3972"/>
    <s v="Progressive Lens - Send Later - Essilor 1.50 missing in lens recommendation"/>
    <s v="Bug"/>
    <x v="1"/>
    <d v="2015-11-03T18:02:00"/>
    <x v="8"/>
    <x v="0"/>
    <x v="18"/>
    <n v="1"/>
    <m/>
    <n v="147.9"/>
    <n v="26.100000000000005"/>
  </r>
  <r>
    <s v="SBG - Desktop"/>
    <x v="2"/>
    <s v="Bug"/>
    <s v="DESK-3972"/>
    <s v="Progressive Lens - Send Later - Essilor 1.50 missing in lens recommendation"/>
    <s v="Bug"/>
    <x v="1"/>
    <d v="2015-11-30T12:08:00"/>
    <x v="8"/>
    <x v="0"/>
    <x v="18"/>
    <n v="8"/>
    <m/>
    <n v="147.9"/>
    <n v="26.100000000000005"/>
  </r>
  <r>
    <s v="SBG - Desktop"/>
    <x v="1"/>
    <s v="Technical task"/>
    <s v="DESK-4099"/>
    <s v="DESK-3549&gt; Test case design and execution"/>
    <s v="Technical task"/>
    <x v="0"/>
    <d v="2015-11-30T11:05:00"/>
    <x v="8"/>
    <x v="0"/>
    <x v="1"/>
    <n v="1"/>
    <m/>
    <n v="147.9"/>
    <n v="26.100000000000005"/>
  </r>
  <r>
    <s v="SBG - Desktop"/>
    <x v="0"/>
    <s v="Bug"/>
    <s v="DESK-4784"/>
    <s v="design a new banner on homepage"/>
    <s v="Bug"/>
    <x v="1"/>
    <d v="2015-10-31T14:42:00"/>
    <x v="5"/>
    <x v="0"/>
    <x v="7"/>
    <n v="55"/>
    <m/>
    <n v="75"/>
    <n v="75"/>
  </r>
  <r>
    <s v="SBG - Desktop"/>
    <x v="1"/>
    <s v="Bug"/>
    <s v="DESK-4891"/>
    <s v="discontinued bugs"/>
    <s v="Bug"/>
    <x v="1"/>
    <d v="2015-10-14T18:23:00"/>
    <x v="5"/>
    <x v="0"/>
    <x v="8"/>
    <n v="1"/>
    <m/>
    <n v="127.5"/>
    <n v="22.500000000000004"/>
  </r>
  <r>
    <s v="SBG - Desktop"/>
    <x v="2"/>
    <s v="Bug"/>
    <s v="DESK-4963"/>
    <s v="wrong categories for sunglasses in color_feed (Spain only)"/>
    <s v="Bug"/>
    <x v="1"/>
    <d v="2015-11-11T18:33:00"/>
    <x v="8"/>
    <x v="0"/>
    <x v="2"/>
    <n v="5"/>
    <m/>
    <n v="147.9"/>
    <n v="26.100000000000005"/>
  </r>
  <r>
    <s v="SBG - Desktop"/>
    <x v="2"/>
    <s v="Bug"/>
    <s v="DESK-4963"/>
    <s v="wrong categories for sunglasses in color_feed (Spain only)"/>
    <s v="Bug"/>
    <x v="1"/>
    <d v="2015-11-13T16:57:00"/>
    <x v="8"/>
    <x v="0"/>
    <x v="2"/>
    <n v="4"/>
    <m/>
    <n v="147.9"/>
    <n v="26.100000000000005"/>
  </r>
  <r>
    <s v="SBG - Desktop"/>
    <x v="2"/>
    <s v="Bug"/>
    <s v="DESK-4963"/>
    <s v="wrong categories for sunglasses in color_feed (Spain only)"/>
    <s v="Bug"/>
    <x v="1"/>
    <d v="2015-11-18T17:50:00"/>
    <x v="8"/>
    <x v="0"/>
    <x v="2"/>
    <n v="5"/>
    <s v="testing"/>
    <n v="147.9"/>
    <n v="26.100000000000005"/>
  </r>
  <r>
    <s v="SBG - Desktop"/>
    <x v="2"/>
    <s v="Bug"/>
    <s v="DESK-4963"/>
    <s v="wrong categories for sunglasses in color_feed (Spain only)"/>
    <s v="Bug"/>
    <x v="1"/>
    <d v="2015-11-19T18:06:00"/>
    <x v="8"/>
    <x v="0"/>
    <x v="16"/>
    <n v="8"/>
    <s v="export feed csv. done."/>
    <n v="147.9"/>
    <n v="26.100000000000005"/>
  </r>
  <r>
    <s v="SBG - Desktop"/>
    <x v="2"/>
    <s v="Bug"/>
    <s v="DESK-5033"/>
    <s v="Product Image Issue"/>
    <s v="Bug"/>
    <x v="1"/>
    <d v="2015-11-09T23:30:00"/>
    <x v="8"/>
    <x v="0"/>
    <x v="29"/>
    <n v="2"/>
    <m/>
    <n v="147.9"/>
    <n v="26.100000000000005"/>
  </r>
  <r>
    <s v="SBG - Desktop"/>
    <x v="2"/>
    <s v="Bug"/>
    <s v="DESK-5100"/>
    <s v="customers cannot receive health fund emails"/>
    <s v="Bug"/>
    <x v="1"/>
    <d v="2015-10-21T18:12:00"/>
    <x v="5"/>
    <x v="0"/>
    <x v="2"/>
    <n v="2"/>
    <m/>
    <n v="127.5"/>
    <n v="22.500000000000004"/>
  </r>
  <r>
    <s v="SBG - Desktop"/>
    <x v="2"/>
    <s v="Bug"/>
    <s v="DESK-5100"/>
    <s v="customers cannot receive health fund emails"/>
    <s v="Bug"/>
    <x v="1"/>
    <d v="2015-10-22T18:39:00"/>
    <x v="5"/>
    <x v="0"/>
    <x v="2"/>
    <n v="8"/>
    <s v="185 couldn't work on https. we still couldn't find the reason The payment of GC still failed on 185 au domain"/>
    <n v="127.5"/>
    <n v="22.500000000000004"/>
  </r>
  <r>
    <s v="SBG - Desktop"/>
    <x v="2"/>
    <s v="Bug"/>
    <s v="DESK-5385"/>
    <s v="Product URLs for MX, CO, ES, CL, AR are invalid"/>
    <s v="Bug"/>
    <x v="1"/>
    <d v="2015-11-19T17:33:00"/>
    <x v="8"/>
    <x v="0"/>
    <x v="2"/>
    <n v="3"/>
    <m/>
    <n v="147.9"/>
    <n v="26.100000000000005"/>
  </r>
  <r>
    <s v="SBG - Desktop"/>
    <x v="2"/>
    <s v="Bug"/>
    <s v="DESK-6664"/>
    <s v="remove hard code redirect to homepage for brand Persol selling on domain Germany Swissland and AT"/>
    <s v="Bug"/>
    <x v="1"/>
    <d v="2015-10-15T17:07:00"/>
    <x v="5"/>
    <x v="0"/>
    <x v="10"/>
    <n v="2"/>
    <m/>
    <n v="127.5"/>
    <n v="22.500000000000004"/>
  </r>
  <r>
    <s v="SBG - Desktop"/>
    <x v="1"/>
    <s v="Bug"/>
    <s v="DESK-6668"/>
    <s v="The price formatting is not the same on different pages"/>
    <s v="Bug"/>
    <x v="1"/>
    <d v="2015-11-30T15:49:00"/>
    <x v="8"/>
    <x v="0"/>
    <x v="1"/>
    <n v="1"/>
    <m/>
    <n v="147.9"/>
    <n v="26.100000000000005"/>
  </r>
  <r>
    <s v="SBG - Desktop"/>
    <x v="0"/>
    <s v="Bug"/>
    <s v="DESK-6771"/>
    <s v="change http request tp https for membership page"/>
    <s v="Bug"/>
    <x v="1"/>
    <d v="2015-11-30T14:26:00"/>
    <x v="8"/>
    <x v="0"/>
    <x v="7"/>
    <n v="82"/>
    <m/>
    <n v="87"/>
    <n v="87"/>
  </r>
  <r>
    <s v="SBG - Desktop"/>
    <x v="2"/>
    <s v="Task"/>
    <s v="DESK-6942"/>
    <s v="Adding new domain ebl.smartbuyglasses.cn"/>
    <s v="Task"/>
    <x v="0"/>
    <d v="2015-11-16T18:53:00"/>
    <x v="8"/>
    <x v="0"/>
    <x v="2"/>
    <n v="5"/>
    <m/>
    <n v="147.9"/>
    <n v="26.100000000000005"/>
  </r>
  <r>
    <s v="SBG - Desktop"/>
    <x v="2"/>
    <s v="Task"/>
    <s v="DESK-6980"/>
    <s v="New SSL certificate for our web site"/>
    <s v="Task"/>
    <x v="0"/>
    <d v="2015-11-12T16:26:00"/>
    <x v="8"/>
    <x v="0"/>
    <x v="2"/>
    <n v="7"/>
    <m/>
    <n v="147.9"/>
    <n v="26.100000000000005"/>
  </r>
  <r>
    <s v="SBG - Desktop"/>
    <x v="2"/>
    <s v="Task"/>
    <s v="DESK-7033"/>
    <s v="Brand Update"/>
    <s v="Task"/>
    <x v="0"/>
    <d v="2015-11-09T16:31:00"/>
    <x v="8"/>
    <x v="0"/>
    <x v="10"/>
    <n v="2"/>
    <m/>
    <n v="147.9"/>
    <n v="26.100000000000005"/>
  </r>
  <r>
    <s v="SBG - Desktop"/>
    <x v="2"/>
    <s v="Task"/>
    <s v="DESK-7033"/>
    <s v="Brand Update"/>
    <s v="Task"/>
    <x v="0"/>
    <d v="2015-11-13T16:32:00"/>
    <x v="8"/>
    <x v="0"/>
    <x v="10"/>
    <n v="2"/>
    <m/>
    <n v="147.9"/>
    <n v="26.100000000000005"/>
  </r>
  <r>
    <s v="SBG - Desktop"/>
    <x v="2"/>
    <s v="Task"/>
    <s v="DESK-7033"/>
    <s v="Brand Update"/>
    <s v="Task"/>
    <x v="0"/>
    <d v="2015-11-17T10:31:00"/>
    <x v="8"/>
    <x v="0"/>
    <x v="10"/>
    <n v="8"/>
    <m/>
    <n v="147.9"/>
    <n v="26.100000000000005"/>
  </r>
  <r>
    <s v="SBG - Desktop"/>
    <x v="2"/>
    <s v="Task"/>
    <s v="DESK-7033"/>
    <s v="Brand Update"/>
    <s v="Task"/>
    <x v="0"/>
    <d v="2015-11-18T16:32:00"/>
    <x v="8"/>
    <x v="0"/>
    <x v="10"/>
    <n v="2"/>
    <m/>
    <n v="147.9"/>
    <n v="26.100000000000005"/>
  </r>
  <r>
    <s v="SBG - Desktop"/>
    <x v="2"/>
    <s v="Task"/>
    <s v="DESK-7097"/>
    <s v="New Sports Brand- Dirty Dog"/>
    <s v="Task"/>
    <x v="0"/>
    <d v="2015-11-09T15:30:00"/>
    <x v="8"/>
    <x v="0"/>
    <x v="29"/>
    <n v="1"/>
    <m/>
    <n v="147.9"/>
    <n v="26.100000000000005"/>
  </r>
  <r>
    <s v="SBG - Desktop"/>
    <x v="2"/>
    <s v="Task"/>
    <s v="DESK-7097"/>
    <s v="New Sports Brand- Dirty Dog"/>
    <s v="Task"/>
    <x v="0"/>
    <d v="2015-11-09T17:00:00"/>
    <x v="8"/>
    <x v="0"/>
    <x v="29"/>
    <n v="0.5"/>
    <m/>
    <n v="147.9"/>
    <n v="26.100000000000005"/>
  </r>
  <r>
    <s v="SBG - Desktop"/>
    <x v="2"/>
    <s v="Task"/>
    <s v="DESK-7097"/>
    <s v="New Sports Brand- Dirty Dog"/>
    <s v="Task"/>
    <x v="0"/>
    <d v="2015-11-11T10:00:00"/>
    <x v="8"/>
    <x v="0"/>
    <x v="29"/>
    <n v="3"/>
    <m/>
    <n v="147.9"/>
    <n v="26.100000000000005"/>
  </r>
  <r>
    <s v="SBG - Desktop"/>
    <x v="2"/>
    <s v="Task"/>
    <s v="DESK-7097"/>
    <s v="New Sports Brand- Dirty Dog"/>
    <s v="Task"/>
    <x v="0"/>
    <d v="2015-11-11T15:00:00"/>
    <x v="8"/>
    <x v="0"/>
    <x v="29"/>
    <n v="3"/>
    <m/>
    <n v="147.9"/>
    <n v="26.100000000000005"/>
  </r>
  <r>
    <s v="SBG - Desktop"/>
    <x v="2"/>
    <s v="Task"/>
    <s v="DESK-7097"/>
    <s v="New Sports Brand- Dirty Dog"/>
    <s v="Task"/>
    <x v="0"/>
    <d v="2015-11-16T10:30:00"/>
    <x v="8"/>
    <x v="0"/>
    <x v="29"/>
    <n v="1"/>
    <m/>
    <n v="147.9"/>
    <n v="26.100000000000005"/>
  </r>
  <r>
    <s v="SBG - Desktop"/>
    <x v="0"/>
    <s v="Task"/>
    <s v="DESK-7128"/>
    <s v="Banner Download"/>
    <s v="Task"/>
    <x v="0"/>
    <d v="2015-11-17T15:12:00"/>
    <x v="8"/>
    <x v="0"/>
    <x v="7"/>
    <n v="1"/>
    <m/>
    <n v="87"/>
    <n v="87"/>
  </r>
  <r>
    <s v="SBG - Desktop"/>
    <x v="2"/>
    <s v="Task"/>
    <s v="DESK-7230"/>
    <s v="Reactivate Giorgio Armani and Armani Exchange"/>
    <s v="Task"/>
    <x v="0"/>
    <d v="2015-10-20T09:48:00"/>
    <x v="5"/>
    <x v="0"/>
    <x v="29"/>
    <n v="4"/>
    <m/>
    <n v="127.5"/>
    <n v="22.500000000000004"/>
  </r>
  <r>
    <s v="SBG - Desktop"/>
    <x v="2"/>
    <s v="Task"/>
    <s v="DESK-7230"/>
    <s v="Reactivate Giorgio Armani and Armani Exchange"/>
    <s v="Task"/>
    <x v="0"/>
    <d v="2015-10-21T11:19:00"/>
    <x v="5"/>
    <x v="0"/>
    <x v="29"/>
    <n v="7"/>
    <m/>
    <n v="127.5"/>
    <n v="22.500000000000004"/>
  </r>
  <r>
    <s v="SBG - Desktop"/>
    <x v="0"/>
    <s v="Task"/>
    <s v="DESK-7230"/>
    <s v="Reactivate Giorgio Armani and Armani Exchange"/>
    <s v="Task"/>
    <x v="0"/>
    <d v="2015-10-26T11:58:00"/>
    <x v="5"/>
    <x v="0"/>
    <x v="7"/>
    <n v="0.5"/>
    <m/>
    <n v="75"/>
    <n v="75"/>
  </r>
  <r>
    <s v="SBG - Desktop"/>
    <x v="0"/>
    <s v="Task"/>
    <s v="DESK-7230"/>
    <s v="Reactivate Giorgio Armani and Armani Exchange"/>
    <s v="Task"/>
    <x v="0"/>
    <d v="2015-10-26T14:27:00"/>
    <x v="5"/>
    <x v="0"/>
    <x v="7"/>
    <n v="0.5"/>
    <m/>
    <n v="75"/>
    <n v="75"/>
  </r>
  <r>
    <s v="SBG - Desktop"/>
    <x v="2"/>
    <s v="Task"/>
    <s v="DESK-7230"/>
    <s v="Reactivate Giorgio Armani and Armani Exchange"/>
    <s v="Task"/>
    <x v="0"/>
    <d v="2015-10-26T15:13:00"/>
    <x v="5"/>
    <x v="0"/>
    <x v="29"/>
    <n v="5"/>
    <m/>
    <n v="127.5"/>
    <n v="22.500000000000004"/>
  </r>
  <r>
    <s v="SBG - Desktop"/>
    <x v="2"/>
    <s v="Task"/>
    <s v="DESK-7230"/>
    <s v="Reactivate Giorgio Armani and Armani Exchange"/>
    <s v="Task"/>
    <x v="0"/>
    <d v="2015-11-11T09:30:00"/>
    <x v="8"/>
    <x v="0"/>
    <x v="29"/>
    <n v="8"/>
    <m/>
    <n v="147.9"/>
    <n v="26.100000000000005"/>
  </r>
  <r>
    <s v="SBG - Desktop"/>
    <x v="2"/>
    <s v="Task"/>
    <s v="DESK-7230"/>
    <s v="Reactivate Giorgio Armani and Armani Exchange"/>
    <s v="Task"/>
    <x v="0"/>
    <d v="2015-11-11T21:30:00"/>
    <x v="8"/>
    <x v="0"/>
    <x v="29"/>
    <n v="8"/>
    <m/>
    <n v="147.9"/>
    <n v="26.100000000000005"/>
  </r>
  <r>
    <s v="SBG - Desktop"/>
    <x v="0"/>
    <s v="Task"/>
    <s v="DESK-7242"/>
    <s v="Add optical center links on the website"/>
    <s v="Task"/>
    <x v="0"/>
    <d v="2015-11-17T16:46:00"/>
    <x v="8"/>
    <x v="0"/>
    <x v="19"/>
    <n v="6"/>
    <m/>
    <n v="87"/>
    <n v="87"/>
  </r>
  <r>
    <s v="SBG - Desktop"/>
    <x v="0"/>
    <s v="Task"/>
    <s v="DESK-7242"/>
    <s v="Add optical center links on the website"/>
    <s v="Task"/>
    <x v="0"/>
    <d v="2015-11-19T12:39:00"/>
    <x v="8"/>
    <x v="0"/>
    <x v="19"/>
    <n v="2"/>
    <m/>
    <n v="87"/>
    <n v="87"/>
  </r>
  <r>
    <s v="SBG - Desktop"/>
    <x v="0"/>
    <s v="Task"/>
    <s v="DESK-7242"/>
    <s v="Add optical center links on the website"/>
    <s v="Task"/>
    <x v="0"/>
    <d v="2015-11-19T12:40:00"/>
    <x v="8"/>
    <x v="0"/>
    <x v="7"/>
    <n v="2"/>
    <m/>
    <n v="87"/>
    <n v="87"/>
  </r>
  <r>
    <s v="SBG - Desktop"/>
    <x v="2"/>
    <s v="Task"/>
    <s v="DESK-7275"/>
    <s v="payment method choice redefine at checkout page for both desktop and mobile for NZ domain"/>
    <s v="Task"/>
    <x v="0"/>
    <d v="2015-10-12T12:54:00"/>
    <x v="5"/>
    <x v="0"/>
    <x v="2"/>
    <n v="8"/>
    <m/>
    <n v="127.5"/>
    <n v="22.500000000000004"/>
  </r>
  <r>
    <s v="SBG - Desktop"/>
    <x v="2"/>
    <s v="Task"/>
    <s v="DESK-7275"/>
    <s v="payment method choice redefine at checkout page for both desktop and mobile for NZ domain"/>
    <s v="Task"/>
    <x v="0"/>
    <d v="2015-10-13T16:22:00"/>
    <x v="5"/>
    <x v="0"/>
    <x v="2"/>
    <n v="8"/>
    <m/>
    <n v="127.5"/>
    <n v="22.500000000000004"/>
  </r>
  <r>
    <s v="SBG - Desktop"/>
    <x v="2"/>
    <s v="Task"/>
    <s v="DESK-7279"/>
    <s v="Luxottica brand logo"/>
    <s v="Task"/>
    <x v="0"/>
    <d v="2015-11-09T17:33:00"/>
    <x v="8"/>
    <x v="0"/>
    <x v="29"/>
    <n v="1"/>
    <m/>
    <n v="147.9"/>
    <n v="26.100000000000005"/>
  </r>
  <r>
    <s v="SBG - Desktop"/>
    <x v="2"/>
    <s v="Task"/>
    <s v="DESK-7279"/>
    <s v="Luxottica brand logo"/>
    <s v="Task"/>
    <x v="0"/>
    <d v="2015-11-17T09:48:00"/>
    <x v="8"/>
    <x v="0"/>
    <x v="22"/>
    <n v="1"/>
    <m/>
    <n v="147.9"/>
    <n v="26.100000000000005"/>
  </r>
  <r>
    <s v="SBG - Desktop"/>
    <x v="2"/>
    <s v="Task"/>
    <s v="DESK-7279"/>
    <s v="Luxottica brand logo"/>
    <s v="Task"/>
    <x v="0"/>
    <d v="2015-11-18T14:43:00"/>
    <x v="8"/>
    <x v="0"/>
    <x v="22"/>
    <n v="3"/>
    <m/>
    <n v="147.9"/>
    <n v="26.100000000000005"/>
  </r>
  <r>
    <s v="SBG - Desktop"/>
    <x v="2"/>
    <s v="Task"/>
    <s v="DESK-7279"/>
    <s v="Luxottica brand logo"/>
    <s v="Task"/>
    <x v="0"/>
    <d v="2015-11-27T09:43:00"/>
    <x v="8"/>
    <x v="0"/>
    <x v="22"/>
    <n v="8"/>
    <m/>
    <n v="147.9"/>
    <n v="26.100000000000005"/>
  </r>
  <r>
    <s v="SBG - Desktop"/>
    <x v="1"/>
    <s v="Task"/>
    <s v="DESK-7285"/>
    <s v="Phase upload Template Update"/>
    <s v="Task"/>
    <x v="0"/>
    <d v="2015-10-15T15:10:00"/>
    <x v="5"/>
    <x v="0"/>
    <x v="8"/>
    <n v="0.5"/>
    <m/>
    <n v="127.5"/>
    <n v="22.500000000000004"/>
  </r>
  <r>
    <s v="SBG - Desktop"/>
    <x v="1"/>
    <s v="Task"/>
    <s v="DESK-7291"/>
    <s v="Cart Abandonment AR CC problem"/>
    <s v="Task"/>
    <x v="0"/>
    <d v="2015-11-13T15:21:00"/>
    <x v="8"/>
    <x v="0"/>
    <x v="8"/>
    <n v="3.5"/>
    <m/>
    <n v="147.9"/>
    <n v="26.100000000000005"/>
  </r>
  <r>
    <s v="SBG - Desktop"/>
    <x v="1"/>
    <s v="Task"/>
    <s v="DESK-7291"/>
    <s v="Cart Abandonment AR CC problem"/>
    <s v="Task"/>
    <x v="0"/>
    <d v="2015-11-17T15:53:00"/>
    <x v="8"/>
    <x v="0"/>
    <x v="8"/>
    <n v="1"/>
    <m/>
    <n v="147.9"/>
    <n v="26.100000000000005"/>
  </r>
  <r>
    <s v="SBG - Desktop"/>
    <x v="1"/>
    <s v="Task"/>
    <s v="DESK-7301"/>
    <s v="SSL testing for sub domains."/>
    <s v="Task"/>
    <x v="0"/>
    <d v="2015-11-18T18:23:00"/>
    <x v="8"/>
    <x v="0"/>
    <x v="26"/>
    <n v="1"/>
    <m/>
    <n v="147.9"/>
    <n v="26.100000000000005"/>
  </r>
  <r>
    <s v="SBG - Desktop"/>
    <x v="0"/>
    <s v="Task"/>
    <s v="DESK-7304"/>
    <s v="incorporate new header/footer into SBG website"/>
    <s v="Task"/>
    <x v="0"/>
    <d v="2015-10-20T17:51:00"/>
    <x v="5"/>
    <x v="0"/>
    <x v="7"/>
    <n v="4"/>
    <m/>
    <n v="75"/>
    <n v="75"/>
  </r>
  <r>
    <s v="SBG - Desktop"/>
    <x v="0"/>
    <s v="Task"/>
    <s v="DESK-7304"/>
    <s v="incorporate new header/footer into SBG website"/>
    <s v="Task"/>
    <x v="0"/>
    <d v="2015-10-29T18:22:00"/>
    <x v="5"/>
    <x v="0"/>
    <x v="7"/>
    <n v="5"/>
    <m/>
    <n v="75"/>
    <n v="75"/>
  </r>
  <r>
    <s v="SBG - Desktop"/>
    <x v="2"/>
    <s v="Task"/>
    <s v="DESK-7347"/>
    <s v="extend current prada top banner to 10/27"/>
    <s v="Task"/>
    <x v="0"/>
    <d v="2015-10-01T10:26:00"/>
    <x v="5"/>
    <x v="0"/>
    <x v="10"/>
    <n v="7"/>
    <m/>
    <n v="127.5"/>
    <n v="22.500000000000004"/>
  </r>
  <r>
    <s v="SBG - Desktop"/>
    <x v="2"/>
    <s v="Task"/>
    <s v="DESK-7347"/>
    <s v="extend current prada top banner to 10/27"/>
    <s v="Task"/>
    <x v="0"/>
    <d v="2015-10-21T17:21:00"/>
    <x v="5"/>
    <x v="0"/>
    <x v="10"/>
    <n v="2"/>
    <m/>
    <n v="127.5"/>
    <n v="22.500000000000004"/>
  </r>
  <r>
    <s v="SBG - Desktop"/>
    <x v="2"/>
    <s v="Task"/>
    <s v="DESK-7347"/>
    <s v="extend current prada top banner to 10/27"/>
    <s v="Task"/>
    <x v="0"/>
    <d v="2015-10-23T11:47:00"/>
    <x v="5"/>
    <x v="0"/>
    <x v="10"/>
    <n v="2"/>
    <m/>
    <n v="127.5"/>
    <n v="22.500000000000004"/>
  </r>
  <r>
    <s v="SBG - Desktop"/>
    <x v="2"/>
    <s v="Bugs"/>
    <s v="DESK-7366"/>
    <s v="DESK-7279&gt; The AU eyeglasses page missing the Ray Ban brand logo"/>
    <s v="Bugs"/>
    <x v="1"/>
    <d v="2015-11-30T16:58:00"/>
    <x v="8"/>
    <x v="0"/>
    <x v="22"/>
    <n v="1"/>
    <m/>
    <n v="147.9"/>
    <n v="26.100000000000005"/>
  </r>
  <r>
    <s v="SBG - Desktop"/>
    <x v="0"/>
    <s v="Technical task"/>
    <s v="DESK-7517"/>
    <s v="DESK-7044&gt; Cache time setting up for CDN resouces"/>
    <s v="Technical task"/>
    <x v="0"/>
    <d v="2015-10-01T10:21:00"/>
    <x v="5"/>
    <x v="0"/>
    <x v="24"/>
    <n v="8"/>
    <m/>
    <n v="75"/>
    <n v="75"/>
  </r>
  <r>
    <s v="SBG - Desktop"/>
    <x v="0"/>
    <s v="Technical task"/>
    <s v="DESK-7517"/>
    <s v="DESK-7044&gt; Cache time setting up for CDN resouces"/>
    <s v="Technical task"/>
    <x v="0"/>
    <d v="2015-10-02T10:16:00"/>
    <x v="5"/>
    <x v="0"/>
    <x v="24"/>
    <n v="8"/>
    <m/>
    <n v="75"/>
    <n v="75"/>
  </r>
  <r>
    <s v="SBG - Desktop"/>
    <x v="0"/>
    <s v="Technical task"/>
    <s v="DESK-7517"/>
    <s v="DESK-7044&gt; Cache time setting up for CDN resouces"/>
    <s v="Technical task"/>
    <x v="0"/>
    <d v="2015-10-02T10:21:00"/>
    <x v="5"/>
    <x v="0"/>
    <x v="24"/>
    <n v="8"/>
    <m/>
    <n v="75"/>
    <n v="75"/>
  </r>
  <r>
    <s v="SBG - Desktop"/>
    <x v="0"/>
    <s v="Technical task"/>
    <s v="DESK-7517"/>
    <s v="DESK-7044&gt; Cache time setting up for CDN resouces"/>
    <s v="Technical task"/>
    <x v="0"/>
    <d v="2015-10-05T11:17:00"/>
    <x v="5"/>
    <x v="0"/>
    <x v="24"/>
    <n v="7"/>
    <m/>
    <n v="75"/>
    <n v="75"/>
  </r>
  <r>
    <s v="SBG - Desktop"/>
    <x v="0"/>
    <s v="Technical task"/>
    <s v="DESK-7517"/>
    <s v="DESK-7044&gt; Cache time setting up for CDN resouces"/>
    <s v="Technical task"/>
    <x v="0"/>
    <d v="2015-10-06T10:17:00"/>
    <x v="5"/>
    <x v="0"/>
    <x v="24"/>
    <n v="8"/>
    <m/>
    <n v="75"/>
    <n v="75"/>
  </r>
  <r>
    <s v="SBG - Desktop"/>
    <x v="0"/>
    <s v="Technical task"/>
    <s v="DESK-7517"/>
    <s v="DESK-7044&gt; Cache time setting up for CDN resouces"/>
    <s v="Technical task"/>
    <x v="0"/>
    <d v="2015-10-08T09:40:00"/>
    <x v="5"/>
    <x v="0"/>
    <x v="24"/>
    <n v="4"/>
    <s v="Tested on local. It's able to cache files on sbg site."/>
    <n v="75"/>
    <n v="75"/>
  </r>
  <r>
    <s v="SBG - Desktop"/>
    <x v="0"/>
    <s v="Technical task"/>
    <s v="DESK-7517"/>
    <s v="DESK-7044&gt; Cache time setting up for CDN resouces"/>
    <s v="Technical task"/>
    <x v="0"/>
    <d v="2015-10-13T10:14:00"/>
    <x v="5"/>
    <x v="0"/>
    <x v="24"/>
    <n v="8"/>
    <s v="tested on 181 server."/>
    <n v="75"/>
    <n v="75"/>
  </r>
  <r>
    <s v="SBG - Desktop"/>
    <x v="1"/>
    <s v="Technical task"/>
    <s v="DESK-7538"/>
    <s v="DESK-7279&gt; Test case design and execution"/>
    <s v="Technical task"/>
    <x v="0"/>
    <d v="2015-11-26T10:04:00"/>
    <x v="8"/>
    <x v="0"/>
    <x v="26"/>
    <n v="3"/>
    <m/>
    <n v="147.9"/>
    <n v="26.100000000000005"/>
  </r>
  <r>
    <s v="SBG - Desktop"/>
    <x v="1"/>
    <s v="Technical task"/>
    <s v="DESK-7541"/>
    <s v="DESK-7349&gt; Sitemap.sh doesn't work correctly on UK EU1/ UK EU2 live servers."/>
    <s v="Technical task"/>
    <x v="0"/>
    <d v="2015-10-05T19:42:00"/>
    <x v="5"/>
    <x v="0"/>
    <x v="1"/>
    <n v="8"/>
    <m/>
    <n v="127.5"/>
    <n v="22.500000000000004"/>
  </r>
  <r>
    <s v="SBG - Desktop"/>
    <x v="1"/>
    <s v="Technical task"/>
    <s v="DESK-7541"/>
    <s v="DESK-7349&gt; Sitemap.sh doesn't work correctly on UK EU1/ UK EU2 live servers."/>
    <s v="Technical task"/>
    <x v="0"/>
    <d v="2015-10-09T15:44:00"/>
    <x v="5"/>
    <x v="0"/>
    <x v="1"/>
    <n v="2"/>
    <m/>
    <n v="127.5"/>
    <n v="22.500000000000004"/>
  </r>
  <r>
    <s v="SBG - Desktop"/>
    <x v="2"/>
    <s v="Technical task"/>
    <s v="DESK-7541"/>
    <s v="DESK-7349&gt; Sitemap.sh doesn't work correctly on UK EU1/ UK EU2 live servers."/>
    <s v="Technical task"/>
    <x v="0"/>
    <d v="2015-10-09T16:00:00"/>
    <x v="5"/>
    <x v="0"/>
    <x v="11"/>
    <n v="1"/>
    <m/>
    <n v="127.5"/>
    <n v="22.500000000000004"/>
  </r>
  <r>
    <s v="SBG - Desktop"/>
    <x v="1"/>
    <s v="Technical task"/>
    <s v="DESK-7541"/>
    <s v="DESK-7349&gt; Sitemap.sh doesn't work correctly on UK EU1/ UK EU2 live servers."/>
    <s v="Technical task"/>
    <x v="0"/>
    <d v="2015-10-12T14:59:00"/>
    <x v="5"/>
    <x v="0"/>
    <x v="1"/>
    <n v="2"/>
    <m/>
    <n v="127.5"/>
    <n v="22.500000000000004"/>
  </r>
  <r>
    <s v="SBG - Desktop"/>
    <x v="1"/>
    <s v="Technical task"/>
    <s v="DESK-7541"/>
    <s v="DESK-7349&gt; Sitemap.sh doesn't work correctly on UK EU1/ UK EU2 live servers."/>
    <s v="Technical task"/>
    <x v="0"/>
    <d v="2015-10-13T10:45:00"/>
    <x v="5"/>
    <x v="0"/>
    <x v="1"/>
    <n v="1"/>
    <m/>
    <n v="127.5"/>
    <n v="22.500000000000004"/>
  </r>
  <r>
    <s v="SBG - Desktop"/>
    <x v="1"/>
    <s v="New Feature"/>
    <s v="DESK-7585"/>
    <s v="Add Alipay in China mobile site"/>
    <s v="New Feature"/>
    <x v="0"/>
    <d v="2015-11-10T18:44:00"/>
    <x v="8"/>
    <x v="0"/>
    <x v="1"/>
    <n v="1"/>
    <m/>
    <n v="147.9"/>
    <n v="26.100000000000005"/>
  </r>
  <r>
    <s v="SBG - Desktop"/>
    <x v="0"/>
    <s v="New Feature"/>
    <s v="DESK-7585"/>
    <s v="Add Alipay in China mobile site"/>
    <s v="New Feature"/>
    <x v="0"/>
    <d v="2015-11-13T17:30:00"/>
    <x v="8"/>
    <x v="0"/>
    <x v="7"/>
    <n v="1"/>
    <m/>
    <n v="87"/>
    <n v="87"/>
  </r>
  <r>
    <s v="SBG - Desktop"/>
    <x v="0"/>
    <s v="New Feature"/>
    <s v="DESK-7585"/>
    <s v="Add Alipay in China mobile site"/>
    <s v="New Feature"/>
    <x v="0"/>
    <d v="2015-11-16T15:12:00"/>
    <x v="8"/>
    <x v="0"/>
    <x v="7"/>
    <n v="1.5"/>
    <s v="meeting"/>
    <n v="87"/>
    <n v="87"/>
  </r>
  <r>
    <s v="SBG - Desktop"/>
    <x v="1"/>
    <s v="New Feature"/>
    <s v="DESK-7585"/>
    <s v="Add Alipay in China mobile site"/>
    <s v="New Feature"/>
    <x v="0"/>
    <d v="2015-11-18T19:47:00"/>
    <x v="8"/>
    <x v="0"/>
    <x v="1"/>
    <n v="8"/>
    <m/>
    <n v="147.9"/>
    <n v="26.100000000000005"/>
  </r>
  <r>
    <s v="SBG - Desktop"/>
    <x v="1"/>
    <s v="New Feature"/>
    <s v="DESK-7585"/>
    <s v="Add Alipay in China mobile site"/>
    <s v="New Feature"/>
    <x v="0"/>
    <d v="2015-11-20T19:48:00"/>
    <x v="8"/>
    <x v="0"/>
    <x v="1"/>
    <n v="8"/>
    <m/>
    <n v="147.9"/>
    <n v="26.100000000000005"/>
  </r>
  <r>
    <s v="SBG - Desktop"/>
    <x v="1"/>
    <s v="Task"/>
    <s v="DESK-7600"/>
    <s v="Add conversion tracking in baidu analytic"/>
    <s v="Task"/>
    <x v="0"/>
    <d v="2015-10-08T17:56:00"/>
    <x v="5"/>
    <x v="0"/>
    <x v="8"/>
    <n v="0.5"/>
    <m/>
    <n v="127.5"/>
    <n v="22.500000000000004"/>
  </r>
  <r>
    <s v="SBG - Desktop"/>
    <x v="2"/>
    <s v="Improvement"/>
    <s v="DESK-7602"/>
    <s v="Project Management of China Website Improvement"/>
    <s v="Improvement"/>
    <x v="0"/>
    <d v="2015-10-15T16:19:00"/>
    <x v="5"/>
    <x v="0"/>
    <x v="25"/>
    <n v="32"/>
    <s v="average 1 working day per week"/>
    <n v="127.5"/>
    <n v="22.500000000000004"/>
  </r>
  <r>
    <s v="SBG - Desktop"/>
    <x v="0"/>
    <s v="Task"/>
    <s v="DESK-7623"/>
    <s v="Change home page banner"/>
    <s v="Task"/>
    <x v="0"/>
    <d v="2015-11-04T17:51:00"/>
    <x v="8"/>
    <x v="0"/>
    <x v="24"/>
    <n v="1"/>
    <m/>
    <n v="87"/>
    <n v="87"/>
  </r>
  <r>
    <s v="SBG - Desktop"/>
    <x v="0"/>
    <s v="Sub-task"/>
    <s v="DESK-7637"/>
    <s v="DESK-7628&gt; Create the new design page (HTML/CSS/JS)"/>
    <s v="Sub-task"/>
    <x v="0"/>
    <d v="2015-10-08T09:40:00"/>
    <x v="5"/>
    <x v="0"/>
    <x v="24"/>
    <n v="4"/>
    <m/>
    <n v="75"/>
    <n v="75"/>
  </r>
  <r>
    <s v="SBG - Desktop"/>
    <x v="0"/>
    <s v="Sub-task"/>
    <s v="DESK-7637"/>
    <s v="DESK-7628&gt; Create the new design page (HTML/CSS/JS)"/>
    <s v="Sub-task"/>
    <x v="0"/>
    <d v="2015-10-09T14:19:00"/>
    <x v="5"/>
    <x v="0"/>
    <x v="24"/>
    <n v="4"/>
    <s v="Support Troy fixing backend logic"/>
    <n v="75"/>
    <n v="75"/>
  </r>
  <r>
    <s v="SBG - Desktop"/>
    <x v="0"/>
    <s v="Sub-task"/>
    <s v="DESK-7637"/>
    <s v="DESK-7628&gt; Create the new design page (HTML/CSS/JS)"/>
    <s v="Sub-task"/>
    <x v="0"/>
    <d v="2015-10-09T17:35:00"/>
    <x v="5"/>
    <x v="0"/>
    <x v="24"/>
    <n v="4"/>
    <m/>
    <n v="75"/>
    <n v="75"/>
  </r>
  <r>
    <s v="SBG - Desktop"/>
    <x v="0"/>
    <s v="Sub-task"/>
    <s v="DESK-7637"/>
    <s v="DESK-7628&gt; Create the new design page (HTML/CSS/JS)"/>
    <s v="Sub-task"/>
    <x v="0"/>
    <d v="2015-10-12T10:40:00"/>
    <x v="5"/>
    <x v="0"/>
    <x v="24"/>
    <n v="8"/>
    <s v="css and js fixes."/>
    <n v="75"/>
    <n v="75"/>
  </r>
  <r>
    <s v="SBG - Desktop"/>
    <x v="0"/>
    <s v="Sub-task"/>
    <s v="DESK-7637"/>
    <s v="DESK-7628&gt; Create the new design page (HTML/CSS/JS)"/>
    <s v="Sub-task"/>
    <x v="0"/>
    <d v="2015-10-14T10:22:00"/>
    <x v="5"/>
    <x v="0"/>
    <x v="24"/>
    <n v="4"/>
    <m/>
    <n v="75"/>
    <n v="75"/>
  </r>
  <r>
    <s v="SBG - Desktop"/>
    <x v="0"/>
    <s v="Sub-task"/>
    <s v="DESK-7637"/>
    <s v="DESK-7628&gt; Create the new design page (HTML/CSS/JS)"/>
    <s v="Sub-task"/>
    <x v="0"/>
    <d v="2015-10-16T18:37:00"/>
    <x v="5"/>
    <x v="0"/>
    <x v="24"/>
    <n v="4"/>
    <s v="fixing css on CN check out page"/>
    <n v="75"/>
    <n v="75"/>
  </r>
  <r>
    <s v="SBG - Desktop"/>
    <x v="0"/>
    <s v="Sub-task"/>
    <s v="DESK-7637"/>
    <s v="DESK-7628&gt; Create the new design page (HTML/CSS/JS)"/>
    <s v="Sub-task"/>
    <x v="0"/>
    <d v="2015-10-19T10:02:00"/>
    <x v="5"/>
    <x v="0"/>
    <x v="24"/>
    <n v="1"/>
    <s v="gc checkout css updated"/>
    <n v="75"/>
    <n v="75"/>
  </r>
  <r>
    <s v="SBG - Desktop"/>
    <x v="0"/>
    <s v="Sub-task"/>
    <s v="DESK-7638"/>
    <s v="DESK-7628&gt; Code and implement the new design for shopping cart and checkout page"/>
    <s v="Sub-task"/>
    <x v="0"/>
    <d v="2015-10-21T16:55:00"/>
    <x v="5"/>
    <x v="0"/>
    <x v="24"/>
    <n v="1"/>
    <m/>
    <n v="75"/>
    <n v="75"/>
  </r>
  <r>
    <s v="SBG - Desktop"/>
    <x v="0"/>
    <s v="Sub-task"/>
    <s v="DESK-7638"/>
    <s v="DESK-7628&gt; Code and implement the new design for shopping cart and checkout page"/>
    <s v="Sub-task"/>
    <x v="0"/>
    <d v="2015-10-22T16:55:00"/>
    <x v="5"/>
    <x v="0"/>
    <x v="24"/>
    <n v="2"/>
    <m/>
    <n v="75"/>
    <n v="75"/>
  </r>
  <r>
    <s v="SBG - Desktop"/>
    <x v="2"/>
    <s v="Task"/>
    <s v="DESK-7666"/>
    <s v="sbg header and footer for pimcore"/>
    <s v="Task"/>
    <x v="0"/>
    <d v="2015-10-26T13:02:00"/>
    <x v="5"/>
    <x v="0"/>
    <x v="2"/>
    <n v="8"/>
    <m/>
    <n v="127.5"/>
    <n v="22.500000000000004"/>
  </r>
  <r>
    <s v="SBG - Desktop"/>
    <x v="2"/>
    <s v="Task"/>
    <s v="DESK-7666"/>
    <s v="sbg header and footer for pimcore"/>
    <s v="Task"/>
    <x v="0"/>
    <d v="2015-10-28T12:29:00"/>
    <x v="5"/>
    <x v="0"/>
    <x v="2"/>
    <n v="8"/>
    <m/>
    <n v="127.5"/>
    <n v="22.500000000000004"/>
  </r>
  <r>
    <s v="SBG - Desktop"/>
    <x v="2"/>
    <s v="Task"/>
    <s v="DESK-7666"/>
    <s v="sbg header and footer for pimcore"/>
    <s v="Task"/>
    <x v="0"/>
    <d v="2015-11-05T12:50:00"/>
    <x v="8"/>
    <x v="0"/>
    <x v="2"/>
    <n v="8"/>
    <m/>
    <n v="147.9"/>
    <n v="26.100000000000005"/>
  </r>
  <r>
    <s v="SBG - Desktop"/>
    <x v="2"/>
    <s v="New Feature"/>
    <s v="DESK-7681"/>
    <s v="Project Management for Pimcore"/>
    <s v="New Feature"/>
    <x v="0"/>
    <d v="2015-10-21T16:11:00"/>
    <x v="5"/>
    <x v="0"/>
    <x v="25"/>
    <n v="64"/>
    <s v="10/1 - 11/13 average 2 working days per week"/>
    <n v="127.5"/>
    <n v="22.500000000000004"/>
  </r>
  <r>
    <s v="SBG - Desktop"/>
    <x v="2"/>
    <s v="New Feature"/>
    <s v="DESK-7681"/>
    <s v="Project Management for Pimcore"/>
    <s v="New Feature"/>
    <x v="0"/>
    <d v="2015-11-20T16:13:00"/>
    <x v="8"/>
    <x v="0"/>
    <x v="25"/>
    <n v="48"/>
    <m/>
    <n v="147.9"/>
    <n v="26.100000000000005"/>
  </r>
  <r>
    <s v="SBG - Desktop"/>
    <x v="2"/>
    <s v="Task"/>
    <s v="DESK-7696"/>
    <s v="To enable the &quot;Optical Center&quot; link in the footer for UK/US/CA"/>
    <s v="Task"/>
    <x v="0"/>
    <d v="2015-11-02T15:43:00"/>
    <x v="8"/>
    <x v="0"/>
    <x v="22"/>
    <n v="2"/>
    <m/>
    <n v="147.9"/>
    <n v="26.100000000000005"/>
  </r>
  <r>
    <s v="SBG - Desktop"/>
    <x v="2"/>
    <s v="Task"/>
    <s v="DESK-7696"/>
    <s v="To enable the &quot;Optical Center&quot; link in the footer for UK/US/CA"/>
    <s v="Task"/>
    <x v="0"/>
    <d v="2015-11-18T18:33:00"/>
    <x v="8"/>
    <x v="0"/>
    <x v="22"/>
    <n v="1"/>
    <m/>
    <n v="147.9"/>
    <n v="26.100000000000005"/>
  </r>
  <r>
    <s v="SBG - Desktop"/>
    <x v="2"/>
    <s v="Task"/>
    <s v="DESK-7696"/>
    <s v="To enable the &quot;Optical Center&quot; link in the footer for UK/US/CA"/>
    <s v="Task"/>
    <x v="0"/>
    <d v="2015-11-30T15:43:00"/>
    <x v="8"/>
    <x v="0"/>
    <x v="22"/>
    <n v="2"/>
    <m/>
    <n v="147.9"/>
    <n v="26.100000000000005"/>
  </r>
  <r>
    <s v="SBG - Desktop"/>
    <x v="2"/>
    <s v="Sub-task"/>
    <s v="DESK-7735"/>
    <s v="DESK-7666&gt; Add &quot;Optical Center&quot; link on footer"/>
    <s v="Sub-task"/>
    <x v="0"/>
    <d v="2015-11-05T16:32:00"/>
    <x v="8"/>
    <x v="0"/>
    <x v="22"/>
    <n v="1"/>
    <m/>
    <n v="147.9"/>
    <n v="26.100000000000005"/>
  </r>
  <r>
    <s v="SBG - Desktop"/>
    <x v="2"/>
    <s v="Sub-task"/>
    <s v="DESK-7736"/>
    <s v="DESK-7666&gt; remove the functtion&quot;chat with us&quot; on the homepage"/>
    <s v="Sub-task"/>
    <x v="0"/>
    <d v="2015-11-09T17:16:00"/>
    <x v="8"/>
    <x v="0"/>
    <x v="2"/>
    <n v="8"/>
    <m/>
    <n v="147.9"/>
    <n v="26.100000000000005"/>
  </r>
  <r>
    <s v="SBG - Desktop"/>
    <x v="2"/>
    <s v="Improvement"/>
    <s v="DESK-7865"/>
    <s v="YJ Management Work log ticket-New Feature"/>
    <s v="Improvement"/>
    <x v="0"/>
    <d v="2015-10-25T17:19:00"/>
    <x v="5"/>
    <x v="0"/>
    <x v="14"/>
    <n v="136"/>
    <m/>
    <n v="127.5"/>
    <n v="22.500000000000004"/>
  </r>
  <r>
    <s v="SBG - Desktop"/>
    <x v="2"/>
    <s v="Improvement"/>
    <s v="DESK-7865"/>
    <s v="YJ Management Work log ticket-New Feature"/>
    <s v="Improvement"/>
    <x v="0"/>
    <d v="2015-10-25T17:19:00"/>
    <x v="5"/>
    <x v="0"/>
    <x v="14"/>
    <n v="136"/>
    <m/>
    <n v="127.5"/>
    <n v="22.500000000000004"/>
  </r>
  <r>
    <s v="SBG - Desktop"/>
    <x v="2"/>
    <s v="Improvement"/>
    <s v="DESK-7865"/>
    <s v="YJ Management Work log ticket-New Feature"/>
    <s v="Improvement"/>
    <x v="0"/>
    <d v="2015-11-25T17:19:00"/>
    <x v="8"/>
    <x v="0"/>
    <x v="14"/>
    <n v="136"/>
    <m/>
    <n v="147.9"/>
    <n v="26.100000000000005"/>
  </r>
  <r>
    <s v="SBG - Desktop"/>
    <x v="2"/>
    <s v="Bug"/>
    <s v="DESK-7866"/>
    <s v="YJ Management Work log ticket-maintainance"/>
    <s v="Bug"/>
    <x v="1"/>
    <d v="2015-10-25T17:22:00"/>
    <x v="5"/>
    <x v="0"/>
    <x v="14"/>
    <n v="24"/>
    <m/>
    <n v="127.5"/>
    <n v="22.500000000000004"/>
  </r>
  <r>
    <s v="SBG - Desktop"/>
    <x v="2"/>
    <s v="Bug"/>
    <s v="DESK-7866"/>
    <s v="YJ Management Work log ticket-maintainance"/>
    <s v="Bug"/>
    <x v="1"/>
    <d v="2015-11-25T17:22:00"/>
    <x v="8"/>
    <x v="0"/>
    <x v="14"/>
    <n v="24"/>
    <m/>
    <n v="147.9"/>
    <n v="26.100000000000005"/>
  </r>
  <r>
    <s v="Database Support"/>
    <x v="3"/>
    <s v="Task"/>
    <s v="DS-2724"/>
    <s v="Mega menu Update"/>
    <s v="Task"/>
    <x v="0"/>
    <d v="2015-10-19T15:11:00"/>
    <x v="5"/>
    <x v="0"/>
    <x v="15"/>
    <n v="30"/>
    <m/>
    <n v="75"/>
    <n v="75"/>
  </r>
  <r>
    <s v="IT Support"/>
    <x v="0"/>
    <s v="Task"/>
    <s v="IS-5384"/>
    <s v="Update Innovation Lab website to show that we have no more available room at the moment."/>
    <s v="Task"/>
    <x v="0"/>
    <d v="2015-10-07T17:11:00"/>
    <x v="5"/>
    <x v="0"/>
    <x v="24"/>
    <n v="1"/>
    <m/>
    <n v="75"/>
    <n v="75"/>
  </r>
  <r>
    <s v="IT Support"/>
    <x v="1"/>
    <s v="Task"/>
    <s v="IS-5393"/>
    <s v="test elb"/>
    <s v="Task"/>
    <x v="0"/>
    <d v="2015-11-30T14:57:00"/>
    <x v="8"/>
    <x v="0"/>
    <x v="26"/>
    <n v="2"/>
    <m/>
    <n v="147.9"/>
    <n v="26.100000000000005"/>
  </r>
  <r>
    <s v="IT Routine"/>
    <x v="2"/>
    <s v="Task"/>
    <s v="ITR-1"/>
    <s v="1x1 with Nancy"/>
    <s v="Task"/>
    <x v="0"/>
    <d v="2015-11-26T16:00:00"/>
    <x v="8"/>
    <x v="0"/>
    <x v="25"/>
    <n v="1"/>
    <m/>
    <n v="147.9"/>
    <n v="26.100000000000005"/>
  </r>
  <r>
    <s v="IT Routine"/>
    <x v="2"/>
    <s v="Task"/>
    <s v="ITR-2"/>
    <s v="1x1 with Alior"/>
    <s v="Task"/>
    <x v="0"/>
    <d v="2015-11-10T15:00:00"/>
    <x v="8"/>
    <x v="0"/>
    <x v="25"/>
    <n v="1"/>
    <m/>
    <n v="147.9"/>
    <n v="26.100000000000005"/>
  </r>
  <r>
    <s v="IT Routine"/>
    <x v="2"/>
    <s v="Task"/>
    <s v="ITR-3"/>
    <s v="Weekly Teem Meeting for Nov"/>
    <s v="Task"/>
    <x v="0"/>
    <d v="2015-11-27T09:46:00"/>
    <x v="8"/>
    <x v="0"/>
    <x v="25"/>
    <n v="4"/>
    <m/>
    <n v="147.9"/>
    <n v="26.100000000000005"/>
  </r>
  <r>
    <s v="IT Routine"/>
    <x v="2"/>
    <s v="Improvement"/>
    <s v="ITR-4"/>
    <s v="Monthly Routine Jobs"/>
    <s v="Improvement"/>
    <x v="0"/>
    <d v="2015-10-17T14:32:00"/>
    <x v="5"/>
    <x v="0"/>
    <x v="25"/>
    <n v="8"/>
    <m/>
    <n v="127.5"/>
    <n v="22.500000000000004"/>
  </r>
  <r>
    <s v="IT Routine"/>
    <x v="2"/>
    <s v="Improvement"/>
    <s v="ITR-4"/>
    <s v="Monthly Routine Jobs"/>
    <s v="Improvement"/>
    <x v="0"/>
    <d v="2015-10-17T22:26:00"/>
    <x v="5"/>
    <x v="0"/>
    <x v="25"/>
    <n v="6"/>
    <m/>
    <n v="127.5"/>
    <n v="22.500000000000004"/>
  </r>
  <r>
    <s v="IT Routine"/>
    <x v="2"/>
    <s v="Improvement"/>
    <s v="ITR-4"/>
    <s v="Monthly Routine Jobs"/>
    <s v="Improvement"/>
    <x v="0"/>
    <d v="2015-11-07T22:27:00"/>
    <x v="8"/>
    <x v="0"/>
    <x v="25"/>
    <n v="34"/>
    <m/>
    <n v="147.9"/>
    <n v="26.100000000000005"/>
  </r>
  <r>
    <s v="IT Training"/>
    <x v="2"/>
    <s v="Task"/>
    <s v="ITT-6"/>
    <s v="Attended Training Sessions in Oct and Nov"/>
    <s v="Task"/>
    <x v="0"/>
    <d v="2015-11-01T14:35:00"/>
    <x v="8"/>
    <x v="0"/>
    <x v="25"/>
    <n v="8"/>
    <s v="Employee Orientation (1h) Department Introduction (SC/MC/LOG/CSR/MKT/IT, 1h for each training, 6h) MKT Training (1h)"/>
    <n v="147.9"/>
    <n v="26.100000000000005"/>
  </r>
  <r>
    <s v="SBG - Mobile"/>
    <x v="1"/>
    <s v="Improvement"/>
    <s v="MOBL-312"/>
    <s v="Launch Clearance Page on mobile"/>
    <s v="Improvement"/>
    <x v="0"/>
    <d v="2015-11-05T16:32:00"/>
    <x v="8"/>
    <x v="0"/>
    <x v="1"/>
    <n v="8"/>
    <m/>
    <n v="147.9"/>
    <n v="26.100000000000005"/>
  </r>
  <r>
    <s v="SBG - Mobile"/>
    <x v="1"/>
    <s v="Improvement"/>
    <s v="MOBL-312"/>
    <s v="Launch Clearance Page on mobile"/>
    <s v="Improvement"/>
    <x v="0"/>
    <d v="2015-11-09T19:50:00"/>
    <x v="8"/>
    <x v="0"/>
    <x v="1"/>
    <n v="2"/>
    <m/>
    <n v="147.9"/>
    <n v="26.100000000000005"/>
  </r>
  <r>
    <s v="SBG - Mobile"/>
    <x v="1"/>
    <s v="Improvement"/>
    <s v="MOBL-312"/>
    <s v="Launch Clearance Page on mobile"/>
    <s v="Improvement"/>
    <x v="0"/>
    <d v="2015-11-10T19:45:00"/>
    <x v="8"/>
    <x v="0"/>
    <x v="1"/>
    <n v="8"/>
    <m/>
    <n v="147.9"/>
    <n v="26.100000000000005"/>
  </r>
  <r>
    <s v="SBG - Mobile"/>
    <x v="1"/>
    <s v="Improvement"/>
    <s v="MOBL-312"/>
    <s v="Launch Clearance Page on mobile"/>
    <s v="Improvement"/>
    <x v="0"/>
    <d v="2015-11-17T19:47:00"/>
    <x v="8"/>
    <x v="0"/>
    <x v="1"/>
    <n v="8"/>
    <m/>
    <n v="147.9"/>
    <n v="26.100000000000005"/>
  </r>
  <r>
    <s v="SBG - Mobile"/>
    <x v="1"/>
    <s v="Sub-task"/>
    <s v="MOBL-514"/>
    <s v="MOBL-473&gt; in step 2, once enter validate email address, CONTINUE button changes color to orange (219)"/>
    <s v="Sub-task"/>
    <x v="0"/>
    <d v="2015-11-05T18:11:00"/>
    <x v="8"/>
    <x v="0"/>
    <x v="8"/>
    <n v="1"/>
    <m/>
    <n v="147.9"/>
    <n v="26.100000000000005"/>
  </r>
  <r>
    <s v="SBG - Mobile"/>
    <x v="0"/>
    <s v="Bug"/>
    <s v="MOBL-553"/>
    <s v="New mobile homepage - brand logo should not use CSS to control width"/>
    <s v="Bug"/>
    <x v="1"/>
    <d v="2015-10-16T17:50:00"/>
    <x v="5"/>
    <x v="0"/>
    <x v="19"/>
    <n v="0.5"/>
    <m/>
    <n v="75"/>
    <n v="75"/>
  </r>
  <r>
    <s v="SBG - Mobile"/>
    <x v="2"/>
    <s v="Bug"/>
    <s v="MOBL-573"/>
    <s v="special feature filter on mobile page doesn't work"/>
    <s v="Bug"/>
    <x v="1"/>
    <d v="2015-11-12T15:30:00"/>
    <x v="8"/>
    <x v="0"/>
    <x v="29"/>
    <n v="2"/>
    <m/>
    <n v="147.9"/>
    <n v="26.100000000000005"/>
  </r>
  <r>
    <s v="SBG - Mobile"/>
    <x v="2"/>
    <s v="Bug"/>
    <s v="MOBL-573"/>
    <s v="special feature filter on mobile page doesn't work"/>
    <s v="Bug"/>
    <x v="1"/>
    <d v="2015-11-12T22:00:00"/>
    <x v="8"/>
    <x v="0"/>
    <x v="29"/>
    <n v="3"/>
    <m/>
    <n v="147.9"/>
    <n v="26.100000000000005"/>
  </r>
  <r>
    <s v="SBG - Mobile"/>
    <x v="1"/>
    <s v="Bug"/>
    <s v="MOBL-573"/>
    <s v="special feature filter on mobile page doesn't work"/>
    <s v="Bug"/>
    <x v="1"/>
    <d v="2015-11-17T17:10:00"/>
    <x v="8"/>
    <x v="0"/>
    <x v="23"/>
    <n v="1"/>
    <m/>
    <n v="147.9"/>
    <n v="26.100000000000005"/>
  </r>
  <r>
    <s v="SBG - Mobile"/>
    <x v="2"/>
    <s v="Bug"/>
    <s v="MOBL-573"/>
    <s v="special feature filter on mobile page doesn't work"/>
    <s v="Bug"/>
    <x v="1"/>
    <d v="2015-11-21T21:30:00"/>
    <x v="8"/>
    <x v="0"/>
    <x v="29"/>
    <n v="8"/>
    <m/>
    <n v="147.9"/>
    <n v="26.100000000000005"/>
  </r>
  <r>
    <s v="SBG - Mobile"/>
    <x v="2"/>
    <s v="Bug"/>
    <s v="MOBL-573"/>
    <s v="special feature filter on mobile page doesn't work"/>
    <s v="Bug"/>
    <x v="1"/>
    <d v="2015-11-23T09:39:00"/>
    <x v="8"/>
    <x v="0"/>
    <x v="29"/>
    <n v="8"/>
    <m/>
    <n v="147.9"/>
    <n v="26.100000000000005"/>
  </r>
  <r>
    <s v="SBG - Mobile"/>
    <x v="1"/>
    <s v="Bug"/>
    <s v="MOBL-573"/>
    <s v="special feature filter on mobile page doesn't work"/>
    <s v="Bug"/>
    <x v="1"/>
    <d v="2015-11-26T07:48:00"/>
    <x v="8"/>
    <x v="0"/>
    <x v="23"/>
    <n v="8"/>
    <m/>
    <n v="147.9"/>
    <n v="26.100000000000005"/>
  </r>
  <r>
    <s v="SBG - Mobile"/>
    <x v="1"/>
    <s v="Bug"/>
    <s v="MOBL-573"/>
    <s v="special feature filter on mobile page doesn't work"/>
    <s v="Bug"/>
    <x v="1"/>
    <d v="2015-11-27T07:49:00"/>
    <x v="8"/>
    <x v="0"/>
    <x v="23"/>
    <n v="8"/>
    <m/>
    <n v="147.9"/>
    <n v="26.100000000000005"/>
  </r>
  <r>
    <s v="SBG - Mobile"/>
    <x v="2"/>
    <s v="Bug"/>
    <s v="MOBL-573"/>
    <s v="special feature filter on mobile page doesn't work"/>
    <s v="Bug"/>
    <x v="1"/>
    <d v="2015-11-30T12:22:00"/>
    <x v="8"/>
    <x v="0"/>
    <x v="29"/>
    <n v="1"/>
    <m/>
    <n v="147.9"/>
    <n v="26.100000000000005"/>
  </r>
  <r>
    <s v="SBG - Mobile"/>
    <x v="1"/>
    <s v="Task"/>
    <s v="MOBL-575"/>
    <s v="Mobile UX - Create Codes for Test Purchases"/>
    <s v="Task"/>
    <x v="0"/>
    <d v="2015-10-16T18:39:00"/>
    <x v="5"/>
    <x v="0"/>
    <x v="8"/>
    <n v="0.5"/>
    <m/>
    <n v="127.5"/>
    <n v="22.500000000000004"/>
  </r>
  <r>
    <s v="SBG - Mobile"/>
    <x v="0"/>
    <s v="New Feature"/>
    <s v="MOBL-576"/>
    <s v="disable home page top marketing banner"/>
    <s v="New Feature"/>
    <x v="0"/>
    <d v="2015-10-26T14:48:00"/>
    <x v="5"/>
    <x v="0"/>
    <x v="19"/>
    <n v="1"/>
    <m/>
    <n v="75"/>
    <n v="75"/>
  </r>
  <r>
    <s v="SBG - Mobile"/>
    <x v="0"/>
    <s v="Improvement"/>
    <s v="MOBL-588"/>
    <s v="Change CTA caption for GC payment button"/>
    <s v="Improvement"/>
    <x v="0"/>
    <d v="2015-11-18T11:47:00"/>
    <x v="8"/>
    <x v="0"/>
    <x v="7"/>
    <n v="3"/>
    <m/>
    <n v="87"/>
    <n v="87"/>
  </r>
  <r>
    <s v="SBG - Mobile"/>
    <x v="2"/>
    <s v="Improvement"/>
    <s v="MOBL-588"/>
    <s v="Change CTA caption for GC payment button"/>
    <s v="Improvement"/>
    <x v="0"/>
    <d v="2015-11-18T11:47:00"/>
    <x v="8"/>
    <x v="0"/>
    <x v="18"/>
    <n v="8"/>
    <m/>
    <n v="147.9"/>
    <n v="26.100000000000005"/>
  </r>
  <r>
    <s v="SBG - Mobile"/>
    <x v="0"/>
    <s v="Improvement"/>
    <s v="MOBL-588"/>
    <s v="Change CTA caption for GC payment button"/>
    <s v="Improvement"/>
    <x v="0"/>
    <d v="2015-11-18T18:34:00"/>
    <x v="8"/>
    <x v="0"/>
    <x v="7"/>
    <n v="1.5"/>
    <m/>
    <n v="87"/>
    <n v="87"/>
  </r>
  <r>
    <s v="SBG - Mobile"/>
    <x v="2"/>
    <s v="New Feature"/>
    <s v="MOBL-590"/>
    <s v="Add click-to-call function for US/AU/UK"/>
    <s v="New Feature"/>
    <x v="0"/>
    <d v="2015-10-02T10:27:00"/>
    <x v="5"/>
    <x v="0"/>
    <x v="10"/>
    <n v="8"/>
    <m/>
    <n v="127.5"/>
    <n v="22.500000000000004"/>
  </r>
  <r>
    <s v="SBG - Mobile"/>
    <x v="4"/>
    <s v="New Feature"/>
    <s v="MOBL-590"/>
    <s v="Add click-to-call function for US/AU/UK"/>
    <s v="New Feature"/>
    <x v="0"/>
    <d v="2015-10-05T15:31:00"/>
    <x v="5"/>
    <x v="0"/>
    <x v="13"/>
    <n v="3"/>
    <m/>
    <n v="127.5"/>
    <n v="22.500000000000004"/>
  </r>
  <r>
    <s v="SBG - Mobile"/>
    <x v="4"/>
    <s v="New Feature"/>
    <s v="MOBL-590"/>
    <s v="Add click-to-call function for US/AU/UK"/>
    <s v="New Feature"/>
    <x v="0"/>
    <d v="2015-10-12T15:32:00"/>
    <x v="5"/>
    <x v="0"/>
    <x v="13"/>
    <n v="3"/>
    <m/>
    <n v="127.5"/>
    <n v="22.500000000000004"/>
  </r>
  <r>
    <s v="SBG - Mobile"/>
    <x v="2"/>
    <s v="New Feature"/>
    <s v="MOBL-590"/>
    <s v="Add click-to-call function for US/AU/UK"/>
    <s v="New Feature"/>
    <x v="0"/>
    <d v="2015-10-16T16:53:00"/>
    <x v="5"/>
    <x v="0"/>
    <x v="10"/>
    <n v="1"/>
    <m/>
    <n v="127.5"/>
    <n v="22.500000000000004"/>
  </r>
  <r>
    <s v="SBG - Mobile"/>
    <x v="0"/>
    <s v="New Feature"/>
    <s v="MOBL-590"/>
    <s v="Add click-to-call function for US/AU/UK"/>
    <s v="New Feature"/>
    <x v="0"/>
    <d v="2015-10-16T18:04:00"/>
    <x v="5"/>
    <x v="0"/>
    <x v="7"/>
    <n v="1.5"/>
    <s v="adjust css style"/>
    <n v="75"/>
    <n v="75"/>
  </r>
  <r>
    <s v="SBG - Mobile"/>
    <x v="2"/>
    <s v="New Feature"/>
    <s v="MOBL-590"/>
    <s v="Add click-to-call function for US/AU/UK"/>
    <s v="New Feature"/>
    <x v="0"/>
    <d v="2015-10-21T17:22:00"/>
    <x v="5"/>
    <x v="0"/>
    <x v="10"/>
    <n v="4"/>
    <m/>
    <n v="127.5"/>
    <n v="22.500000000000004"/>
  </r>
  <r>
    <s v="SBG - Mobile"/>
    <x v="1"/>
    <s v="New Feature"/>
    <s v="MOBL-590"/>
    <s v="Add click-to-call function for US/AU/UK"/>
    <s v="New Feature"/>
    <x v="0"/>
    <d v="2015-10-26T19:39:00"/>
    <x v="5"/>
    <x v="0"/>
    <x v="1"/>
    <n v="8"/>
    <m/>
    <n v="127.5"/>
    <n v="22.500000000000004"/>
  </r>
  <r>
    <s v="SBG - Mobile"/>
    <x v="2"/>
    <s v="New Feature"/>
    <s v="MOBL-590"/>
    <s v="Add click-to-call function for US/AU/UK"/>
    <s v="New Feature"/>
    <x v="0"/>
    <d v="2015-10-29T09:48:00"/>
    <x v="5"/>
    <x v="0"/>
    <x v="10"/>
    <n v="1"/>
    <m/>
    <n v="127.5"/>
    <n v="22.500000000000004"/>
  </r>
  <r>
    <s v="SBG - Mobile"/>
    <x v="1"/>
    <s v="New Feature"/>
    <s v="MOBL-590"/>
    <s v="Add click-to-call function for US/AU/UK"/>
    <s v="New Feature"/>
    <x v="0"/>
    <d v="2015-10-29T18:13:00"/>
    <x v="5"/>
    <x v="0"/>
    <x v="1"/>
    <n v="1"/>
    <m/>
    <n v="127.5"/>
    <n v="22.500000000000004"/>
  </r>
  <r>
    <s v="SBG - Mobile"/>
    <x v="1"/>
    <s v="New Feature"/>
    <s v="MOBL-590"/>
    <s v="Add click-to-call function for US/AU/UK"/>
    <s v="New Feature"/>
    <x v="0"/>
    <d v="2015-10-30T19:40:00"/>
    <x v="5"/>
    <x v="0"/>
    <x v="1"/>
    <n v="8"/>
    <m/>
    <n v="127.5"/>
    <n v="22.500000000000004"/>
  </r>
  <r>
    <s v="SBG - Mobile"/>
    <x v="2"/>
    <s v="Improvement"/>
    <s v="MOBL-592"/>
    <s v="Registration/MyAccount on Mobile"/>
    <s v="Improvement"/>
    <x v="0"/>
    <d v="2015-10-01T10:59:00"/>
    <x v="5"/>
    <x v="0"/>
    <x v="18"/>
    <n v="8"/>
    <m/>
    <n v="127.5"/>
    <n v="22.500000000000004"/>
  </r>
  <r>
    <s v="SBG - Mobile"/>
    <x v="0"/>
    <s v="Improvement"/>
    <s v="MOBL-592"/>
    <s v="Registration/MyAccount on Mobile"/>
    <s v="Improvement"/>
    <x v="0"/>
    <d v="2015-11-02T18:34:00"/>
    <x v="8"/>
    <x v="0"/>
    <x v="7"/>
    <n v="1.5"/>
    <m/>
    <n v="87"/>
    <n v="87"/>
  </r>
  <r>
    <s v="SBG - Mobile"/>
    <x v="1"/>
    <s v="Improvement"/>
    <s v="MOBL-592"/>
    <s v="Registration/MyAccount on Mobile"/>
    <s v="Improvement"/>
    <x v="0"/>
    <d v="2015-11-05T18:32:00"/>
    <x v="8"/>
    <x v="0"/>
    <x v="8"/>
    <n v="1.5"/>
    <m/>
    <n v="147.9"/>
    <n v="26.100000000000005"/>
  </r>
  <r>
    <s v="SBG - Mobile"/>
    <x v="0"/>
    <s v="Improvement"/>
    <s v="MOBL-592"/>
    <s v="Registration/MyAccount on Mobile"/>
    <s v="Improvement"/>
    <x v="0"/>
    <d v="2015-11-11T16:50:00"/>
    <x v="8"/>
    <x v="0"/>
    <x v="7"/>
    <n v="1"/>
    <m/>
    <n v="87"/>
    <n v="87"/>
  </r>
  <r>
    <s v="SBG - Mobile"/>
    <x v="1"/>
    <s v="Improvement"/>
    <s v="MOBL-592"/>
    <s v="Registration/MyAccount on Mobile"/>
    <s v="Improvement"/>
    <x v="0"/>
    <d v="2015-11-13T18:19:00"/>
    <x v="8"/>
    <x v="0"/>
    <x v="8"/>
    <n v="1"/>
    <m/>
    <n v="147.9"/>
    <n v="26.100000000000005"/>
  </r>
  <r>
    <s v="SBG - Mobile"/>
    <x v="0"/>
    <s v="Improvement"/>
    <s v="MOBL-592"/>
    <s v="Registration/MyAccount on Mobile"/>
    <s v="Improvement"/>
    <x v="0"/>
    <d v="2015-11-13T18:36:00"/>
    <x v="8"/>
    <x v="0"/>
    <x v="7"/>
    <n v="1"/>
    <m/>
    <n v="87"/>
    <n v="87"/>
  </r>
  <r>
    <s v="SBG - Mobile"/>
    <x v="2"/>
    <s v="Improvement"/>
    <s v="MOBL-592"/>
    <s v="Registration/MyAccount on Mobile"/>
    <s v="Improvement"/>
    <x v="0"/>
    <d v="2015-11-16T11:51:00"/>
    <x v="8"/>
    <x v="0"/>
    <x v="18"/>
    <n v="32"/>
    <m/>
    <n v="147.9"/>
    <n v="26.100000000000005"/>
  </r>
  <r>
    <s v="SBG - Mobile"/>
    <x v="1"/>
    <s v="Improvement"/>
    <s v="MOBL-592"/>
    <s v="Registration/MyAccount on Mobile"/>
    <s v="Improvement"/>
    <x v="0"/>
    <d v="2015-11-16T18:44:00"/>
    <x v="8"/>
    <x v="0"/>
    <x v="8"/>
    <n v="2"/>
    <m/>
    <n v="147.9"/>
    <n v="26.100000000000005"/>
  </r>
  <r>
    <s v="SBG - Mobile"/>
    <x v="1"/>
    <s v="Improvement"/>
    <s v="MOBL-592"/>
    <s v="Registration/MyAccount on Mobile"/>
    <s v="Improvement"/>
    <x v="0"/>
    <d v="2015-11-17T18:54:00"/>
    <x v="8"/>
    <x v="0"/>
    <x v="8"/>
    <n v="2"/>
    <m/>
    <n v="147.9"/>
    <n v="26.100000000000005"/>
  </r>
  <r>
    <s v="SBG - Mobile"/>
    <x v="0"/>
    <s v="Improvement"/>
    <s v="MOBL-592"/>
    <s v="Registration/MyAccount on Mobile"/>
    <s v="Improvement"/>
    <x v="0"/>
    <d v="2015-11-18T18:34:00"/>
    <x v="8"/>
    <x v="0"/>
    <x v="7"/>
    <n v="1.5"/>
    <m/>
    <n v="87"/>
    <n v="87"/>
  </r>
  <r>
    <s v="SBG - Mobile"/>
    <x v="2"/>
    <s v="Improvement"/>
    <s v="MOBL-592"/>
    <s v="Registration/MyAccount on Mobile"/>
    <s v="Improvement"/>
    <x v="0"/>
    <d v="2015-11-19T11:04:00"/>
    <x v="8"/>
    <x v="0"/>
    <x v="18"/>
    <n v="8"/>
    <m/>
    <n v="147.9"/>
    <n v="26.100000000000005"/>
  </r>
  <r>
    <s v="SBG - Mobile"/>
    <x v="1"/>
    <s v="Improvement"/>
    <s v="MOBL-592"/>
    <s v="Registration/MyAccount on Mobile"/>
    <s v="Improvement"/>
    <x v="0"/>
    <d v="2015-11-19T18:33:00"/>
    <x v="8"/>
    <x v="0"/>
    <x v="8"/>
    <n v="3.5"/>
    <m/>
    <n v="147.9"/>
    <n v="26.100000000000005"/>
  </r>
  <r>
    <s v="SBG - Mobile"/>
    <x v="0"/>
    <s v="Improvement"/>
    <s v="MOBL-592"/>
    <s v="Registration/MyAccount on Mobile"/>
    <s v="Improvement"/>
    <x v="0"/>
    <d v="2015-11-20T14:27:00"/>
    <x v="8"/>
    <x v="0"/>
    <x v="7"/>
    <n v="3"/>
    <s v="fix css and merge css to truck"/>
    <n v="87"/>
    <n v="87"/>
  </r>
  <r>
    <s v="SBG - Mobile"/>
    <x v="1"/>
    <s v="Improvement"/>
    <s v="MOBL-592"/>
    <s v="Registration/MyAccount on Mobile"/>
    <s v="Improvement"/>
    <x v="0"/>
    <d v="2015-11-20T17:44:00"/>
    <x v="8"/>
    <x v="0"/>
    <x v="8"/>
    <n v="4"/>
    <m/>
    <n v="147.9"/>
    <n v="26.100000000000005"/>
  </r>
  <r>
    <s v="SBG - Mobile"/>
    <x v="0"/>
    <s v="Improvement"/>
    <s v="MOBL-592"/>
    <s v="Registration/MyAccount on Mobile"/>
    <s v="Improvement"/>
    <x v="0"/>
    <d v="2015-11-20T18:43:00"/>
    <x v="8"/>
    <x v="0"/>
    <x v="7"/>
    <n v="1"/>
    <m/>
    <n v="87"/>
    <n v="87"/>
  </r>
  <r>
    <s v="SBG - Mobile"/>
    <x v="1"/>
    <s v="Improvement"/>
    <s v="MOBL-592"/>
    <s v="Registration/MyAccount on Mobile"/>
    <s v="Improvement"/>
    <x v="0"/>
    <d v="2015-11-24T19:04:00"/>
    <x v="8"/>
    <x v="0"/>
    <x v="8"/>
    <n v="1"/>
    <m/>
    <n v="147.9"/>
    <n v="26.100000000000005"/>
  </r>
  <r>
    <s v="SBG - Mobile"/>
    <x v="0"/>
    <s v="Improvement"/>
    <s v="MOBL-594"/>
    <s v="Promo code field UX improvement"/>
    <s v="Improvement"/>
    <x v="0"/>
    <d v="2015-10-07T17:05:00"/>
    <x v="5"/>
    <x v="0"/>
    <x v="19"/>
    <n v="1"/>
    <m/>
    <n v="75"/>
    <n v="75"/>
  </r>
  <r>
    <s v="SBG - Mobile"/>
    <x v="0"/>
    <s v="Improvement"/>
    <s v="MOBL-594"/>
    <s v="Promo code field UX improvement"/>
    <s v="Improvement"/>
    <x v="0"/>
    <d v="2015-10-12T10:33:00"/>
    <x v="5"/>
    <x v="0"/>
    <x v="19"/>
    <n v="1"/>
    <m/>
    <n v="75"/>
    <n v="75"/>
  </r>
  <r>
    <s v="SBG - Mobile"/>
    <x v="2"/>
    <s v="Bug"/>
    <s v="MOBL-595"/>
    <s v="duplicate payment issue still happens on mobile website"/>
    <s v="Bug"/>
    <x v="1"/>
    <d v="2015-10-21T18:14:00"/>
    <x v="5"/>
    <x v="0"/>
    <x v="2"/>
    <n v="1"/>
    <m/>
    <n v="127.5"/>
    <n v="22.500000000000004"/>
  </r>
  <r>
    <s v="SBG - Mobile"/>
    <x v="2"/>
    <s v="Bug"/>
    <s v="MOBL-595"/>
    <s v="duplicate payment issue still happens on mobile website"/>
    <s v="Bug"/>
    <x v="1"/>
    <d v="2015-10-27T18:07:00"/>
    <x v="5"/>
    <x v="0"/>
    <x v="2"/>
    <n v="7"/>
    <m/>
    <n v="127.5"/>
    <n v="22.500000000000004"/>
  </r>
  <r>
    <s v="SBG - Mobile"/>
    <x v="0"/>
    <s v="Bug"/>
    <s v="MOBL-596"/>
    <s v="please fix the formatting issue withith 'as low as' phrase"/>
    <s v="Bug"/>
    <x v="1"/>
    <d v="2015-10-15T09:10:00"/>
    <x v="5"/>
    <x v="0"/>
    <x v="19"/>
    <n v="8"/>
    <m/>
    <n v="75"/>
    <n v="75"/>
  </r>
  <r>
    <s v="SBG - Mobile"/>
    <x v="0"/>
    <s v="Bug"/>
    <s v="MOBL-596"/>
    <s v="please fix the formatting issue withith 'as low as' phrase"/>
    <s v="Bug"/>
    <x v="1"/>
    <d v="2015-10-19T09:11:00"/>
    <x v="5"/>
    <x v="0"/>
    <x v="19"/>
    <n v="8"/>
    <m/>
    <n v="75"/>
    <n v="75"/>
  </r>
  <r>
    <s v="SBG - Mobile"/>
    <x v="0"/>
    <s v="Bug"/>
    <s v="MOBL-596"/>
    <s v="please fix the formatting issue withith 'as low as' phrase"/>
    <s v="Bug"/>
    <x v="1"/>
    <d v="2015-10-20T09:11:00"/>
    <x v="5"/>
    <x v="0"/>
    <x v="19"/>
    <n v="8"/>
    <m/>
    <n v="75"/>
    <n v="75"/>
  </r>
  <r>
    <s v="SBG - Mobile"/>
    <x v="0"/>
    <s v="Bug"/>
    <s v="MOBL-596"/>
    <s v="please fix the formatting issue withith 'as low as' phrase"/>
    <s v="Bug"/>
    <x v="1"/>
    <d v="2015-10-21T09:10:00"/>
    <x v="5"/>
    <x v="0"/>
    <x v="19"/>
    <n v="8"/>
    <m/>
    <n v="75"/>
    <n v="75"/>
  </r>
  <r>
    <s v="SBG - Mobile"/>
    <x v="0"/>
    <s v="Bug"/>
    <s v="MOBL-596"/>
    <s v="please fix the formatting issue withith 'as low as' phrase"/>
    <s v="Bug"/>
    <x v="1"/>
    <d v="2015-10-23T09:10:00"/>
    <x v="5"/>
    <x v="0"/>
    <x v="19"/>
    <n v="8"/>
    <m/>
    <n v="75"/>
    <n v="75"/>
  </r>
  <r>
    <s v="SBG - Mobile"/>
    <x v="0"/>
    <s v="Bug"/>
    <s v="MOBL-596"/>
    <s v="please fix the formatting issue withith 'as low as' phrase"/>
    <s v="Bug"/>
    <x v="1"/>
    <d v="2015-10-28T11:17:00"/>
    <x v="5"/>
    <x v="0"/>
    <x v="19"/>
    <n v="1"/>
    <m/>
    <n v="75"/>
    <n v="75"/>
  </r>
  <r>
    <s v="SBG - Mobile"/>
    <x v="0"/>
    <s v="Bug"/>
    <s v="MOBL-596"/>
    <s v="please fix the formatting issue withith 'as low as' phrase"/>
    <s v="Bug"/>
    <x v="1"/>
    <d v="2015-10-29T09:10:00"/>
    <x v="5"/>
    <x v="0"/>
    <x v="19"/>
    <n v="8"/>
    <m/>
    <n v="75"/>
    <n v="75"/>
  </r>
  <r>
    <s v="SBG - Mobile"/>
    <x v="2"/>
    <s v="New Feature"/>
    <s v="MOBL-615"/>
    <s v="Memory cache implementation on product page."/>
    <s v="New Feature"/>
    <x v="0"/>
    <d v="2015-11-06T09:30:00"/>
    <x v="8"/>
    <x v="0"/>
    <x v="11"/>
    <n v="18"/>
    <m/>
    <n v="147.9"/>
    <n v="26.100000000000005"/>
  </r>
  <r>
    <s v="SBG - Mobile"/>
    <x v="2"/>
    <s v="New Feature"/>
    <s v="MOBL-615"/>
    <s v="Memory cache implementation on product page."/>
    <s v="New Feature"/>
    <x v="0"/>
    <d v="2015-11-07T09:30:00"/>
    <x v="8"/>
    <x v="0"/>
    <x v="11"/>
    <n v="8"/>
    <m/>
    <n v="147.9"/>
    <n v="26.100000000000005"/>
  </r>
  <r>
    <s v="SBG - Mobile"/>
    <x v="0"/>
    <s v="Improvement"/>
    <s v="MOBL-616"/>
    <s v="Top Bar for Mobile"/>
    <s v="Improvement"/>
    <x v="0"/>
    <d v="2015-11-26T16:13:00"/>
    <x v="8"/>
    <x v="0"/>
    <x v="19"/>
    <n v="2"/>
    <m/>
    <n v="87"/>
    <n v="87"/>
  </r>
  <r>
    <s v="SBG - Mobile"/>
    <x v="1"/>
    <s v="Improvement"/>
    <s v="MOBL-616"/>
    <s v="Top Bar for Mobile"/>
    <s v="Improvement"/>
    <x v="0"/>
    <d v="2015-11-30T15:59:00"/>
    <x v="8"/>
    <x v="0"/>
    <x v="23"/>
    <n v="1"/>
    <m/>
    <n v="147.9"/>
    <n v="26.100000000000005"/>
  </r>
  <r>
    <s v="SBG - Mobile"/>
    <x v="0"/>
    <s v="Bugs"/>
    <s v="MOBL-621"/>
    <s v="MOBL-592&gt; remove margin"/>
    <s v="Bugs"/>
    <x v="1"/>
    <d v="2015-11-13T09:13:00"/>
    <x v="8"/>
    <x v="0"/>
    <x v="19"/>
    <n v="8"/>
    <m/>
    <n v="87"/>
    <n v="87"/>
  </r>
  <r>
    <s v="SBG - Mobile"/>
    <x v="0"/>
    <s v="Bugs"/>
    <s v="MOBL-621"/>
    <s v="MOBL-592&gt; remove margin"/>
    <s v="Bugs"/>
    <x v="1"/>
    <d v="2015-11-20T11:13:00"/>
    <x v="8"/>
    <x v="0"/>
    <x v="19"/>
    <n v="1"/>
    <m/>
    <n v="87"/>
    <n v="87"/>
  </r>
  <r>
    <s v="SBG - Mobile"/>
    <x v="0"/>
    <s v="Bugs"/>
    <s v="MOBL-621"/>
    <s v="MOBL-592&gt; remove margin"/>
    <s v="Bugs"/>
    <x v="1"/>
    <d v="2015-11-27T09:13:00"/>
    <x v="8"/>
    <x v="0"/>
    <x v="19"/>
    <n v="8"/>
    <m/>
    <n v="87"/>
    <n v="87"/>
  </r>
  <r>
    <s v="SBG - Mobile"/>
    <x v="2"/>
    <s v="Bugs"/>
    <s v="MOBL-625"/>
    <s v="MOBL-592&gt; cannot send email on live server"/>
    <s v="Bugs"/>
    <x v="1"/>
    <d v="2015-10-14T10:59:00"/>
    <x v="5"/>
    <x v="0"/>
    <x v="18"/>
    <n v="8"/>
    <m/>
    <n v="127.5"/>
    <n v="22.500000000000004"/>
  </r>
  <r>
    <s v="SBG - Mobile"/>
    <x v="2"/>
    <s v="Bugs"/>
    <s v="MOBL-625"/>
    <s v="MOBL-592&gt; cannot send email on live server"/>
    <s v="Bugs"/>
    <x v="1"/>
    <d v="2015-11-04T18:02:00"/>
    <x v="8"/>
    <x v="0"/>
    <x v="18"/>
    <n v="1"/>
    <m/>
    <n v="147.9"/>
    <n v="26.100000000000005"/>
  </r>
  <r>
    <s v="SBG - Mobile"/>
    <x v="2"/>
    <s v="Bugs"/>
    <s v="MOBL-625"/>
    <s v="MOBL-592&gt; cannot send email on live server"/>
    <s v="Bugs"/>
    <x v="1"/>
    <d v="2015-11-24T17:18:00"/>
    <x v="8"/>
    <x v="0"/>
    <x v="18"/>
    <n v="8"/>
    <m/>
    <n v="147.9"/>
    <n v="26.100000000000005"/>
  </r>
  <r>
    <s v="SBG - Mobile"/>
    <x v="1"/>
    <s v="Bugs"/>
    <s v="MOBL-625"/>
    <s v="MOBL-592&gt; cannot send email on live server"/>
    <s v="Bugs"/>
    <x v="1"/>
    <d v="2015-11-24T19:04:00"/>
    <x v="8"/>
    <x v="0"/>
    <x v="8"/>
    <n v="5"/>
    <m/>
    <n v="147.9"/>
    <n v="26.100000000000005"/>
  </r>
  <r>
    <s v="SBG - Mobile"/>
    <x v="1"/>
    <s v="Technical task"/>
    <s v="MOBL-626"/>
    <s v="MOBL-623&gt; Test case design and execution"/>
    <s v="Technical task"/>
    <x v="0"/>
    <d v="2015-11-26T10:02:00"/>
    <x v="8"/>
    <x v="0"/>
    <x v="26"/>
    <n v="2"/>
    <m/>
    <n v="147.9"/>
    <n v="26.100000000000005"/>
  </r>
  <r>
    <s v="SBG - Mobile"/>
    <x v="1"/>
    <s v="Technical task"/>
    <s v="MOBL-628"/>
    <s v="MOBL-185&gt; Test case design and execution"/>
    <s v="Technical task"/>
    <x v="0"/>
    <d v="2015-11-25T19:49:00"/>
    <x v="8"/>
    <x v="0"/>
    <x v="1"/>
    <n v="8"/>
    <m/>
    <n v="147.9"/>
    <n v="26.100000000000005"/>
  </r>
  <r>
    <s v="SBG - Mobile"/>
    <x v="2"/>
    <s v="Task"/>
    <s v="MOBL-635"/>
    <s v="Put Mobile's CSS/JS/Image for SBG to CDN"/>
    <s v="Task"/>
    <x v="0"/>
    <d v="2015-11-06T11:03:00"/>
    <x v="8"/>
    <x v="0"/>
    <x v="18"/>
    <n v="8"/>
    <m/>
    <n v="147.9"/>
    <n v="26.100000000000005"/>
  </r>
  <r>
    <s v="SBG - Mobile"/>
    <x v="2"/>
    <s v="Task"/>
    <s v="MOBL-635"/>
    <s v="Put Mobile's CSS/JS/Image for SBG to CDN"/>
    <s v="Task"/>
    <x v="0"/>
    <d v="2015-11-11T11:04:00"/>
    <x v="8"/>
    <x v="0"/>
    <x v="18"/>
    <n v="8"/>
    <m/>
    <n v="147.9"/>
    <n v="26.100000000000005"/>
  </r>
  <r>
    <s v="SBG - Mobile"/>
    <x v="2"/>
    <s v="Task"/>
    <s v="MOBL-635"/>
    <s v="Put Mobile's CSS/JS/Image for SBG to CDN"/>
    <s v="Task"/>
    <x v="0"/>
    <d v="2015-11-12T11:04:00"/>
    <x v="8"/>
    <x v="0"/>
    <x v="18"/>
    <n v="8"/>
    <m/>
    <n v="147.9"/>
    <n v="26.100000000000005"/>
  </r>
  <r>
    <s v="SBG - Mobile"/>
    <x v="2"/>
    <s v="Task"/>
    <s v="MOBL-635"/>
    <s v="Put Mobile's CSS/JS/Image for SBG to CDN"/>
    <s v="Task"/>
    <x v="0"/>
    <d v="2015-11-13T11:04:00"/>
    <x v="8"/>
    <x v="0"/>
    <x v="18"/>
    <n v="8"/>
    <m/>
    <n v="147.9"/>
    <n v="26.100000000000005"/>
  </r>
  <r>
    <s v="SBG - Mobile"/>
    <x v="2"/>
    <s v="Task"/>
    <s v="MOBL-635"/>
    <s v="Put Mobile's CSS/JS/Image for SBG to CDN"/>
    <s v="Task"/>
    <x v="0"/>
    <d v="2015-11-20T11:05:00"/>
    <x v="8"/>
    <x v="0"/>
    <x v="18"/>
    <n v="8"/>
    <m/>
    <n v="147.9"/>
    <n v="26.100000000000005"/>
  </r>
  <r>
    <s v="SBG - Mobile"/>
    <x v="2"/>
    <s v="Bug"/>
    <s v="MOBL-654"/>
    <s v="double payment log"/>
    <s v="Bug"/>
    <x v="1"/>
    <d v="2015-10-08T12:25:00"/>
    <x v="5"/>
    <x v="0"/>
    <x v="2"/>
    <n v="8"/>
    <m/>
    <n v="127.5"/>
    <n v="22.500000000000004"/>
  </r>
  <r>
    <s v="SBG - Mobile"/>
    <x v="2"/>
    <s v="Bug"/>
    <s v="MOBL-679"/>
    <s v="top banner on mobile for all domains is broken"/>
    <s v="Bug"/>
    <x v="1"/>
    <d v="2015-10-30T17:53:00"/>
    <x v="5"/>
    <x v="0"/>
    <x v="10"/>
    <n v="1"/>
    <m/>
    <n v="127.5"/>
    <n v="22.500000000000004"/>
  </r>
  <r>
    <s v="SBG - Mobile"/>
    <x v="1"/>
    <s v="Bug"/>
    <s v="MOBL-697"/>
    <s v="can only review top 3 orders in membership"/>
    <s v="Bug"/>
    <x v="1"/>
    <d v="2015-10-07T12:19:00"/>
    <x v="5"/>
    <x v="0"/>
    <x v="8"/>
    <n v="2"/>
    <m/>
    <n v="127.5"/>
    <n v="22.500000000000004"/>
  </r>
  <r>
    <s v="SBG - Mobile"/>
    <x v="2"/>
    <s v="Bug"/>
    <s v="MOBL-708"/>
    <s v="Mobile meta tag issue"/>
    <s v="Bug"/>
    <x v="1"/>
    <d v="2015-10-21T21:30:00"/>
    <x v="5"/>
    <x v="0"/>
    <x v="11"/>
    <n v="8"/>
    <m/>
    <n v="127.5"/>
    <n v="22.500000000000004"/>
  </r>
  <r>
    <s v="SBG - Mobile"/>
    <x v="2"/>
    <s v="Bug"/>
    <s v="MOBL-708"/>
    <s v="Mobile meta tag issue"/>
    <s v="Bug"/>
    <x v="1"/>
    <d v="2015-10-22T09:40:00"/>
    <x v="5"/>
    <x v="0"/>
    <x v="11"/>
    <n v="6"/>
    <m/>
    <n v="127.5"/>
    <n v="22.500000000000004"/>
  </r>
  <r>
    <s v="SBG - Mobile"/>
    <x v="2"/>
    <s v="Bug"/>
    <s v="MOBL-708"/>
    <s v="Mobile meta tag issue"/>
    <s v="Bug"/>
    <x v="1"/>
    <d v="2015-10-26T14:00:00"/>
    <x v="5"/>
    <x v="0"/>
    <x v="11"/>
    <n v="2"/>
    <m/>
    <n v="127.5"/>
    <n v="22.500000000000004"/>
  </r>
  <r>
    <s v="SBG - Mobile"/>
    <x v="0"/>
    <s v="Bug"/>
    <s v="MOBL-732"/>
    <s v="On Mobile header title logo isn't display"/>
    <s v="Bug"/>
    <x v="1"/>
    <d v="2015-11-11T17:28:00"/>
    <x v="8"/>
    <x v="0"/>
    <x v="7"/>
    <n v="2"/>
    <m/>
    <n v="87"/>
    <n v="87"/>
  </r>
  <r>
    <s v="SBG - Mobile"/>
    <x v="2"/>
    <s v="Bug"/>
    <s v="MOBL-743"/>
    <s v="VD paypal icon not accecible"/>
    <s v="Bug"/>
    <x v="1"/>
    <d v="2015-10-19T10:27:00"/>
    <x v="5"/>
    <x v="0"/>
    <x v="18"/>
    <n v="4"/>
    <m/>
    <n v="127.5"/>
    <n v="22.500000000000004"/>
  </r>
  <r>
    <s v="SBG - Mobile"/>
    <x v="0"/>
    <s v="Bug"/>
    <s v="MOBL-743"/>
    <s v="VD paypal icon not accecible"/>
    <s v="Bug"/>
    <x v="1"/>
    <d v="2015-10-19T11:14:00"/>
    <x v="5"/>
    <x v="0"/>
    <x v="7"/>
    <n v="3"/>
    <m/>
    <n v="75"/>
    <n v="75"/>
  </r>
  <r>
    <s v="SBG - Mobile"/>
    <x v="2"/>
    <s v="Bug"/>
    <s v="MOBL-768"/>
    <s v="Mobile Meta Data Update Title and Descriptions: Title and description are missing in the Contact Lenses Page"/>
    <s v="Bug"/>
    <x v="1"/>
    <d v="2015-11-30T14:00:00"/>
    <x v="8"/>
    <x v="0"/>
    <x v="11"/>
    <n v="3"/>
    <m/>
    <n v="147.9"/>
    <n v="26.100000000000005"/>
  </r>
  <r>
    <s v="SBG - Mobile"/>
    <x v="2"/>
    <s v="Bug"/>
    <s v="MOBL-769"/>
    <s v="Mobile meta tag issue for title"/>
    <s v="Bug"/>
    <x v="1"/>
    <d v="2015-10-28T16:00:00"/>
    <x v="5"/>
    <x v="0"/>
    <x v="11"/>
    <n v="3"/>
    <m/>
    <n v="127.5"/>
    <n v="22.500000000000004"/>
  </r>
  <r>
    <s v="SBG - Mobile"/>
    <x v="2"/>
    <s v="Bug"/>
    <s v="MOBL-769"/>
    <s v="Mobile meta tag issue for title"/>
    <s v="Bug"/>
    <x v="1"/>
    <d v="2015-10-29T09:30:00"/>
    <x v="5"/>
    <x v="0"/>
    <x v="11"/>
    <n v="1"/>
    <m/>
    <n v="127.5"/>
    <n v="22.500000000000004"/>
  </r>
  <r>
    <s v="SBG - Mobile"/>
    <x v="2"/>
    <s v="Bug"/>
    <s v="MOBL-769"/>
    <s v="Mobile meta tag issue for title"/>
    <s v="Bug"/>
    <x v="1"/>
    <d v="2015-10-29T10:20:00"/>
    <x v="5"/>
    <x v="0"/>
    <x v="11"/>
    <n v="2"/>
    <m/>
    <n v="127.5"/>
    <n v="22.500000000000004"/>
  </r>
  <r>
    <s v="SBG - Mobile"/>
    <x v="0"/>
    <s v="Bug"/>
    <s v="MOBL-814"/>
    <s v="Arrow icon is not visible on mobile divices"/>
    <s v="Bug"/>
    <x v="1"/>
    <d v="2015-10-23T11:09:00"/>
    <x v="5"/>
    <x v="0"/>
    <x v="7"/>
    <n v="0.5"/>
    <s v="Query css problem"/>
    <n v="75"/>
    <n v="75"/>
  </r>
  <r>
    <s v="SBG - Mobile"/>
    <x v="2"/>
    <s v="Bug"/>
    <s v="MOBL-844"/>
    <s v="Adding H1 Fields for Mobile in OM, Grid Pages"/>
    <s v="Bug"/>
    <x v="1"/>
    <d v="2015-10-07T14:00:00"/>
    <x v="5"/>
    <x v="0"/>
    <x v="11"/>
    <n v="1.7000000000000001E-2"/>
    <s v="fix log,was 1h"/>
    <n v="127.5"/>
    <n v="22.500000000000004"/>
  </r>
  <r>
    <s v="SBG - Mobile"/>
    <x v="2"/>
    <s v="Bug"/>
    <s v="MOBL-844"/>
    <s v="Adding H1 Fields for Mobile in OM, Grid Pages"/>
    <s v="Bug"/>
    <x v="1"/>
    <d v="2015-10-07T15:00:00"/>
    <x v="5"/>
    <x v="0"/>
    <x v="11"/>
    <n v="1.7000000000000001E-2"/>
    <s v="fix log, was 3h30m"/>
    <n v="127.5"/>
    <n v="22.500000000000004"/>
  </r>
  <r>
    <s v="SBG - Mobile"/>
    <x v="1"/>
    <s v="Bug"/>
    <s v="MOBL-844"/>
    <s v="Adding H1 Fields for Mobile in OM, Grid Pages"/>
    <s v="Bug"/>
    <x v="1"/>
    <d v="2015-10-07T18:31:00"/>
    <x v="5"/>
    <x v="0"/>
    <x v="8"/>
    <n v="4"/>
    <m/>
    <n v="127.5"/>
    <n v="22.500000000000004"/>
  </r>
  <r>
    <s v="SBG - Mobile"/>
    <x v="2"/>
    <s v="Bug"/>
    <s v="MOBL-844"/>
    <s v="Adding H1 Fields for Mobile in OM, Grid Pages"/>
    <s v="Bug"/>
    <x v="1"/>
    <d v="2015-10-08T10:00:00"/>
    <x v="5"/>
    <x v="0"/>
    <x v="11"/>
    <n v="1.7000000000000001E-2"/>
    <s v="fix log, was 30m"/>
    <n v="127.5"/>
    <n v="22.500000000000004"/>
  </r>
  <r>
    <s v="SBG - Mobile"/>
    <x v="1"/>
    <s v="Bug"/>
    <s v="MOBL-844"/>
    <s v="Adding H1 Fields for Mobile in OM, Grid Pages"/>
    <s v="Bug"/>
    <x v="1"/>
    <d v="2015-10-08T17:05:00"/>
    <x v="5"/>
    <x v="0"/>
    <x v="8"/>
    <n v="3.5"/>
    <m/>
    <n v="127.5"/>
    <n v="22.500000000000004"/>
  </r>
  <r>
    <s v="SBG - Mobile"/>
    <x v="2"/>
    <s v="Bug"/>
    <s v="MOBL-844"/>
    <s v="Adding H1 Fields for Mobile in OM, Grid Pages"/>
    <s v="Bug"/>
    <x v="1"/>
    <d v="2015-10-12T12:00:00"/>
    <x v="5"/>
    <x v="0"/>
    <x v="11"/>
    <n v="1.7000000000000001E-2"/>
    <s v="fix log, was 1h"/>
    <n v="127.5"/>
    <n v="22.500000000000004"/>
  </r>
  <r>
    <s v="SBG - Mobile"/>
    <x v="2"/>
    <s v="Bug"/>
    <s v="MOBL-844"/>
    <s v="Adding H1 Fields for Mobile in OM, Grid Pages"/>
    <s v="Bug"/>
    <x v="1"/>
    <d v="2015-10-12T14:00:00"/>
    <x v="5"/>
    <x v="0"/>
    <x v="11"/>
    <n v="1.7000000000000001E-2"/>
    <s v="fix log, was 4h"/>
    <n v="127.5"/>
    <n v="22.500000000000004"/>
  </r>
  <r>
    <s v="SBG - Mobile"/>
    <x v="2"/>
    <s v="Bug"/>
    <s v="MOBL-844"/>
    <s v="Adding H1 Fields for Mobile in OM, Grid Pages"/>
    <s v="Bug"/>
    <x v="1"/>
    <d v="2015-10-22T15:27:00"/>
    <x v="5"/>
    <x v="0"/>
    <x v="11"/>
    <n v="1.7000000000000001E-2"/>
    <s v="fix log, was 2h"/>
    <n v="127.5"/>
    <n v="22.500000000000004"/>
  </r>
  <r>
    <s v="SBG - Mobile"/>
    <x v="1"/>
    <s v="Task"/>
    <s v="MOBL-901"/>
    <s v="Optimization For Mobile CSS"/>
    <s v="Task"/>
    <x v="0"/>
    <d v="2015-10-01T08:12:00"/>
    <x v="5"/>
    <x v="0"/>
    <x v="21"/>
    <n v="8"/>
    <m/>
    <n v="127.5"/>
    <n v="22.500000000000004"/>
  </r>
  <r>
    <s v="SBG - Mobile"/>
    <x v="1"/>
    <s v="Task"/>
    <s v="MOBL-901"/>
    <s v="Optimization For Mobile CSS"/>
    <s v="Task"/>
    <x v="0"/>
    <d v="2015-10-08T08:11:00"/>
    <x v="5"/>
    <x v="0"/>
    <x v="21"/>
    <n v="8"/>
    <m/>
    <n v="127.5"/>
    <n v="22.500000000000004"/>
  </r>
  <r>
    <s v="SBG - Mobile"/>
    <x v="1"/>
    <s v="Task"/>
    <s v="MOBL-901"/>
    <s v="Optimization For Mobile CSS"/>
    <s v="Task"/>
    <x v="0"/>
    <d v="2015-10-09T08:11:00"/>
    <x v="5"/>
    <x v="0"/>
    <x v="21"/>
    <n v="8"/>
    <m/>
    <n v="127.5"/>
    <n v="22.500000000000004"/>
  </r>
  <r>
    <s v="SBG - Mobile"/>
    <x v="1"/>
    <s v="Task"/>
    <s v="MOBL-901"/>
    <s v="Optimization For Mobile CSS"/>
    <s v="Task"/>
    <x v="0"/>
    <d v="2015-10-13T08:11:00"/>
    <x v="5"/>
    <x v="0"/>
    <x v="21"/>
    <n v="8"/>
    <m/>
    <n v="127.5"/>
    <n v="22.500000000000004"/>
  </r>
  <r>
    <s v="SBG - Mobile"/>
    <x v="1"/>
    <s v="Task"/>
    <s v="MOBL-901"/>
    <s v="Optimization For Mobile CSS"/>
    <s v="Task"/>
    <x v="0"/>
    <d v="2015-10-15T08:11:00"/>
    <x v="5"/>
    <x v="0"/>
    <x v="21"/>
    <n v="8"/>
    <m/>
    <n v="127.5"/>
    <n v="22.500000000000004"/>
  </r>
  <r>
    <s v="SBG - Mobile"/>
    <x v="1"/>
    <s v="Task"/>
    <s v="MOBL-901"/>
    <s v="Optimization For Mobile CSS"/>
    <s v="Task"/>
    <x v="0"/>
    <d v="2015-10-16T08:11:00"/>
    <x v="5"/>
    <x v="0"/>
    <x v="21"/>
    <n v="8"/>
    <m/>
    <n v="127.5"/>
    <n v="22.500000000000004"/>
  </r>
  <r>
    <s v="SBG - Mobile"/>
    <x v="1"/>
    <s v="Task"/>
    <s v="MOBL-901"/>
    <s v="Optimization For Mobile CSS"/>
    <s v="Task"/>
    <x v="0"/>
    <d v="2015-10-20T08:11:00"/>
    <x v="5"/>
    <x v="0"/>
    <x v="21"/>
    <n v="8"/>
    <m/>
    <n v="127.5"/>
    <n v="22.500000000000004"/>
  </r>
  <r>
    <s v="SBG - Mobile"/>
    <x v="1"/>
    <s v="Task"/>
    <s v="MOBL-901"/>
    <s v="Optimization For Mobile CSS"/>
    <s v="Task"/>
    <x v="0"/>
    <d v="2015-10-23T08:11:00"/>
    <x v="5"/>
    <x v="0"/>
    <x v="21"/>
    <n v="8"/>
    <m/>
    <n v="127.5"/>
    <n v="22.500000000000004"/>
  </r>
  <r>
    <s v="SBG - Mobile"/>
    <x v="1"/>
    <s v="Task"/>
    <s v="MOBL-901"/>
    <s v="Optimization For Mobile CSS"/>
    <s v="Task"/>
    <x v="0"/>
    <d v="2015-10-27T08:11:00"/>
    <x v="5"/>
    <x v="0"/>
    <x v="21"/>
    <n v="8"/>
    <m/>
    <n v="127.5"/>
    <n v="22.500000000000004"/>
  </r>
  <r>
    <s v="SBG - Mobile"/>
    <x v="1"/>
    <s v="Task"/>
    <s v="MOBL-901"/>
    <s v="Optimization For Mobile CSS"/>
    <s v="Task"/>
    <x v="0"/>
    <d v="2015-10-29T08:11:00"/>
    <x v="5"/>
    <x v="0"/>
    <x v="21"/>
    <n v="8"/>
    <m/>
    <n v="127.5"/>
    <n v="22.500000000000004"/>
  </r>
  <r>
    <s v="SBG - Mobile"/>
    <x v="1"/>
    <s v="Task"/>
    <s v="MOBL-901"/>
    <s v="Optimization For Mobile CSS"/>
    <s v="Task"/>
    <x v="0"/>
    <d v="2015-10-30T08:11:00"/>
    <x v="5"/>
    <x v="0"/>
    <x v="21"/>
    <n v="8"/>
    <m/>
    <n v="127.5"/>
    <n v="22.500000000000004"/>
  </r>
  <r>
    <s v="SBG - Mobile"/>
    <x v="1"/>
    <s v="Task"/>
    <s v="MOBL-901"/>
    <s v="Optimization For Mobile CSS"/>
    <s v="Task"/>
    <x v="0"/>
    <d v="2015-11-03T08:10:00"/>
    <x v="8"/>
    <x v="0"/>
    <x v="21"/>
    <n v="8"/>
    <m/>
    <n v="147.9"/>
    <n v="26.100000000000005"/>
  </r>
  <r>
    <s v="SBG - Mobile"/>
    <x v="1"/>
    <s v="Task"/>
    <s v="MOBL-901"/>
    <s v="Optimization For Mobile CSS"/>
    <s v="Task"/>
    <x v="0"/>
    <d v="2015-11-06T08:10:00"/>
    <x v="8"/>
    <x v="0"/>
    <x v="21"/>
    <n v="8"/>
    <m/>
    <n v="147.9"/>
    <n v="26.100000000000005"/>
  </r>
  <r>
    <s v="SBG - Mobile"/>
    <x v="1"/>
    <s v="Task"/>
    <s v="MOBL-901"/>
    <s v="Optimization For Mobile CSS"/>
    <s v="Task"/>
    <x v="0"/>
    <d v="2015-11-10T08:09:00"/>
    <x v="8"/>
    <x v="0"/>
    <x v="21"/>
    <n v="8"/>
    <m/>
    <n v="147.9"/>
    <n v="26.100000000000005"/>
  </r>
  <r>
    <s v="SBG - Mobile"/>
    <x v="1"/>
    <s v="Task"/>
    <s v="MOBL-901"/>
    <s v="Optimization For Mobile CSS"/>
    <s v="Task"/>
    <x v="0"/>
    <d v="2015-11-16T08:09:00"/>
    <x v="8"/>
    <x v="0"/>
    <x v="21"/>
    <n v="8"/>
    <m/>
    <n v="147.9"/>
    <n v="26.100000000000005"/>
  </r>
  <r>
    <s v="SBG - Mobile"/>
    <x v="1"/>
    <s v="Task"/>
    <s v="MOBL-901"/>
    <s v="Optimization For Mobile CSS"/>
    <s v="Task"/>
    <x v="0"/>
    <d v="2015-11-24T12:28:00"/>
    <x v="8"/>
    <x v="0"/>
    <x v="21"/>
    <n v="8"/>
    <m/>
    <n v="147.9"/>
    <n v="26.100000000000005"/>
  </r>
  <r>
    <s v="SBG - Mobile"/>
    <x v="0"/>
    <s v="Task"/>
    <s v="MOBL-901"/>
    <s v="Optimization For Mobile CSS"/>
    <s v="Task"/>
    <x v="0"/>
    <d v="2015-11-26T18:36:00"/>
    <x v="8"/>
    <x v="0"/>
    <x v="7"/>
    <n v="3.5"/>
    <s v="merge css(index page, brand page, product page, RX page)"/>
    <n v="87"/>
    <n v="87"/>
  </r>
  <r>
    <s v="SBG - Mobile"/>
    <x v="1"/>
    <s v="Task"/>
    <s v="MOBL-901"/>
    <s v="Optimization For Mobile CSS"/>
    <s v="Task"/>
    <x v="0"/>
    <d v="2015-11-27T12:30:00"/>
    <x v="8"/>
    <x v="0"/>
    <x v="21"/>
    <n v="6"/>
    <m/>
    <n v="147.9"/>
    <n v="26.100000000000005"/>
  </r>
  <r>
    <s v="SBG - Mobile"/>
    <x v="2"/>
    <s v="Task"/>
    <s v="MOBL-908"/>
    <s v="Phone number on Help page is wrong"/>
    <s v="Task"/>
    <x v="0"/>
    <d v="2015-11-10T15:31:00"/>
    <x v="8"/>
    <x v="0"/>
    <x v="10"/>
    <n v="3"/>
    <m/>
    <n v="147.9"/>
    <n v="26.100000000000005"/>
  </r>
  <r>
    <s v="SBG - Mobile"/>
    <x v="2"/>
    <s v="Task"/>
    <s v="MOBL-908"/>
    <s v="Phone number on Help page is wrong"/>
    <s v="Task"/>
    <x v="0"/>
    <d v="2015-11-19T16:32:00"/>
    <x v="8"/>
    <x v="0"/>
    <x v="10"/>
    <n v="2"/>
    <m/>
    <n v="147.9"/>
    <n v="26.100000000000005"/>
  </r>
  <r>
    <s v="SBG - Mobile"/>
    <x v="2"/>
    <s v="Task"/>
    <s v="MOBL-908"/>
    <s v="Phone number on Help page is wrong"/>
    <s v="Task"/>
    <x v="0"/>
    <d v="2015-11-20T13:32:00"/>
    <x v="8"/>
    <x v="0"/>
    <x v="10"/>
    <n v="5"/>
    <m/>
    <n v="147.9"/>
    <n v="26.100000000000005"/>
  </r>
  <r>
    <s v="SBG - Mobile"/>
    <x v="2"/>
    <s v="Task"/>
    <s v="MOBL-913"/>
    <s v="Turkey TR - Adding new language and new domain for algolia search"/>
    <s v="Task"/>
    <x v="0"/>
    <d v="2015-11-17T12:37:00"/>
    <x v="8"/>
    <x v="0"/>
    <x v="2"/>
    <n v="8"/>
    <m/>
    <n v="147.9"/>
    <n v="26.100000000000005"/>
  </r>
  <r>
    <s v="SBG - Mobile"/>
    <x v="0"/>
    <s v="Sub-task"/>
    <s v="MOBL-917"/>
    <s v="MOBL-901&gt; Optimiz Index page css"/>
    <s v="Sub-task"/>
    <x v="0"/>
    <d v="2015-11-05T18:25:00"/>
    <x v="8"/>
    <x v="0"/>
    <x v="24"/>
    <n v="6"/>
    <s v="- Changed the width on the banner - Changed the text size on Trustpilot plugin - CSS issues"/>
    <n v="87"/>
    <n v="87"/>
  </r>
  <r>
    <s v="SBG - Mobile"/>
    <x v="0"/>
    <s v="Sub-task"/>
    <s v="MOBL-918"/>
    <s v="MOBL-901&gt; Optimiz Brand Page CSS"/>
    <s v="Sub-task"/>
    <x v="0"/>
    <d v="2015-11-06T16:34:00"/>
    <x v="8"/>
    <x v="0"/>
    <x v="24"/>
    <n v="4"/>
    <s v="CSS optimization"/>
    <n v="87"/>
    <n v="87"/>
  </r>
  <r>
    <s v="SBG - Mobile"/>
    <x v="0"/>
    <s v="Sub-task"/>
    <s v="MOBL-918"/>
    <s v="MOBL-901&gt; Optimiz Brand Page CSS"/>
    <s v="Sub-task"/>
    <x v="0"/>
    <d v="2015-11-06T18:35:00"/>
    <x v="8"/>
    <x v="0"/>
    <x v="7"/>
    <n v="0.5"/>
    <m/>
    <n v="87"/>
    <n v="87"/>
  </r>
  <r>
    <s v="SBG - Mobile"/>
    <x v="0"/>
    <s v="Sub-task"/>
    <s v="MOBL-920"/>
    <s v="MOBL-901&gt; Optimiz RX Page CSS"/>
    <s v="Sub-task"/>
    <x v="0"/>
    <d v="2015-11-10T18:35:00"/>
    <x v="8"/>
    <x v="0"/>
    <x v="7"/>
    <n v="5"/>
    <m/>
    <n v="87"/>
    <n v="87"/>
  </r>
  <r>
    <s v="SBG - Mobile"/>
    <x v="0"/>
    <s v="Sub-task"/>
    <s v="MOBL-920"/>
    <s v="MOBL-901&gt; Optimiz RX Page CSS"/>
    <s v="Sub-task"/>
    <x v="0"/>
    <d v="2015-11-30T18:32:00"/>
    <x v="8"/>
    <x v="0"/>
    <x v="7"/>
    <n v="3.5"/>
    <m/>
    <n v="87"/>
    <n v="87"/>
  </r>
  <r>
    <s v="SBG - Mobile"/>
    <x v="0"/>
    <s v="Sub-task"/>
    <s v="MOBL-924"/>
    <s v="MOBL-901&gt; Optimiz Other Pages CSS"/>
    <s v="Sub-task"/>
    <x v="0"/>
    <d v="2015-11-13T17:36:00"/>
    <x v="8"/>
    <x v="0"/>
    <x v="7"/>
    <n v="5"/>
    <m/>
    <n v="87"/>
    <n v="87"/>
  </r>
  <r>
    <s v="SBG - Mobile"/>
    <x v="0"/>
    <s v="Sub-task"/>
    <s v="MOBL-924"/>
    <s v="MOBL-901&gt; Optimiz Other Pages CSS"/>
    <s v="Sub-task"/>
    <x v="0"/>
    <d v="2015-11-17T18:39:00"/>
    <x v="8"/>
    <x v="0"/>
    <x v="7"/>
    <n v="2.5"/>
    <m/>
    <n v="87"/>
    <n v="87"/>
  </r>
  <r>
    <s v="SBG - Mobile"/>
    <x v="1"/>
    <s v="Technical task"/>
    <s v="MOBL-925"/>
    <s v="MOBL-901&gt; Test case design and execution"/>
    <s v="Technical task"/>
    <x v="0"/>
    <d v="2015-10-05T08:11:00"/>
    <x v="5"/>
    <x v="0"/>
    <x v="21"/>
    <n v="8"/>
    <m/>
    <n v="127.5"/>
    <n v="22.500000000000004"/>
  </r>
  <r>
    <s v="SBG - Mobile"/>
    <x v="1"/>
    <s v="Technical task"/>
    <s v="MOBL-925"/>
    <s v="MOBL-901&gt; Test case design and execution"/>
    <s v="Technical task"/>
    <x v="0"/>
    <d v="2015-10-07T08:11:00"/>
    <x v="5"/>
    <x v="0"/>
    <x v="21"/>
    <n v="8"/>
    <m/>
    <n v="127.5"/>
    <n v="22.500000000000004"/>
  </r>
  <r>
    <s v="SBG - Mobile"/>
    <x v="1"/>
    <s v="Technical task"/>
    <s v="MOBL-925"/>
    <s v="MOBL-901&gt; Test case design and execution"/>
    <s v="Technical task"/>
    <x v="0"/>
    <d v="2015-10-14T08:11:00"/>
    <x v="5"/>
    <x v="0"/>
    <x v="21"/>
    <n v="8"/>
    <m/>
    <n v="127.5"/>
    <n v="22.500000000000004"/>
  </r>
  <r>
    <s v="SBG - Mobile"/>
    <x v="1"/>
    <s v="Technical task"/>
    <s v="MOBL-925"/>
    <s v="MOBL-901&gt; Test case design and execution"/>
    <s v="Technical task"/>
    <x v="0"/>
    <d v="2015-10-19T08:11:00"/>
    <x v="5"/>
    <x v="0"/>
    <x v="21"/>
    <n v="8"/>
    <m/>
    <n v="127.5"/>
    <n v="22.500000000000004"/>
  </r>
  <r>
    <s v="SBG - Mobile"/>
    <x v="1"/>
    <s v="Technical task"/>
    <s v="MOBL-925"/>
    <s v="MOBL-901&gt; Test case design and execution"/>
    <s v="Technical task"/>
    <x v="0"/>
    <d v="2015-10-28T08:11:00"/>
    <x v="5"/>
    <x v="0"/>
    <x v="21"/>
    <n v="8"/>
    <m/>
    <n v="127.5"/>
    <n v="22.500000000000004"/>
  </r>
  <r>
    <s v="SBG - Mobile"/>
    <x v="1"/>
    <s v="Technical task"/>
    <s v="MOBL-925"/>
    <s v="MOBL-901&gt; Test case design and execution"/>
    <s v="Technical task"/>
    <x v="0"/>
    <d v="2015-11-04T08:10:00"/>
    <x v="8"/>
    <x v="0"/>
    <x v="21"/>
    <n v="8"/>
    <m/>
    <n v="147.9"/>
    <n v="26.100000000000005"/>
  </r>
  <r>
    <s v="SBG - Mobile"/>
    <x v="1"/>
    <s v="Technical task"/>
    <s v="MOBL-925"/>
    <s v="MOBL-901&gt; Test case design and execution"/>
    <s v="Technical task"/>
    <x v="0"/>
    <d v="2015-11-11T08:09:00"/>
    <x v="8"/>
    <x v="0"/>
    <x v="21"/>
    <n v="8"/>
    <m/>
    <n v="147.9"/>
    <n v="26.100000000000005"/>
  </r>
  <r>
    <s v="SBG - Mobile"/>
    <x v="1"/>
    <s v="Technical task"/>
    <s v="MOBL-925"/>
    <s v="MOBL-901&gt; Test case design and execution"/>
    <s v="Technical task"/>
    <x v="0"/>
    <d v="2015-11-12T08:09:00"/>
    <x v="8"/>
    <x v="0"/>
    <x v="21"/>
    <n v="8"/>
    <m/>
    <n v="147.9"/>
    <n v="26.100000000000005"/>
  </r>
  <r>
    <s v="SBG - Mobile"/>
    <x v="1"/>
    <s v="Technical task"/>
    <s v="MOBL-925"/>
    <s v="MOBL-901&gt; Test case design and execution"/>
    <s v="Technical task"/>
    <x v="0"/>
    <d v="2015-11-13T08:10:00"/>
    <x v="8"/>
    <x v="0"/>
    <x v="21"/>
    <n v="8"/>
    <m/>
    <n v="147.9"/>
    <n v="26.100000000000005"/>
  </r>
  <r>
    <s v="SBG - Mobile"/>
    <x v="1"/>
    <s v="Technical task"/>
    <s v="MOBL-925"/>
    <s v="MOBL-901&gt; Test case design and execution"/>
    <s v="Technical task"/>
    <x v="0"/>
    <d v="2015-11-17T08:09:00"/>
    <x v="8"/>
    <x v="0"/>
    <x v="21"/>
    <n v="8"/>
    <m/>
    <n v="147.9"/>
    <n v="26.100000000000005"/>
  </r>
  <r>
    <s v="SBG - Mobile"/>
    <x v="1"/>
    <s v="Technical task"/>
    <s v="MOBL-925"/>
    <s v="MOBL-901&gt; Test case design and execution"/>
    <s v="Technical task"/>
    <x v="0"/>
    <d v="2015-11-27T10:37:00"/>
    <x v="8"/>
    <x v="0"/>
    <x v="21"/>
    <n v="2"/>
    <m/>
    <n v="147.9"/>
    <n v="26.100000000000005"/>
  </r>
  <r>
    <s v="Backend - OM"/>
    <x v="2"/>
    <s v="New Feature"/>
    <s v="OM-412"/>
    <s v="Add new columns to color feed"/>
    <s v="New Feature"/>
    <x v="0"/>
    <d v="2015-10-21T14:51:00"/>
    <x v="5"/>
    <x v="0"/>
    <x v="16"/>
    <n v="6"/>
    <m/>
    <n v="127.5"/>
    <n v="22.500000000000004"/>
  </r>
  <r>
    <s v="Backend - OM"/>
    <x v="2"/>
    <s v="Improvement"/>
    <s v="OM-413"/>
    <s v="Moving small language to big language"/>
    <s v="Improvement"/>
    <x v="0"/>
    <d v="2015-10-21T18:17:00"/>
    <x v="5"/>
    <x v="0"/>
    <x v="2"/>
    <n v="4"/>
    <m/>
    <n v="127.5"/>
    <n v="22.500000000000004"/>
  </r>
  <r>
    <s v="Backend - OM"/>
    <x v="2"/>
    <s v="New Feature"/>
    <s v="OM-414"/>
    <s v="Rewards improvements"/>
    <s v="New Feature"/>
    <x v="0"/>
    <d v="2015-10-27T17:04:00"/>
    <x v="5"/>
    <x v="0"/>
    <x v="20"/>
    <n v="24"/>
    <m/>
    <n v="127.5"/>
    <n v="22.500000000000004"/>
  </r>
  <r>
    <s v="Backend - OM"/>
    <x v="2"/>
    <s v="New Feature"/>
    <s v="OM-414"/>
    <s v="Rewards improvements"/>
    <s v="New Feature"/>
    <x v="0"/>
    <d v="2015-11-03T17:04:00"/>
    <x v="8"/>
    <x v="0"/>
    <x v="20"/>
    <n v="3"/>
    <m/>
    <n v="147.9"/>
    <n v="26.100000000000005"/>
  </r>
  <r>
    <s v="Backend - OM"/>
    <x v="2"/>
    <s v="New Feature"/>
    <s v="OM-414"/>
    <s v="Rewards improvements"/>
    <s v="New Feature"/>
    <x v="0"/>
    <d v="2015-11-20T16:28:00"/>
    <x v="8"/>
    <x v="0"/>
    <x v="20"/>
    <n v="80"/>
    <m/>
    <n v="147.9"/>
    <n v="26.100000000000005"/>
  </r>
  <r>
    <s v="Backend - OM"/>
    <x v="2"/>
    <s v="Improvement"/>
    <s v="OM-419"/>
    <s v="Discontinue Products by Size not Product ID"/>
    <s v="Improvement"/>
    <x v="0"/>
    <d v="2015-10-14T18:03:00"/>
    <x v="5"/>
    <x v="0"/>
    <x v="20"/>
    <n v="3"/>
    <m/>
    <n v="127.5"/>
    <n v="22.500000000000004"/>
  </r>
  <r>
    <s v="Backend - OM"/>
    <x v="2"/>
    <s v="Improvement"/>
    <s v="OM-419"/>
    <s v="Discontinue Products by Size not Product ID"/>
    <s v="Improvement"/>
    <x v="0"/>
    <d v="2015-10-22T16:54:00"/>
    <x v="5"/>
    <x v="0"/>
    <x v="20"/>
    <n v="16"/>
    <m/>
    <n v="127.5"/>
    <n v="22.500000000000004"/>
  </r>
  <r>
    <s v="Backend - OM"/>
    <x v="2"/>
    <s v="Improvement"/>
    <s v="OM-419"/>
    <s v="Discontinue Products by Size not Product ID"/>
    <s v="Improvement"/>
    <x v="0"/>
    <d v="2015-10-29T12:03:00"/>
    <x v="5"/>
    <x v="0"/>
    <x v="20"/>
    <n v="2"/>
    <m/>
    <n v="127.5"/>
    <n v="22.500000000000004"/>
  </r>
  <r>
    <s v="Backend - OM"/>
    <x v="1"/>
    <s v="Improvement"/>
    <s v="OM-419"/>
    <s v="Discontinue Products by Size not Product ID"/>
    <s v="Improvement"/>
    <x v="0"/>
    <d v="2015-10-29T12:46:00"/>
    <x v="5"/>
    <x v="0"/>
    <x v="8"/>
    <n v="1"/>
    <m/>
    <n v="127.5"/>
    <n v="22.500000000000004"/>
  </r>
  <r>
    <s v="Backend - OM"/>
    <x v="1"/>
    <s v="Improvement"/>
    <s v="OM-419"/>
    <s v="Discontinue Products by Size not Product ID"/>
    <s v="Improvement"/>
    <x v="0"/>
    <d v="2015-11-04T16:24:00"/>
    <x v="8"/>
    <x v="0"/>
    <x v="8"/>
    <n v="2"/>
    <m/>
    <n v="147.9"/>
    <n v="26.100000000000005"/>
  </r>
  <r>
    <s v="Backend - OM"/>
    <x v="2"/>
    <s v="Improvement"/>
    <s v="OM-419"/>
    <s v="Discontinue Products by Size not Product ID"/>
    <s v="Improvement"/>
    <x v="0"/>
    <d v="2015-11-10T16:55:00"/>
    <x v="8"/>
    <x v="0"/>
    <x v="20"/>
    <n v="8"/>
    <m/>
    <n v="147.9"/>
    <n v="26.100000000000005"/>
  </r>
  <r>
    <s v="Backend - OM"/>
    <x v="2"/>
    <s v="Improvement"/>
    <s v="OM-419"/>
    <s v="Discontinue Products by Size not Product ID"/>
    <s v="Improvement"/>
    <x v="0"/>
    <d v="2015-11-11T12:44:00"/>
    <x v="8"/>
    <x v="0"/>
    <x v="20"/>
    <n v="4"/>
    <m/>
    <n v="147.9"/>
    <n v="26.100000000000005"/>
  </r>
  <r>
    <s v="Backend - OM"/>
    <x v="2"/>
    <s v="Improvement"/>
    <s v="OM-419"/>
    <s v="Discontinue Products by Size not Product ID"/>
    <s v="Improvement"/>
    <x v="0"/>
    <d v="2015-11-11T18:57:00"/>
    <x v="8"/>
    <x v="0"/>
    <x v="9"/>
    <n v="1"/>
    <m/>
    <n v="147.9"/>
    <n v="26.100000000000005"/>
  </r>
  <r>
    <s v="Backend - OM"/>
    <x v="1"/>
    <s v="Improvement"/>
    <s v="OM-419"/>
    <s v="Discontinue Products by Size not Product ID"/>
    <s v="Improvement"/>
    <x v="0"/>
    <d v="2015-11-11T19:38:00"/>
    <x v="8"/>
    <x v="0"/>
    <x v="8"/>
    <n v="1"/>
    <m/>
    <n v="147.9"/>
    <n v="26.100000000000005"/>
  </r>
  <r>
    <s v="Backend - OM"/>
    <x v="1"/>
    <s v="Improvement"/>
    <s v="OM-419"/>
    <s v="Discontinue Products by Size not Product ID"/>
    <s v="Improvement"/>
    <x v="0"/>
    <d v="2015-11-17T15:48:00"/>
    <x v="8"/>
    <x v="0"/>
    <x v="8"/>
    <n v="1"/>
    <m/>
    <n v="147.9"/>
    <n v="26.100000000000005"/>
  </r>
  <r>
    <s v="Backend - OM"/>
    <x v="0"/>
    <s v="New Feature"/>
    <s v="OM-450"/>
    <s v="Converting Email Design Template to HTML Pages"/>
    <s v="New Feature"/>
    <x v="0"/>
    <d v="2015-11-12T17:16:00"/>
    <x v="8"/>
    <x v="0"/>
    <x v="24"/>
    <n v="8"/>
    <s v="email updates"/>
    <n v="87"/>
    <n v="87"/>
  </r>
  <r>
    <s v="Backend - OM"/>
    <x v="0"/>
    <s v="New Feature"/>
    <s v="OM-450"/>
    <s v="Converting Email Design Template to HTML Pages"/>
    <s v="New Feature"/>
    <x v="0"/>
    <d v="2015-11-16T10:51:00"/>
    <x v="8"/>
    <x v="0"/>
    <x v="24"/>
    <n v="2"/>
    <s v="changing desktop version of html to support mobile version."/>
    <n v="87"/>
    <n v="87"/>
  </r>
  <r>
    <s v="Backend - OM"/>
    <x v="0"/>
    <s v="New Feature"/>
    <s v="OM-450"/>
    <s v="Converting Email Design Template to HTML Pages"/>
    <s v="New Feature"/>
    <x v="0"/>
    <d v="2015-11-17T18:33:00"/>
    <x v="8"/>
    <x v="0"/>
    <x v="24"/>
    <n v="7"/>
    <s v="80% of the EDM progress"/>
    <n v="87"/>
    <n v="87"/>
  </r>
  <r>
    <s v="Backend - OM"/>
    <x v="0"/>
    <s v="New Feature"/>
    <s v="OM-450"/>
    <s v="Converting Email Design Template to HTML Pages"/>
    <s v="New Feature"/>
    <x v="0"/>
    <d v="2015-11-18T12:48:00"/>
    <x v="8"/>
    <x v="0"/>
    <x v="24"/>
    <n v="4"/>
    <s v="responsive done."/>
    <n v="87"/>
    <n v="87"/>
  </r>
  <r>
    <s v="Backend - OM"/>
    <x v="0"/>
    <s v="New Feature"/>
    <s v="OM-450"/>
    <s v="Converting Email Design Template to HTML Pages"/>
    <s v="New Feature"/>
    <x v="0"/>
    <d v="2015-11-18T20:21:00"/>
    <x v="8"/>
    <x v="0"/>
    <x v="24"/>
    <n v="6"/>
    <s v="styling amendment"/>
    <n v="87"/>
    <n v="87"/>
  </r>
  <r>
    <s v="Backend - OM"/>
    <x v="0"/>
    <s v="New Feature"/>
    <s v="OM-450"/>
    <s v="Converting Email Design Template to HTML Pages"/>
    <s v="New Feature"/>
    <x v="0"/>
    <d v="2015-11-19T16:04:00"/>
    <x v="8"/>
    <x v="0"/>
    <x v="24"/>
    <n v="6"/>
    <s v="Done with amendment"/>
    <n v="87"/>
    <n v="87"/>
  </r>
  <r>
    <s v="Backend - OM"/>
    <x v="0"/>
    <s v="Task"/>
    <s v="OM-460"/>
    <s v="Converting Page Design Template to HTML Pages"/>
    <s v="Task"/>
    <x v="0"/>
    <d v="2015-11-19T13:51:00"/>
    <x v="8"/>
    <x v="0"/>
    <x v="24"/>
    <n v="2"/>
    <s v="html development."/>
    <n v="87"/>
    <n v="87"/>
  </r>
  <r>
    <s v="Backend - OM"/>
    <x v="0"/>
    <s v="Task"/>
    <s v="OM-460"/>
    <s v="Converting Page Design Template to HTML Pages"/>
    <s v="Task"/>
    <x v="0"/>
    <d v="2015-11-20T13:51:00"/>
    <x v="8"/>
    <x v="0"/>
    <x v="24"/>
    <n v="12"/>
    <s v="html development."/>
    <n v="87"/>
    <n v="87"/>
  </r>
  <r>
    <s v="Backend - OM"/>
    <x v="0"/>
    <s v="Task"/>
    <s v="OM-460"/>
    <s v="Converting Page Design Template to HTML Pages"/>
    <s v="Task"/>
    <x v="0"/>
    <d v="2015-11-24T16:45:00"/>
    <x v="8"/>
    <x v="0"/>
    <x v="24"/>
    <n v="12"/>
    <s v="AR email fixes done"/>
    <n v="87"/>
    <n v="87"/>
  </r>
  <r>
    <s v="Backend - OM"/>
    <x v="0"/>
    <s v="Task"/>
    <s v="OM-460"/>
    <s v="Converting Page Design Template to HTML Pages"/>
    <s v="Task"/>
    <x v="0"/>
    <d v="2015-11-25T17:51:00"/>
    <x v="8"/>
    <x v="0"/>
    <x v="7"/>
    <n v="8"/>
    <m/>
    <n v="87"/>
    <n v="87"/>
  </r>
  <r>
    <s v="Backend - OM"/>
    <x v="0"/>
    <s v="Task"/>
    <s v="OM-460"/>
    <s v="Converting Page Design Template to HTML Pages"/>
    <s v="Task"/>
    <x v="0"/>
    <d v="2015-11-26T10:15:00"/>
    <x v="8"/>
    <x v="0"/>
    <x v="24"/>
    <n v="1"/>
    <s v="finish up change product page"/>
    <n v="87"/>
    <n v="87"/>
  </r>
  <r>
    <s v="Backend - OM"/>
    <x v="0"/>
    <s v="Task"/>
    <s v="OM-460"/>
    <s v="Converting Page Design Template to HTML Pages"/>
    <s v="Task"/>
    <x v="0"/>
    <d v="2015-11-26T12:34:00"/>
    <x v="8"/>
    <x v="0"/>
    <x v="7"/>
    <n v="4"/>
    <m/>
    <n v="87"/>
    <n v="87"/>
  </r>
  <r>
    <s v="Backend - OM"/>
    <x v="0"/>
    <s v="Bug"/>
    <s v="OM-461"/>
    <s v="Welcome Email HTML"/>
    <s v="Bug"/>
    <x v="1"/>
    <d v="2015-11-02T10:22:00"/>
    <x v="8"/>
    <x v="0"/>
    <x v="24"/>
    <n v="8"/>
    <m/>
    <n v="87"/>
    <n v="87"/>
  </r>
  <r>
    <s v="Backend - OM"/>
    <x v="0"/>
    <s v="Bug"/>
    <s v="OM-461"/>
    <s v="Welcome Email HTML"/>
    <s v="Bug"/>
    <x v="1"/>
    <d v="2015-11-06T10:22:00"/>
    <x v="8"/>
    <x v="0"/>
    <x v="24"/>
    <n v="8"/>
    <m/>
    <n v="87"/>
    <n v="87"/>
  </r>
  <r>
    <s v="Backend - OM"/>
    <x v="0"/>
    <s v="Bug"/>
    <s v="OM-461"/>
    <s v="Welcome Email HTML"/>
    <s v="Bug"/>
    <x v="1"/>
    <d v="2015-11-10T10:21:00"/>
    <x v="8"/>
    <x v="0"/>
    <x v="24"/>
    <n v="8"/>
    <m/>
    <n v="87"/>
    <n v="87"/>
  </r>
  <r>
    <s v="Backend - OM"/>
    <x v="0"/>
    <s v="Bug"/>
    <s v="OM-461"/>
    <s v="Welcome Email HTML"/>
    <s v="Bug"/>
    <x v="1"/>
    <d v="2015-11-13T10:21:00"/>
    <x v="8"/>
    <x v="0"/>
    <x v="24"/>
    <n v="8"/>
    <m/>
    <n v="87"/>
    <n v="87"/>
  </r>
  <r>
    <s v="Backend - OM"/>
    <x v="0"/>
    <s v="Bug"/>
    <s v="OM-461"/>
    <s v="Welcome Email HTML"/>
    <s v="Bug"/>
    <x v="1"/>
    <d v="2015-11-17T10:22:00"/>
    <x v="8"/>
    <x v="0"/>
    <x v="24"/>
    <n v="8"/>
    <m/>
    <n v="87"/>
    <n v="87"/>
  </r>
  <r>
    <s v="Backend - OM"/>
    <x v="0"/>
    <s v="Bug"/>
    <s v="OM-461"/>
    <s v="Welcome Email HTML"/>
    <s v="Bug"/>
    <x v="1"/>
    <d v="2015-11-23T10:22:00"/>
    <x v="8"/>
    <x v="0"/>
    <x v="24"/>
    <n v="8"/>
    <m/>
    <n v="87"/>
    <n v="87"/>
  </r>
  <r>
    <s v="Backend - OM"/>
    <x v="0"/>
    <s v="Bug"/>
    <s v="OM-461"/>
    <s v="Welcome Email HTML"/>
    <s v="Bug"/>
    <x v="1"/>
    <d v="2015-11-25T10:21:00"/>
    <x v="8"/>
    <x v="0"/>
    <x v="24"/>
    <n v="8"/>
    <m/>
    <n v="87"/>
    <n v="87"/>
  </r>
  <r>
    <s v="Backend - OM"/>
    <x v="0"/>
    <s v="Bug"/>
    <s v="OM-461"/>
    <s v="Welcome Email HTML"/>
    <s v="Bug"/>
    <x v="1"/>
    <d v="2015-11-26T10:21:00"/>
    <x v="8"/>
    <x v="0"/>
    <x v="24"/>
    <n v="8"/>
    <m/>
    <n v="87"/>
    <n v="87"/>
  </r>
  <r>
    <s v="Backend - OM"/>
    <x v="0"/>
    <s v="Bug"/>
    <s v="OM-461"/>
    <s v="Welcome Email HTML"/>
    <s v="Bug"/>
    <x v="1"/>
    <d v="2015-11-27T10:21:00"/>
    <x v="8"/>
    <x v="0"/>
    <x v="24"/>
    <n v="8"/>
    <m/>
    <n v="87"/>
    <n v="87"/>
  </r>
  <r>
    <s v="Backend - OM"/>
    <x v="0"/>
    <s v="Bug"/>
    <s v="OM-461"/>
    <s v="Welcome Email HTML"/>
    <s v="Bug"/>
    <x v="1"/>
    <d v="2015-11-30T10:22:00"/>
    <x v="8"/>
    <x v="0"/>
    <x v="24"/>
    <n v="8"/>
    <m/>
    <n v="87"/>
    <n v="87"/>
  </r>
  <r>
    <s v="Backend - OM"/>
    <x v="2"/>
    <s v="Improvement"/>
    <s v="OM-463"/>
    <s v="Project Management for Auto Responder"/>
    <s v="Improvement"/>
    <x v="0"/>
    <d v="2015-10-20T18:15:00"/>
    <x v="5"/>
    <x v="0"/>
    <x v="25"/>
    <n v="20"/>
    <m/>
    <n v="127.5"/>
    <n v="22.500000000000004"/>
  </r>
  <r>
    <s v="Backend - OM"/>
    <x v="2"/>
    <s v="Improvement"/>
    <s v="OM-463"/>
    <s v="Project Management for Auto Responder"/>
    <s v="Improvement"/>
    <x v="0"/>
    <d v="2015-11-17T22:59:00"/>
    <x v="8"/>
    <x v="0"/>
    <x v="25"/>
    <n v="24"/>
    <m/>
    <n v="147.9"/>
    <n v="26.100000000000005"/>
  </r>
  <r>
    <s v="Backend - OM"/>
    <x v="2"/>
    <s v="Bug"/>
    <s v="OM-484"/>
    <s v="RMA can't receive if the original order missing member_id"/>
    <s v="Bug"/>
    <x v="1"/>
    <d v="2015-11-26T15:52:00"/>
    <x v="8"/>
    <x v="0"/>
    <x v="20"/>
    <n v="3"/>
    <m/>
    <n v="147.9"/>
    <n v="26.100000000000005"/>
  </r>
  <r>
    <s v="Backend - OM"/>
    <x v="2"/>
    <s v="Bug"/>
    <s v="OM-484"/>
    <s v="RMA can't receive if the original order missing member_id"/>
    <s v="Bug"/>
    <x v="1"/>
    <d v="2015-11-27T16:05:00"/>
    <x v="8"/>
    <x v="0"/>
    <x v="9"/>
    <n v="3"/>
    <m/>
    <n v="147.9"/>
    <n v="26.100000000000005"/>
  </r>
  <r>
    <s v="Backend - OM"/>
    <x v="2"/>
    <s v="Bug"/>
    <s v="OM-490"/>
    <s v="The order can't be found on OM system"/>
    <s v="Bug"/>
    <x v="1"/>
    <d v="2015-10-22T18:43:00"/>
    <x v="5"/>
    <x v="0"/>
    <x v="9"/>
    <n v="0.5"/>
    <m/>
    <n v="127.5"/>
    <n v="22.500000000000004"/>
  </r>
  <r>
    <s v="Backend - OM"/>
    <x v="2"/>
    <s v="Bug"/>
    <s v="OM-517"/>
    <s v="please help change the status of the payment, thanks SE0235334510G"/>
    <s v="Bug"/>
    <x v="1"/>
    <d v="2015-10-20T12:43:00"/>
    <x v="5"/>
    <x v="0"/>
    <x v="9"/>
    <n v="1"/>
    <m/>
    <n v="127.5"/>
    <n v="22.500000000000004"/>
  </r>
  <r>
    <s v="Backend - OM"/>
    <x v="2"/>
    <s v="Bug"/>
    <s v="OM-564"/>
    <s v="DHL always API error"/>
    <s v="Bug"/>
    <x v="1"/>
    <d v="2015-11-25T12:37:00"/>
    <x v="8"/>
    <x v="0"/>
    <x v="9"/>
    <n v="1"/>
    <m/>
    <n v="147.9"/>
    <n v="26.100000000000005"/>
  </r>
  <r>
    <s v="Backend - OM"/>
    <x v="2"/>
    <s v="Bug"/>
    <s v="OM-564"/>
    <s v="DHL always API error"/>
    <s v="Bug"/>
    <x v="1"/>
    <d v="2015-11-26T12:37:00"/>
    <x v="8"/>
    <x v="0"/>
    <x v="9"/>
    <n v="1"/>
    <m/>
    <n v="147.9"/>
    <n v="26.100000000000005"/>
  </r>
  <r>
    <s v="Backend - OM"/>
    <x v="1"/>
    <s v="Bug"/>
    <s v="OM-564"/>
    <s v="DHL always API error"/>
    <s v="Bug"/>
    <x v="1"/>
    <d v="2015-11-26T14:35:00"/>
    <x v="8"/>
    <x v="0"/>
    <x v="8"/>
    <n v="1"/>
    <m/>
    <n v="147.9"/>
    <n v="26.100000000000005"/>
  </r>
  <r>
    <s v="Backend - OM"/>
    <x v="2"/>
    <s v="Bug"/>
    <s v="OM-637"/>
    <s v="OM product page issue"/>
    <s v="Bug"/>
    <x v="1"/>
    <d v="2015-10-09T17:08:00"/>
    <x v="5"/>
    <x v="0"/>
    <x v="9"/>
    <n v="1"/>
    <m/>
    <n v="127.5"/>
    <n v="22.500000000000004"/>
  </r>
  <r>
    <s v="Backend - OM"/>
    <x v="2"/>
    <s v="Bug"/>
    <s v="OM-637"/>
    <s v="OM product page issue"/>
    <s v="Bug"/>
    <x v="1"/>
    <d v="2015-10-26T18:04:00"/>
    <x v="5"/>
    <x v="0"/>
    <x v="9"/>
    <n v="1"/>
    <m/>
    <n v="127.5"/>
    <n v="22.500000000000004"/>
  </r>
  <r>
    <s v="Backend - OM"/>
    <x v="2"/>
    <s v="Bug"/>
    <s v="OM-690"/>
    <s v="web inventory have stock, but physical inventory have no stock"/>
    <s v="Bug"/>
    <x v="1"/>
    <d v="2015-10-14T19:00:00"/>
    <x v="5"/>
    <x v="0"/>
    <x v="9"/>
    <n v="2"/>
    <m/>
    <n v="127.5"/>
    <n v="22.500000000000004"/>
  </r>
  <r>
    <s v="Backend - OM"/>
    <x v="2"/>
    <s v="Bug"/>
    <s v="OM-690"/>
    <s v="web inventory have stock, but physical inventory have no stock"/>
    <s v="Bug"/>
    <x v="1"/>
    <d v="2015-10-20T19:58:00"/>
    <x v="5"/>
    <x v="0"/>
    <x v="9"/>
    <n v="1"/>
    <m/>
    <n v="127.5"/>
    <n v="22.500000000000004"/>
  </r>
  <r>
    <s v="Backend - OM"/>
    <x v="2"/>
    <s v="Bug"/>
    <s v="OM-737"/>
    <s v="Can not email Referral Code to domain with &quot;-&quot;"/>
    <s v="Bug"/>
    <x v="1"/>
    <d v="2015-10-30T17:54:00"/>
    <x v="5"/>
    <x v="0"/>
    <x v="10"/>
    <n v="2"/>
    <m/>
    <n v="127.5"/>
    <n v="22.500000000000004"/>
  </r>
  <r>
    <s v="Backend - OM"/>
    <x v="2"/>
    <s v="Improvement"/>
    <s v="OM-754"/>
    <s v="carrier filter in create manifest page does not work"/>
    <s v="Improvement"/>
    <x v="0"/>
    <d v="2015-10-13T17:21:00"/>
    <x v="5"/>
    <x v="0"/>
    <x v="20"/>
    <n v="3"/>
    <m/>
    <n v="127.5"/>
    <n v="22.500000000000004"/>
  </r>
  <r>
    <s v="Backend - OM"/>
    <x v="2"/>
    <s v="Bug"/>
    <s v="OM-842"/>
    <s v="customer changed to another size, the same model/color, but OM got price difference of Balance Due HK$ 0.20, pls fix."/>
    <s v="Bug"/>
    <x v="1"/>
    <d v="2015-10-20T19:54:00"/>
    <x v="5"/>
    <x v="0"/>
    <x v="9"/>
    <n v="1"/>
    <m/>
    <n v="127.5"/>
    <n v="22.500000000000004"/>
  </r>
  <r>
    <s v="Backend - OM"/>
    <x v="2"/>
    <s v="Bug"/>
    <s v="OM-867"/>
    <s v="Stock Reservation Release"/>
    <s v="Bug"/>
    <x v="1"/>
    <d v="2015-11-06T15:44:00"/>
    <x v="8"/>
    <x v="0"/>
    <x v="16"/>
    <n v="4"/>
    <m/>
    <n v="147.9"/>
    <n v="26.100000000000005"/>
  </r>
  <r>
    <s v="Backend - OM"/>
    <x v="2"/>
    <s v="Bug"/>
    <s v="OM-902"/>
    <s v="Please release this stock for us (Urgent)"/>
    <s v="Bug"/>
    <x v="1"/>
    <d v="2015-11-12T10:12:00"/>
    <x v="8"/>
    <x v="0"/>
    <x v="16"/>
    <n v="2"/>
    <m/>
    <n v="147.9"/>
    <n v="26.100000000000005"/>
  </r>
  <r>
    <s v="Backend - OM"/>
    <x v="2"/>
    <s v="Bug"/>
    <s v="OM-946"/>
    <s v="contactlens supplier(IT) shipment should be display in order detail list if fulfillment is HK"/>
    <s v="Bug"/>
    <x v="1"/>
    <d v="2015-10-16T17:59:00"/>
    <x v="5"/>
    <x v="0"/>
    <x v="9"/>
    <n v="1"/>
    <s v="confirm this problem"/>
    <n v="127.5"/>
    <n v="22.500000000000004"/>
  </r>
  <r>
    <s v="Backend - OM"/>
    <x v="1"/>
    <s v="Bug"/>
    <s v="OM-949"/>
    <s v="double GE order created for RMA(REX) - due to refresh page"/>
    <s v="Bug"/>
    <x v="1"/>
    <d v="2015-11-03T17:58:00"/>
    <x v="8"/>
    <x v="0"/>
    <x v="8"/>
    <n v="0.5"/>
    <m/>
    <n v="147.9"/>
    <n v="26.100000000000005"/>
  </r>
  <r>
    <s v="Backend - OM"/>
    <x v="2"/>
    <s v="Improvement"/>
    <s v="OM-956"/>
    <s v="OM automatically adds 0.01 cent after order adjustment"/>
    <s v="Improvement"/>
    <x v="0"/>
    <d v="2015-10-12T12:09:00"/>
    <x v="5"/>
    <x v="0"/>
    <x v="20"/>
    <n v="2"/>
    <m/>
    <n v="127.5"/>
    <n v="22.500000000000004"/>
  </r>
  <r>
    <s v="Backend - OM"/>
    <x v="2"/>
    <s v="Improvement"/>
    <s v="OM-956"/>
    <s v="OM automatically adds 0.01 cent after order adjustment"/>
    <s v="Improvement"/>
    <x v="0"/>
    <d v="2015-10-19T16:59:00"/>
    <x v="5"/>
    <x v="0"/>
    <x v="20"/>
    <n v="16"/>
    <m/>
    <n v="127.5"/>
    <n v="22.500000000000004"/>
  </r>
  <r>
    <s v="Backend - OM"/>
    <x v="1"/>
    <s v="Bug"/>
    <s v="OM-992"/>
    <s v="status changes from stock received in wh to stock confirmed"/>
    <s v="Bug"/>
    <x v="1"/>
    <d v="2015-11-27T16:25:00"/>
    <x v="8"/>
    <x v="0"/>
    <x v="8"/>
    <n v="1"/>
    <m/>
    <n v="147.9"/>
    <n v="26.100000000000005"/>
  </r>
  <r>
    <s v="Backend - OM"/>
    <x v="2"/>
    <s v="Bug"/>
    <s v="OM-1020"/>
    <s v="Data Crawl Issue"/>
    <s v="Bug"/>
    <x v="1"/>
    <d v="2015-10-23T12:27:00"/>
    <x v="5"/>
    <x v="0"/>
    <x v="16"/>
    <n v="4"/>
    <m/>
    <n v="127.5"/>
    <n v="22.500000000000004"/>
  </r>
  <r>
    <s v="Backend - OM"/>
    <x v="2"/>
    <s v="Improvement"/>
    <s v="OM-1037"/>
    <s v="OM Return Payment"/>
    <s v="Improvement"/>
    <x v="0"/>
    <d v="2015-10-08T17:05:00"/>
    <x v="5"/>
    <x v="0"/>
    <x v="20"/>
    <n v="8"/>
    <m/>
    <n v="127.5"/>
    <n v="22.500000000000004"/>
  </r>
  <r>
    <s v="Backend - OM"/>
    <x v="2"/>
    <s v="Improvement"/>
    <s v="OM-1037"/>
    <s v="OM Return Payment"/>
    <s v="Improvement"/>
    <x v="0"/>
    <d v="2015-10-09T17:13:00"/>
    <x v="5"/>
    <x v="0"/>
    <x v="20"/>
    <n v="8"/>
    <m/>
    <n v="127.5"/>
    <n v="22.500000000000004"/>
  </r>
  <r>
    <s v="Backend - OM"/>
    <x v="2"/>
    <s v="Bug"/>
    <s v="OM-1062"/>
    <s v="Adding line item doesn't work on this order, please fix FR0226896005G"/>
    <s v="Bug"/>
    <x v="1"/>
    <d v="2015-11-25T17:06:00"/>
    <x v="8"/>
    <x v="0"/>
    <x v="20"/>
    <n v="3"/>
    <m/>
    <n v="147.9"/>
    <n v="26.100000000000005"/>
  </r>
  <r>
    <s v="Backend - OM"/>
    <x v="2"/>
    <s v="Bug"/>
    <s v="OM-1071"/>
    <s v="Price inconsistency using SBG Search"/>
    <s v="Bug"/>
    <x v="1"/>
    <d v="2015-11-30T18:34:00"/>
    <x v="8"/>
    <x v="0"/>
    <x v="2"/>
    <n v="2"/>
    <m/>
    <n v="147.9"/>
    <n v="26.100000000000005"/>
  </r>
  <r>
    <s v="Backend - OM"/>
    <x v="2"/>
    <s v="Bug"/>
    <s v="OM-1089"/>
    <s v="PO discontinued by all phase, but still can create PO"/>
    <s v="Bug"/>
    <x v="1"/>
    <d v="2015-10-16T18:00:00"/>
    <x v="5"/>
    <x v="0"/>
    <x v="9"/>
    <n v="2"/>
    <m/>
    <n v="127.5"/>
    <n v="22.500000000000004"/>
  </r>
  <r>
    <s v="Backend - OM"/>
    <x v="2"/>
    <s v="Bug"/>
    <s v="OM-1089"/>
    <s v="PO discontinued by all phase, but still can create PO"/>
    <s v="Bug"/>
    <x v="1"/>
    <d v="2015-10-29T10:19:00"/>
    <x v="5"/>
    <x v="0"/>
    <x v="22"/>
    <n v="4"/>
    <m/>
    <n v="127.5"/>
    <n v="22.500000000000004"/>
  </r>
  <r>
    <s v="Backend - OM"/>
    <x v="2"/>
    <s v="Bug"/>
    <s v="OM-1089"/>
    <s v="PO discontinued by all phase, but still can create PO"/>
    <s v="Bug"/>
    <x v="1"/>
    <d v="2015-10-30T10:19:00"/>
    <x v="5"/>
    <x v="0"/>
    <x v="22"/>
    <n v="4"/>
    <m/>
    <n v="127.5"/>
    <n v="22.500000000000004"/>
  </r>
  <r>
    <s v="Backend - OM"/>
    <x v="2"/>
    <s v="Bug"/>
    <s v="OM-1089"/>
    <s v="PO discontinued by all phase, but still can create PO"/>
    <s v="Bug"/>
    <x v="1"/>
    <d v="2015-11-02T16:04:00"/>
    <x v="8"/>
    <x v="0"/>
    <x v="22"/>
    <n v="6"/>
    <m/>
    <n v="147.9"/>
    <n v="26.100000000000005"/>
  </r>
  <r>
    <s v="Backend - OM"/>
    <x v="2"/>
    <s v="Bug"/>
    <s v="OM-1089"/>
    <s v="PO discontinued by all phase, but still can create PO"/>
    <s v="Bug"/>
    <x v="1"/>
    <d v="2015-11-04T09:42:00"/>
    <x v="8"/>
    <x v="0"/>
    <x v="22"/>
    <n v="8"/>
    <m/>
    <n v="147.9"/>
    <n v="26.100000000000005"/>
  </r>
  <r>
    <s v="Backend - OM"/>
    <x v="1"/>
    <s v="Bug"/>
    <s v="OM-1089"/>
    <s v="PO discontinued by all phase, but still can create PO"/>
    <s v="Bug"/>
    <x v="1"/>
    <d v="2015-11-26T18:35:00"/>
    <x v="8"/>
    <x v="0"/>
    <x v="8"/>
    <n v="1"/>
    <m/>
    <n v="147.9"/>
    <n v="26.100000000000005"/>
  </r>
  <r>
    <s v="Backend - OM"/>
    <x v="1"/>
    <s v="Bug"/>
    <s v="OM-1089"/>
    <s v="PO discontinued by all phase, but still can create PO"/>
    <s v="Bug"/>
    <x v="1"/>
    <d v="2015-11-27T17:41:00"/>
    <x v="8"/>
    <x v="0"/>
    <x v="8"/>
    <n v="1"/>
    <m/>
    <n v="147.9"/>
    <n v="26.100000000000005"/>
  </r>
  <r>
    <s v="Backend - OM"/>
    <x v="2"/>
    <s v="Improvement"/>
    <s v="OM-1121"/>
    <s v="Daily Supply Chain / Warehouse Issues"/>
    <s v="Improvement"/>
    <x v="0"/>
    <d v="2015-10-05T17:15:00"/>
    <x v="5"/>
    <x v="0"/>
    <x v="20"/>
    <n v="3"/>
    <m/>
    <n v="127.5"/>
    <n v="22.500000000000004"/>
  </r>
  <r>
    <s v="Backend - OM"/>
    <x v="2"/>
    <s v="Improvement"/>
    <s v="OM-1121"/>
    <s v="Daily Supply Chain / Warehouse Issues"/>
    <s v="Improvement"/>
    <x v="0"/>
    <d v="2015-10-09T17:08:00"/>
    <x v="5"/>
    <x v="0"/>
    <x v="9"/>
    <n v="2"/>
    <m/>
    <n v="127.5"/>
    <n v="22.500000000000004"/>
  </r>
  <r>
    <s v="Backend - OM"/>
    <x v="2"/>
    <s v="Improvement"/>
    <s v="OM-1121"/>
    <s v="Daily Supply Chain / Warehouse Issues"/>
    <s v="Improvement"/>
    <x v="0"/>
    <d v="2015-10-12T19:03:00"/>
    <x v="5"/>
    <x v="0"/>
    <x v="9"/>
    <n v="1"/>
    <m/>
    <n v="127.5"/>
    <n v="22.500000000000004"/>
  </r>
  <r>
    <s v="Backend - OM"/>
    <x v="2"/>
    <s v="Improvement"/>
    <s v="OM-1121"/>
    <s v="Daily Supply Chain / Warehouse Issues"/>
    <s v="Improvement"/>
    <x v="0"/>
    <d v="2015-10-19T16:49:00"/>
    <x v="5"/>
    <x v="0"/>
    <x v="9"/>
    <n v="1"/>
    <m/>
    <n v="127.5"/>
    <n v="22.500000000000004"/>
  </r>
  <r>
    <s v="Backend - OM"/>
    <x v="2"/>
    <s v="Improvement"/>
    <s v="OM-1121"/>
    <s v="Daily Supply Chain / Warehouse Issues"/>
    <s v="Improvement"/>
    <x v="0"/>
    <d v="2015-10-23T16:14:00"/>
    <x v="5"/>
    <x v="0"/>
    <x v="20"/>
    <n v="3"/>
    <m/>
    <n v="127.5"/>
    <n v="22.500000000000004"/>
  </r>
  <r>
    <s v="Backend - OM"/>
    <x v="2"/>
    <s v="Improvement"/>
    <s v="OM-1121"/>
    <s v="Daily Supply Chain / Warehouse Issues"/>
    <s v="Improvement"/>
    <x v="0"/>
    <d v="2015-10-23T18:35:00"/>
    <x v="5"/>
    <x v="0"/>
    <x v="9"/>
    <n v="1"/>
    <m/>
    <n v="127.5"/>
    <n v="22.500000000000004"/>
  </r>
  <r>
    <s v="Backend - OM"/>
    <x v="2"/>
    <s v="Improvement"/>
    <s v="OM-1121"/>
    <s v="Daily Supply Chain / Warehouse Issues"/>
    <s v="Improvement"/>
    <x v="0"/>
    <d v="2015-10-27T18:36:00"/>
    <x v="5"/>
    <x v="0"/>
    <x v="20"/>
    <n v="2"/>
    <m/>
    <n v="127.5"/>
    <n v="22.500000000000004"/>
  </r>
  <r>
    <s v="Backend - OM"/>
    <x v="2"/>
    <s v="Improvement"/>
    <s v="OM-1121"/>
    <s v="Daily Supply Chain / Warehouse Issues"/>
    <s v="Improvement"/>
    <x v="0"/>
    <d v="2015-11-04T12:09:00"/>
    <x v="8"/>
    <x v="0"/>
    <x v="20"/>
    <n v="1"/>
    <m/>
    <n v="147.9"/>
    <n v="26.100000000000005"/>
  </r>
  <r>
    <s v="Backend - OM"/>
    <x v="2"/>
    <s v="Improvement"/>
    <s v="OM-1121"/>
    <s v="Daily Supply Chain / Warehouse Issues"/>
    <s v="Improvement"/>
    <x v="0"/>
    <d v="2015-11-04T14:51:00"/>
    <x v="8"/>
    <x v="0"/>
    <x v="9"/>
    <n v="1"/>
    <m/>
    <n v="147.9"/>
    <n v="26.100000000000005"/>
  </r>
  <r>
    <s v="Backend - OM"/>
    <x v="2"/>
    <s v="Improvement"/>
    <s v="OM-1121"/>
    <s v="Daily Supply Chain / Warehouse Issues"/>
    <s v="Improvement"/>
    <x v="0"/>
    <d v="2015-11-11T10:52:00"/>
    <x v="8"/>
    <x v="0"/>
    <x v="9"/>
    <n v="1"/>
    <m/>
    <n v="147.9"/>
    <n v="26.100000000000005"/>
  </r>
  <r>
    <s v="Backend - OM"/>
    <x v="2"/>
    <s v="Improvement"/>
    <s v="OM-1121"/>
    <s v="Daily Supply Chain / Warehouse Issues"/>
    <s v="Improvement"/>
    <x v="0"/>
    <d v="2015-11-16T11:42:00"/>
    <x v="8"/>
    <x v="0"/>
    <x v="9"/>
    <n v="0.5"/>
    <m/>
    <n v="147.9"/>
    <n v="26.100000000000005"/>
  </r>
  <r>
    <s v="Backend - OM"/>
    <x v="2"/>
    <s v="Improvement"/>
    <s v="OM-1121"/>
    <s v="Daily Supply Chain / Warehouse Issues"/>
    <s v="Improvement"/>
    <x v="0"/>
    <d v="2015-11-16T17:06:00"/>
    <x v="8"/>
    <x v="0"/>
    <x v="20"/>
    <n v="3"/>
    <m/>
    <n v="147.9"/>
    <n v="26.100000000000005"/>
  </r>
  <r>
    <s v="Backend - OM"/>
    <x v="2"/>
    <s v="Improvement"/>
    <s v="OM-1121"/>
    <s v="Daily Supply Chain / Warehouse Issues"/>
    <s v="Improvement"/>
    <x v="0"/>
    <d v="2015-11-17T17:07:00"/>
    <x v="8"/>
    <x v="0"/>
    <x v="20"/>
    <n v="3"/>
    <m/>
    <n v="147.9"/>
    <n v="26.100000000000005"/>
  </r>
  <r>
    <s v="Backend - OM"/>
    <x v="2"/>
    <s v="Improvement"/>
    <s v="OM-1121"/>
    <s v="Daily Supply Chain / Warehouse Issues"/>
    <s v="Improvement"/>
    <x v="0"/>
    <d v="2015-11-18T17:07:00"/>
    <x v="8"/>
    <x v="0"/>
    <x v="20"/>
    <n v="3"/>
    <m/>
    <n v="147.9"/>
    <n v="26.100000000000005"/>
  </r>
  <r>
    <s v="Backend - OM"/>
    <x v="2"/>
    <s v="Improvement"/>
    <s v="OM-1121"/>
    <s v="Daily Supply Chain / Warehouse Issues"/>
    <s v="Improvement"/>
    <x v="0"/>
    <d v="2015-11-19T17:07:00"/>
    <x v="8"/>
    <x v="0"/>
    <x v="20"/>
    <n v="3"/>
    <m/>
    <n v="147.9"/>
    <n v="26.100000000000005"/>
  </r>
  <r>
    <s v="Backend - OM"/>
    <x v="2"/>
    <s v="Improvement"/>
    <s v="OM-1121"/>
    <s v="Daily Supply Chain / Warehouse Issues"/>
    <s v="Improvement"/>
    <x v="0"/>
    <d v="2015-11-20T17:07:00"/>
    <x v="8"/>
    <x v="0"/>
    <x v="20"/>
    <n v="3"/>
    <m/>
    <n v="147.9"/>
    <n v="26.100000000000005"/>
  </r>
  <r>
    <s v="Backend - OM"/>
    <x v="2"/>
    <s v="Improvement"/>
    <s v="OM-1121"/>
    <s v="Daily Supply Chain / Warehouse Issues"/>
    <s v="Improvement"/>
    <x v="0"/>
    <d v="2015-11-24T14:30:00"/>
    <x v="8"/>
    <x v="0"/>
    <x v="20"/>
    <n v="0.5"/>
    <m/>
    <n v="147.9"/>
    <n v="26.100000000000005"/>
  </r>
  <r>
    <s v="Backend - OM"/>
    <x v="2"/>
    <s v="Improvement"/>
    <s v="OM-1121"/>
    <s v="Daily Supply Chain / Warehouse Issues"/>
    <s v="Improvement"/>
    <x v="0"/>
    <d v="2015-11-26T15:32:00"/>
    <x v="8"/>
    <x v="0"/>
    <x v="9"/>
    <n v="2"/>
    <m/>
    <n v="147.9"/>
    <n v="26.100000000000005"/>
  </r>
  <r>
    <s v="Backend - OM"/>
    <x v="2"/>
    <s v="Improvement"/>
    <s v="OM-1121"/>
    <s v="Daily Supply Chain / Warehouse Issues"/>
    <s v="Improvement"/>
    <x v="0"/>
    <d v="2015-11-26T15:44:00"/>
    <x v="8"/>
    <x v="0"/>
    <x v="20"/>
    <n v="6"/>
    <m/>
    <n v="147.9"/>
    <n v="26.100000000000005"/>
  </r>
  <r>
    <s v="Backend - OM"/>
    <x v="2"/>
    <s v="Improvement"/>
    <s v="OM-1121"/>
    <s v="Daily Supply Chain / Warehouse Issues"/>
    <s v="Improvement"/>
    <x v="0"/>
    <d v="2015-11-27T17:11:00"/>
    <x v="8"/>
    <x v="0"/>
    <x v="20"/>
    <n v="5"/>
    <m/>
    <n v="147.9"/>
    <n v="26.100000000000005"/>
  </r>
  <r>
    <s v="Backend - OM"/>
    <x v="2"/>
    <s v="Improvement"/>
    <s v="OM-1121"/>
    <s v="Daily Supply Chain / Warehouse Issues"/>
    <s v="Improvement"/>
    <x v="0"/>
    <d v="2015-11-27T18:17:00"/>
    <x v="8"/>
    <x v="0"/>
    <x v="20"/>
    <n v="1"/>
    <m/>
    <n v="147.9"/>
    <n v="26.100000000000005"/>
  </r>
  <r>
    <s v="Backend - OM"/>
    <x v="2"/>
    <s v="Improvement"/>
    <s v="OM-1121"/>
    <s v="Daily Supply Chain / Warehouse Issues"/>
    <s v="Improvement"/>
    <x v="0"/>
    <d v="2015-11-30T11:21:00"/>
    <x v="8"/>
    <x v="0"/>
    <x v="20"/>
    <n v="5"/>
    <m/>
    <n v="147.9"/>
    <n v="26.100000000000005"/>
  </r>
  <r>
    <s v="Backend - OM"/>
    <x v="2"/>
    <s v="Bug"/>
    <s v="OM-1126"/>
    <s v="Stock Reservation Release"/>
    <s v="Bug"/>
    <x v="1"/>
    <d v="2015-10-16T16:29:00"/>
    <x v="5"/>
    <x v="0"/>
    <x v="9"/>
    <n v="1"/>
    <m/>
    <n v="127.5"/>
    <n v="22.500000000000004"/>
  </r>
  <r>
    <s v="Backend - OM"/>
    <x v="1"/>
    <s v="Bug"/>
    <s v="OM-1169"/>
    <s v="return receive function blocked"/>
    <s v="Bug"/>
    <x v="1"/>
    <d v="2015-11-27T10:17:00"/>
    <x v="8"/>
    <x v="0"/>
    <x v="1"/>
    <n v="1"/>
    <m/>
    <n v="147.9"/>
    <n v="26.100000000000005"/>
  </r>
  <r>
    <s v="Backend - OM"/>
    <x v="2"/>
    <s v="Improvement"/>
    <s v="OM-1175"/>
    <s v="CL order changed to backorder, only one went into PO again, another can not find anywhere"/>
    <s v="Improvement"/>
    <x v="0"/>
    <d v="2015-10-07T18:55:00"/>
    <x v="5"/>
    <x v="0"/>
    <x v="9"/>
    <n v="3"/>
    <m/>
    <n v="127.5"/>
    <n v="22.500000000000004"/>
  </r>
  <r>
    <s v="Backend - OM"/>
    <x v="2"/>
    <s v="Improvement"/>
    <s v="OM-1175"/>
    <s v="CL order changed to backorder, only one went into PO again, another can not find anywhere"/>
    <s v="Improvement"/>
    <x v="0"/>
    <d v="2015-10-08T18:02:00"/>
    <x v="5"/>
    <x v="0"/>
    <x v="9"/>
    <n v="6"/>
    <m/>
    <n v="127.5"/>
    <n v="22.500000000000004"/>
  </r>
  <r>
    <s v="Backend - OM"/>
    <x v="2"/>
    <s v="Improvement"/>
    <s v="OM-1175"/>
    <s v="CL order changed to backorder, only one went into PO again, another can not find anywhere"/>
    <s v="Improvement"/>
    <x v="0"/>
    <d v="2015-10-12T19:04:00"/>
    <x v="5"/>
    <x v="0"/>
    <x v="9"/>
    <n v="1"/>
    <m/>
    <n v="127.5"/>
    <n v="22.500000000000004"/>
  </r>
  <r>
    <s v="Backend - OM"/>
    <x v="1"/>
    <s v="Improvement"/>
    <s v="OM-1175"/>
    <s v="CL order changed to backorder, only one went into PO again, another can not find anywhere"/>
    <s v="Improvement"/>
    <x v="0"/>
    <d v="2015-11-26T18:35:00"/>
    <x v="8"/>
    <x v="0"/>
    <x v="8"/>
    <n v="2"/>
    <m/>
    <n v="147.9"/>
    <n v="26.100000000000005"/>
  </r>
  <r>
    <s v="Backend - OM"/>
    <x v="1"/>
    <s v="Improvement"/>
    <s v="OM-1175"/>
    <s v="CL order changed to backorder, only one went into PO again, another can not find anywhere"/>
    <s v="Improvement"/>
    <x v="0"/>
    <d v="2015-11-27T17:42:00"/>
    <x v="8"/>
    <x v="0"/>
    <x v="8"/>
    <n v="2"/>
    <m/>
    <n v="147.9"/>
    <n v="26.100000000000005"/>
  </r>
  <r>
    <s v="Backend - OM"/>
    <x v="2"/>
    <s v="Bug"/>
    <s v="OM-1204"/>
    <s v="plx change to shipped"/>
    <s v="Bug"/>
    <x v="1"/>
    <d v="2015-11-19T14:49:00"/>
    <x v="8"/>
    <x v="0"/>
    <x v="20"/>
    <n v="0.5"/>
    <m/>
    <n v="147.9"/>
    <n v="26.100000000000005"/>
  </r>
  <r>
    <s v="Backend - OM"/>
    <x v="2"/>
    <s v="Improvement"/>
    <s v="OM-1299"/>
    <s v="Refine OM create manifest function"/>
    <s v="Improvement"/>
    <x v="0"/>
    <d v="2015-10-14T18:44:00"/>
    <x v="5"/>
    <x v="0"/>
    <x v="9"/>
    <n v="2"/>
    <m/>
    <n v="127.5"/>
    <n v="22.500000000000004"/>
  </r>
  <r>
    <s v="Backend - OM"/>
    <x v="2"/>
    <s v="Improvement"/>
    <s v="OM-1299"/>
    <s v="Refine OM create manifest function"/>
    <s v="Improvement"/>
    <x v="0"/>
    <d v="2015-10-16T17:21:00"/>
    <x v="5"/>
    <x v="0"/>
    <x v="20"/>
    <n v="3"/>
    <m/>
    <n v="127.5"/>
    <n v="22.500000000000004"/>
  </r>
  <r>
    <s v="Backend - OM"/>
    <x v="2"/>
    <s v="Improvement"/>
    <s v="OM-1299"/>
    <s v="Refine OM create manifest function"/>
    <s v="Improvement"/>
    <x v="0"/>
    <d v="2015-10-19T17:31:00"/>
    <x v="5"/>
    <x v="0"/>
    <x v="20"/>
    <n v="6"/>
    <m/>
    <n v="127.5"/>
    <n v="22.500000000000004"/>
  </r>
  <r>
    <s v="Backend - OM"/>
    <x v="2"/>
    <s v="Improvement"/>
    <s v="OM-1299"/>
    <s v="Refine OM create manifest function"/>
    <s v="Improvement"/>
    <x v="0"/>
    <d v="2015-10-19T18:01:00"/>
    <x v="5"/>
    <x v="0"/>
    <x v="9"/>
    <n v="1"/>
    <s v="complete the document"/>
    <n v="127.5"/>
    <n v="22.500000000000004"/>
  </r>
  <r>
    <s v="Backend - OM"/>
    <x v="2"/>
    <s v="Improvement"/>
    <s v="OM-1299"/>
    <s v="Refine OM create manifest function"/>
    <s v="Improvement"/>
    <x v="0"/>
    <d v="2015-10-22T11:06:00"/>
    <x v="5"/>
    <x v="0"/>
    <x v="20"/>
    <n v="24"/>
    <m/>
    <n v="127.5"/>
    <n v="22.500000000000004"/>
  </r>
  <r>
    <s v="Backend - OM"/>
    <x v="2"/>
    <s v="Improvement"/>
    <s v="OM-1299"/>
    <s v="Refine OM create manifest function"/>
    <s v="Improvement"/>
    <x v="0"/>
    <d v="2015-10-28T17:06:00"/>
    <x v="5"/>
    <x v="0"/>
    <x v="9"/>
    <n v="5"/>
    <m/>
    <n v="127.5"/>
    <n v="22.500000000000004"/>
  </r>
  <r>
    <s v="Backend - OM"/>
    <x v="1"/>
    <s v="Improvement"/>
    <s v="OM-1299"/>
    <s v="Refine OM create manifest function"/>
    <s v="Improvement"/>
    <x v="0"/>
    <d v="2015-10-30T18:18:00"/>
    <x v="5"/>
    <x v="0"/>
    <x v="8"/>
    <n v="4"/>
    <m/>
    <n v="127.5"/>
    <n v="22.500000000000004"/>
  </r>
  <r>
    <s v="Backend - OM"/>
    <x v="1"/>
    <s v="Improvement"/>
    <s v="OM-1299"/>
    <s v="Refine OM create manifest function"/>
    <s v="Improvement"/>
    <x v="0"/>
    <d v="2015-11-04T18:29:00"/>
    <x v="8"/>
    <x v="0"/>
    <x v="8"/>
    <n v="2"/>
    <m/>
    <n v="147.9"/>
    <n v="26.100000000000005"/>
  </r>
  <r>
    <s v="Backend - OM"/>
    <x v="2"/>
    <s v="Improvement"/>
    <s v="OM-1299"/>
    <s v="Refine OM create manifest function"/>
    <s v="Improvement"/>
    <x v="0"/>
    <d v="2015-11-09T12:46:00"/>
    <x v="8"/>
    <x v="0"/>
    <x v="20"/>
    <n v="5"/>
    <m/>
    <n v="147.9"/>
    <n v="26.100000000000005"/>
  </r>
  <r>
    <s v="Backend - OM"/>
    <x v="2"/>
    <s v="Improvement"/>
    <s v="OM-1299"/>
    <s v="Refine OM create manifest function"/>
    <s v="Improvement"/>
    <x v="0"/>
    <d v="2015-11-09T16:39:00"/>
    <x v="8"/>
    <x v="0"/>
    <x v="20"/>
    <n v="6"/>
    <m/>
    <n v="147.9"/>
    <n v="26.100000000000005"/>
  </r>
  <r>
    <s v="Backend - OM"/>
    <x v="1"/>
    <s v="Improvement"/>
    <s v="OM-1299"/>
    <s v="Refine OM create manifest function"/>
    <s v="Improvement"/>
    <x v="0"/>
    <d v="2015-11-09T17:01:00"/>
    <x v="8"/>
    <x v="0"/>
    <x v="8"/>
    <n v="3"/>
    <m/>
    <n v="147.9"/>
    <n v="26.100000000000005"/>
  </r>
  <r>
    <s v="Backend - OM"/>
    <x v="2"/>
    <s v="Improvement"/>
    <s v="OM-1299"/>
    <s v="Refine OM create manifest function"/>
    <s v="Improvement"/>
    <x v="0"/>
    <d v="2015-11-10T12:45:00"/>
    <x v="8"/>
    <x v="0"/>
    <x v="20"/>
    <n v="3"/>
    <m/>
    <n v="147.9"/>
    <n v="26.100000000000005"/>
  </r>
  <r>
    <s v="Backend - OM"/>
    <x v="1"/>
    <s v="Improvement"/>
    <s v="OM-1299"/>
    <s v="Refine OM create manifest function"/>
    <s v="Improvement"/>
    <x v="0"/>
    <d v="2015-11-12T16:41:00"/>
    <x v="8"/>
    <x v="0"/>
    <x v="8"/>
    <n v="1"/>
    <m/>
    <n v="147.9"/>
    <n v="26.100000000000005"/>
  </r>
  <r>
    <s v="Backend - OM"/>
    <x v="2"/>
    <s v="Task"/>
    <s v="OM-1305"/>
    <s v="Italy to Non -European country Declare value from July to September"/>
    <s v="Task"/>
    <x v="0"/>
    <d v="2015-10-09T15:38:00"/>
    <x v="5"/>
    <x v="0"/>
    <x v="12"/>
    <n v="2"/>
    <m/>
    <n v="127.5"/>
    <n v="22.500000000000004"/>
  </r>
  <r>
    <s v="Backend - OM"/>
    <x v="2"/>
    <s v="Task"/>
    <s v="OM-1379"/>
    <s v="Price changes 2015/11/25"/>
    <s v="Task"/>
    <x v="0"/>
    <d v="2015-11-25T17:39:00"/>
    <x v="8"/>
    <x v="0"/>
    <x v="27"/>
    <n v="8"/>
    <m/>
    <n v="147.9"/>
    <n v="26.100000000000005"/>
  </r>
  <r>
    <s v="Backend - OM"/>
    <x v="2"/>
    <s v="Task"/>
    <s v="OM-1470"/>
    <s v="Resreved stock release"/>
    <s v="Task"/>
    <x v="0"/>
    <d v="2015-11-11T10:11:00"/>
    <x v="8"/>
    <x v="0"/>
    <x v="16"/>
    <n v="5"/>
    <m/>
    <n v="147.9"/>
    <n v="26.100000000000005"/>
  </r>
  <r>
    <s v="Backend - OM"/>
    <x v="2"/>
    <s v="Improvement"/>
    <s v="OM-1481"/>
    <s v="Release the reserved stock when PO moved from WHPO to Supplier PO"/>
    <s v="Improvement"/>
    <x v="0"/>
    <d v="2015-11-13T09:47:00"/>
    <x v="8"/>
    <x v="0"/>
    <x v="16"/>
    <n v="8"/>
    <m/>
    <n v="147.9"/>
    <n v="26.100000000000005"/>
  </r>
  <r>
    <s v="Backend - OM"/>
    <x v="2"/>
    <s v="Improvement"/>
    <s v="OM-1481"/>
    <s v="Release the reserved stock when PO moved from WHPO to Supplier PO"/>
    <s v="Improvement"/>
    <x v="0"/>
    <d v="2015-11-16T09:48:00"/>
    <x v="8"/>
    <x v="0"/>
    <x v="16"/>
    <n v="8"/>
    <m/>
    <n v="147.9"/>
    <n v="26.100000000000005"/>
  </r>
  <r>
    <s v="Backend - OM"/>
    <x v="2"/>
    <s v="Improvement"/>
    <s v="OM-1481"/>
    <s v="Release the reserved stock when PO moved from WHPO to Supplier PO"/>
    <s v="Improvement"/>
    <x v="0"/>
    <d v="2015-11-18T10:33:00"/>
    <x v="8"/>
    <x v="0"/>
    <x v="16"/>
    <n v="8"/>
    <m/>
    <n v="147.9"/>
    <n v="26.100000000000005"/>
  </r>
  <r>
    <s v="Backend - OM"/>
    <x v="2"/>
    <s v="Improvement"/>
    <s v="OM-1481"/>
    <s v="Release the reserved stock when PO moved from WHPO to Supplier PO"/>
    <s v="Improvement"/>
    <x v="0"/>
    <d v="2015-11-20T18:04:00"/>
    <x v="8"/>
    <x v="0"/>
    <x v="9"/>
    <n v="0.5"/>
    <m/>
    <n v="147.9"/>
    <n v="26.100000000000005"/>
  </r>
  <r>
    <s v="Backend - OM"/>
    <x v="1"/>
    <s v="Improvement"/>
    <s v="OM-1481"/>
    <s v="Release the reserved stock when PO moved from WHPO to Supplier PO"/>
    <s v="Improvement"/>
    <x v="0"/>
    <d v="2015-11-20T18:49:00"/>
    <x v="8"/>
    <x v="0"/>
    <x v="8"/>
    <n v="3"/>
    <m/>
    <n v="147.9"/>
    <n v="26.100000000000005"/>
  </r>
  <r>
    <s v="Backend - OM"/>
    <x v="2"/>
    <s v="Improvement"/>
    <s v="OM-1481"/>
    <s v="Release the reserved stock when PO moved from WHPO to Supplier PO"/>
    <s v="Improvement"/>
    <x v="0"/>
    <d v="2015-11-23T11:14:00"/>
    <x v="8"/>
    <x v="0"/>
    <x v="16"/>
    <n v="3"/>
    <m/>
    <n v="147.9"/>
    <n v="26.100000000000005"/>
  </r>
  <r>
    <s v="Backend - OM"/>
    <x v="1"/>
    <s v="Improvement"/>
    <s v="OM-1481"/>
    <s v="Release the reserved stock when PO moved from WHPO to Supplier PO"/>
    <s v="Improvement"/>
    <x v="0"/>
    <d v="2015-11-25T17:39:00"/>
    <x v="8"/>
    <x v="0"/>
    <x v="8"/>
    <n v="1"/>
    <m/>
    <n v="147.9"/>
    <n v="26.100000000000005"/>
  </r>
  <r>
    <s v="Backend - OM"/>
    <x v="2"/>
    <s v="Improvement"/>
    <s v="OM-1481"/>
    <s v="Release the reserved stock when PO moved from WHPO to Supplier PO"/>
    <s v="Improvement"/>
    <x v="0"/>
    <d v="2015-11-26T12:31:00"/>
    <x v="8"/>
    <x v="0"/>
    <x v="16"/>
    <n v="3"/>
    <m/>
    <n v="147.9"/>
    <n v="26.100000000000005"/>
  </r>
  <r>
    <s v="Backend - OM"/>
    <x v="1"/>
    <s v="Improvement"/>
    <s v="OM-1481"/>
    <s v="Release the reserved stock when PO moved from WHPO to Supplier PO"/>
    <s v="Improvement"/>
    <x v="0"/>
    <d v="2015-11-27T12:36:00"/>
    <x v="8"/>
    <x v="0"/>
    <x v="8"/>
    <n v="1"/>
    <m/>
    <n v="147.9"/>
    <n v="26.100000000000005"/>
  </r>
  <r>
    <s v="Backend - OM"/>
    <x v="2"/>
    <s v="Improvement"/>
    <s v="OM-1481"/>
    <s v="Release the reserved stock when PO moved from WHPO to Supplier PO"/>
    <s v="Improvement"/>
    <x v="0"/>
    <d v="2015-11-27T14:04:00"/>
    <x v="8"/>
    <x v="0"/>
    <x v="16"/>
    <n v="0.5"/>
    <m/>
    <n v="147.9"/>
    <n v="26.100000000000005"/>
  </r>
  <r>
    <s v="Backend - OM"/>
    <x v="1"/>
    <s v="Improvement"/>
    <s v="OM-1481"/>
    <s v="Release the reserved stock when PO moved from WHPO to Supplier PO"/>
    <s v="Improvement"/>
    <x v="0"/>
    <d v="2015-11-27T18:36:00"/>
    <x v="8"/>
    <x v="0"/>
    <x v="8"/>
    <n v="1"/>
    <m/>
    <n v="147.9"/>
    <n v="26.100000000000005"/>
  </r>
  <r>
    <s v="Backend - OM"/>
    <x v="2"/>
    <s v="Improvement"/>
    <s v="OM-1499"/>
    <s v="Luxottica Data Crawl"/>
    <s v="Improvement"/>
    <x v="0"/>
    <d v="2015-11-05T09:44:00"/>
    <x v="8"/>
    <x v="0"/>
    <x v="16"/>
    <n v="8"/>
    <m/>
    <n v="147.9"/>
    <n v="26.100000000000005"/>
  </r>
  <r>
    <s v="Backend - OM"/>
    <x v="2"/>
    <s v="Task"/>
    <s v="OM-1504"/>
    <s v="Phase 205"/>
    <s v="Task"/>
    <x v="0"/>
    <d v="2015-11-23T17:41:00"/>
    <x v="8"/>
    <x v="0"/>
    <x v="27"/>
    <n v="4"/>
    <m/>
    <n v="147.9"/>
    <n v="26.100000000000005"/>
  </r>
  <r>
    <s v="Backend - OM"/>
    <x v="2"/>
    <s v="Task"/>
    <s v="OM-1514"/>
    <s v="Reserved Stock Release 2nd Batch"/>
    <s v="Task"/>
    <x v="0"/>
    <d v="2015-11-12T10:13:00"/>
    <x v="8"/>
    <x v="0"/>
    <x v="16"/>
    <n v="6"/>
    <m/>
    <n v="147.9"/>
    <n v="26.100000000000005"/>
  </r>
  <r>
    <s v="Backend - OM"/>
    <x v="2"/>
    <s v="Improvement"/>
    <s v="OM-1540"/>
    <s v="Export Data for Price Rule List"/>
    <s v="Improvement"/>
    <x v="0"/>
    <d v="2015-11-06T15:16:00"/>
    <x v="8"/>
    <x v="0"/>
    <x v="27"/>
    <n v="2"/>
    <m/>
    <n v="147.9"/>
    <n v="26.100000000000005"/>
  </r>
  <r>
    <s v="Backend - OM"/>
    <x v="2"/>
    <s v="Improvement"/>
    <s v="OM-1540"/>
    <s v="Export Data for Price Rule List"/>
    <s v="Improvement"/>
    <x v="0"/>
    <d v="2015-11-17T12:46:00"/>
    <x v="8"/>
    <x v="0"/>
    <x v="27"/>
    <n v="10"/>
    <m/>
    <n v="147.9"/>
    <n v="26.100000000000005"/>
  </r>
  <r>
    <s v="Backend - OM"/>
    <x v="2"/>
    <s v="Task"/>
    <s v="OM-1553"/>
    <s v="Don't reserve the stock if the order code and order item id are Null"/>
    <s v="Task"/>
    <x v="0"/>
    <d v="2015-11-17T15:15:00"/>
    <x v="8"/>
    <x v="0"/>
    <x v="16"/>
    <n v="8"/>
    <m/>
    <n v="147.9"/>
    <n v="26.100000000000005"/>
  </r>
  <r>
    <s v="Backend - OM"/>
    <x v="2"/>
    <s v="Task"/>
    <s v="OM-1560"/>
    <s v="Reserved Stock Release 3rd Batch"/>
    <s v="Task"/>
    <x v="0"/>
    <d v="2015-11-23T16:28:00"/>
    <x v="8"/>
    <x v="0"/>
    <x v="16"/>
    <n v="2"/>
    <s v="export reserved stock list, done."/>
    <n v="147.9"/>
    <n v="26.100000000000005"/>
  </r>
  <r>
    <s v="Backend - OM"/>
    <x v="2"/>
    <s v="Task"/>
    <s v="OM-1560"/>
    <s v="Reserved Stock Release 3rd Batch"/>
    <s v="Task"/>
    <x v="0"/>
    <d v="2015-11-24T18:39:00"/>
    <x v="8"/>
    <x v="0"/>
    <x v="16"/>
    <n v="1"/>
    <m/>
    <n v="147.9"/>
    <n v="26.100000000000005"/>
  </r>
  <r>
    <s v="Backend - OM"/>
    <x v="2"/>
    <s v="Improvement"/>
    <s v="OM-1561"/>
    <s v="Rewards Related Issues"/>
    <s v="Improvement"/>
    <x v="0"/>
    <d v="2015-11-10T10:14:00"/>
    <x v="8"/>
    <x v="0"/>
    <x v="20"/>
    <n v="16"/>
    <m/>
    <n v="147.9"/>
    <n v="26.100000000000005"/>
  </r>
  <r>
    <s v="Backend - OM"/>
    <x v="2"/>
    <s v="Improvement"/>
    <s v="OM-1563"/>
    <s v="Daily tasks"/>
    <s v="Improvement"/>
    <x v="0"/>
    <d v="2015-10-09T18:42:00"/>
    <x v="5"/>
    <x v="0"/>
    <x v="9"/>
    <n v="2"/>
    <s v="meeting"/>
    <n v="127.5"/>
    <n v="22.500000000000004"/>
  </r>
  <r>
    <s v="Backend - OM"/>
    <x v="2"/>
    <s v="Improvement"/>
    <s v="OM-1563"/>
    <s v="Daily tasks"/>
    <s v="Improvement"/>
    <x v="0"/>
    <d v="2015-10-13T18:51:00"/>
    <x v="5"/>
    <x v="0"/>
    <x v="9"/>
    <n v="4"/>
    <s v="meeting"/>
    <n v="127.5"/>
    <n v="22.500000000000004"/>
  </r>
  <r>
    <s v="Backend - OM"/>
    <x v="2"/>
    <s v="Improvement"/>
    <s v="OM-1563"/>
    <s v="Daily tasks"/>
    <s v="Improvement"/>
    <x v="0"/>
    <d v="2015-10-14T19:01:00"/>
    <x v="5"/>
    <x v="0"/>
    <x v="9"/>
    <n v="2"/>
    <s v="meeting"/>
    <n v="127.5"/>
    <n v="22.500000000000004"/>
  </r>
  <r>
    <s v="Backend - OM"/>
    <x v="2"/>
    <s v="Improvement"/>
    <s v="OM-1563"/>
    <s v="Daily tasks"/>
    <s v="Improvement"/>
    <x v="0"/>
    <d v="2015-10-19T20:57:00"/>
    <x v="5"/>
    <x v="0"/>
    <x v="9"/>
    <n v="3"/>
    <s v="1. check the issue of scan HK call Aramex API slowing. 2. fix the data of payment log repeat"/>
    <n v="127.5"/>
    <n v="22.500000000000004"/>
  </r>
  <r>
    <s v="Backend - OM"/>
    <x v="2"/>
    <s v="Improvement"/>
    <s v="OM-1563"/>
    <s v="Daily tasks"/>
    <s v="Improvement"/>
    <x v="0"/>
    <d v="2015-10-23T18:35:00"/>
    <x v="5"/>
    <x v="0"/>
    <x v="9"/>
    <n v="3"/>
    <s v="OM product environment can't import excel -- product environment /tmp 溢出"/>
    <n v="127.5"/>
    <n v="22.500000000000004"/>
  </r>
  <r>
    <s v="Backend - OM"/>
    <x v="2"/>
    <s v="Improvement"/>
    <s v="OM-1563"/>
    <s v="Daily tasks"/>
    <s v="Improvement"/>
    <x v="0"/>
    <d v="2015-10-26T18:17:00"/>
    <x v="5"/>
    <x v="0"/>
    <x v="9"/>
    <n v="1"/>
    <s v="ZA0239220209CM [11:08:28 AM] Vivian Mak: Could you check if Acuvue Advance Plus 24 Pack, Power: -5.75 in the Web Inverntory? [11:08:36 AM] Vivian Mak: actually we don't have it in stock.. [11:08:43 AM] Vivian Mak: but it goes into WHPO reason: this order placed at 2015-10-18, we have a stock at that time, and this stock &quot;stock out&quot; at 2015-10-19"/>
    <n v="127.5"/>
    <n v="22.500000000000004"/>
  </r>
  <r>
    <s v="Backend - OM"/>
    <x v="2"/>
    <s v="Improvement"/>
    <s v="OM-1563"/>
    <s v="Daily tasks"/>
    <s v="Improvement"/>
    <x v="0"/>
    <d v="2015-10-30T16:46:00"/>
    <x v="5"/>
    <x v="0"/>
    <x v="9"/>
    <n v="4"/>
    <m/>
    <n v="127.5"/>
    <n v="22.500000000000004"/>
  </r>
  <r>
    <s v="Backend - OM"/>
    <x v="2"/>
    <s v="Improvement"/>
    <s v="OM-1563"/>
    <s v="Daily tasks"/>
    <s v="Improvement"/>
    <x v="0"/>
    <d v="2015-11-02T16:21:00"/>
    <x v="8"/>
    <x v="0"/>
    <x v="9"/>
    <n v="3"/>
    <m/>
    <n v="147.9"/>
    <n v="26.100000000000005"/>
  </r>
  <r>
    <s v="Backend - OM"/>
    <x v="2"/>
    <s v="Improvement"/>
    <s v="OM-1563"/>
    <s v="Daily tasks"/>
    <s v="Improvement"/>
    <x v="0"/>
    <d v="2015-11-03T19:05:00"/>
    <x v="8"/>
    <x v="0"/>
    <x v="9"/>
    <n v="5.5"/>
    <s v="meeting, data fix. other things"/>
    <n v="147.9"/>
    <n v="26.100000000000005"/>
  </r>
  <r>
    <s v="Backend - OM"/>
    <x v="2"/>
    <s v="Improvement"/>
    <s v="OM-1563"/>
    <s v="Daily tasks"/>
    <s v="Improvement"/>
    <x v="0"/>
    <d v="2015-11-04T16:42:00"/>
    <x v="8"/>
    <x v="0"/>
    <x v="9"/>
    <n v="2"/>
    <m/>
    <n v="147.9"/>
    <n v="26.100000000000005"/>
  </r>
  <r>
    <s v="Backend - OM"/>
    <x v="2"/>
    <s v="Improvement"/>
    <s v="OM-1563"/>
    <s v="Daily tasks"/>
    <s v="Improvement"/>
    <x v="0"/>
    <d v="2015-11-05T16:18:00"/>
    <x v="8"/>
    <x v="0"/>
    <x v="9"/>
    <n v="2"/>
    <s v="import shipment error -- reason temp folder memory overflow"/>
    <n v="147.9"/>
    <n v="26.100000000000005"/>
  </r>
  <r>
    <s v="Backend - OM"/>
    <x v="2"/>
    <s v="Improvement"/>
    <s v="OM-1563"/>
    <s v="Daily tasks"/>
    <s v="Improvement"/>
    <x v="0"/>
    <d v="2015-11-12T16:15:00"/>
    <x v="8"/>
    <x v="0"/>
    <x v="9"/>
    <n v="2"/>
    <s v="lab allocation rules meeting"/>
    <n v="147.9"/>
    <n v="26.100000000000005"/>
  </r>
  <r>
    <s v="Backend - OM"/>
    <x v="2"/>
    <s v="Improvement"/>
    <s v="OM-1563"/>
    <s v="Daily tasks"/>
    <s v="Improvement"/>
    <x v="0"/>
    <d v="2015-11-12T16:41:00"/>
    <x v="8"/>
    <x v="0"/>
    <x v="9"/>
    <n v="2"/>
    <m/>
    <n v="147.9"/>
    <n v="26.100000000000005"/>
  </r>
  <r>
    <s v="Backend - OM"/>
    <x v="2"/>
    <s v="Improvement"/>
    <s v="OM-1563"/>
    <s v="Daily tasks"/>
    <s v="Improvement"/>
    <x v="0"/>
    <d v="2015-11-13T16:40:00"/>
    <x v="8"/>
    <x v="0"/>
    <x v="9"/>
    <n v="1.5"/>
    <m/>
    <n v="147.9"/>
    <n v="26.100000000000005"/>
  </r>
  <r>
    <s v="Backend - OM"/>
    <x v="2"/>
    <s v="Improvement"/>
    <s v="OM-1563"/>
    <s v="Daily tasks"/>
    <s v="Improvement"/>
    <x v="0"/>
    <d v="2015-11-16T19:00:00"/>
    <x v="8"/>
    <x v="0"/>
    <x v="9"/>
    <n v="1"/>
    <s v="help BI (sa) to resolve some question."/>
    <n v="147.9"/>
    <n v="26.100000000000005"/>
  </r>
  <r>
    <s v="Backend - OM"/>
    <x v="2"/>
    <s v="Improvement"/>
    <s v="OM-1563"/>
    <s v="Daily tasks"/>
    <s v="Improvement"/>
    <x v="0"/>
    <d v="2015-11-17T18:03:00"/>
    <x v="8"/>
    <x v="0"/>
    <x v="9"/>
    <n v="2"/>
    <s v="svn set"/>
    <n v="147.9"/>
    <n v="26.100000000000005"/>
  </r>
  <r>
    <s v="Backend - OM"/>
    <x v="2"/>
    <s v="Improvement"/>
    <s v="OM-1563"/>
    <s v="Daily tasks"/>
    <s v="Improvement"/>
    <x v="0"/>
    <d v="2015-11-19T16:25:00"/>
    <x v="8"/>
    <x v="0"/>
    <x v="9"/>
    <n v="2"/>
    <s v="meeting"/>
    <n v="147.9"/>
    <n v="26.100000000000005"/>
  </r>
  <r>
    <s v="Backend - OM"/>
    <x v="2"/>
    <s v="Improvement"/>
    <s v="OM-1563"/>
    <s v="Daily tasks"/>
    <s v="Improvement"/>
    <x v="0"/>
    <d v="2015-11-23T18:42:00"/>
    <x v="8"/>
    <x v="0"/>
    <x v="9"/>
    <n v="1"/>
    <m/>
    <n v="147.9"/>
    <n v="26.100000000000005"/>
  </r>
  <r>
    <s v="Backend - OM"/>
    <x v="2"/>
    <s v="Improvement"/>
    <s v="OM-1563"/>
    <s v="Daily tasks"/>
    <s v="Improvement"/>
    <x v="0"/>
    <d v="2015-11-24T11:04:00"/>
    <x v="8"/>
    <x v="0"/>
    <x v="9"/>
    <n v="1"/>
    <s v="meeting, other things check: [11/23/2015 6:59:04 PM] Mariagrazia Clericuzio: item: Ray-Ban RX5154 Clubmaster Fleck 5494 49 [11/23/2015 6:59:16 PM] Mariagrazia Clericuzio: id: EN0240278909G [11/23/2015 6:59:30 PM] Mariagrazia Clericuzio: inventory code: 1300082208 [11/23/2015 6:59:44 PM] Mariagrazia Clericuzio: cannot scan because results &quot;already used&quot; [11/23/2015 6:59:50 PM] Mariagrazia Clericuzio: but we have item here [11/23/2015 7:01:26 PM] Mariagrazia Clericuzio: same issue for Persol PO0714 Folding 95/31 52 id CA0248167906G from TRFHK_20151123_1"/>
    <n v="147.9"/>
    <n v="26.100000000000005"/>
  </r>
  <r>
    <s v="Backend - OM"/>
    <x v="2"/>
    <s v="Improvement"/>
    <s v="OM-1563"/>
    <s v="Daily tasks"/>
    <s v="Improvement"/>
    <x v="0"/>
    <d v="2015-11-24T18:46:00"/>
    <x v="8"/>
    <x v="0"/>
    <x v="9"/>
    <n v="2"/>
    <s v="meeting"/>
    <n v="147.9"/>
    <n v="26.100000000000005"/>
  </r>
  <r>
    <s v="Backend - OM"/>
    <x v="2"/>
    <s v="Improvement"/>
    <s v="OM-1563"/>
    <s v="Daily tasks"/>
    <s v="Improvement"/>
    <x v="0"/>
    <d v="2015-11-25T18:38:00"/>
    <x v="8"/>
    <x v="0"/>
    <x v="9"/>
    <n v="4"/>
    <s v="解决其他问题"/>
    <n v="147.9"/>
    <n v="26.100000000000005"/>
  </r>
  <r>
    <s v="Backend - OM"/>
    <x v="2"/>
    <s v="Improvement"/>
    <s v="OM-1563"/>
    <s v="Daily tasks"/>
    <s v="Improvement"/>
    <x v="0"/>
    <d v="2015-11-27T16:08:00"/>
    <x v="8"/>
    <x v="0"/>
    <x v="9"/>
    <n v="1"/>
    <s v="help to resolve daily issue or problems"/>
    <n v="147.9"/>
    <n v="26.100000000000005"/>
  </r>
  <r>
    <s v="Backend - OM"/>
    <x v="2"/>
    <s v="Improvement"/>
    <s v="OM-1563"/>
    <s v="Daily tasks"/>
    <s v="Improvement"/>
    <x v="0"/>
    <d v="2015-11-28T16:52:00"/>
    <x v="8"/>
    <x v="0"/>
    <x v="9"/>
    <n v="1"/>
    <s v="tidy the jira log time"/>
    <n v="147.9"/>
    <n v="26.100000000000005"/>
  </r>
  <r>
    <s v="Backend - OM"/>
    <x v="2"/>
    <s v="Improvement"/>
    <s v="OM-1563"/>
    <s v="Daily tasks"/>
    <s v="Improvement"/>
    <x v="0"/>
    <d v="2015-11-30T12:49:00"/>
    <x v="8"/>
    <x v="0"/>
    <x v="9"/>
    <n v="1"/>
    <s v="tidy the team weekly ticket ."/>
    <n v="147.9"/>
    <n v="26.100000000000005"/>
  </r>
  <r>
    <s v="Backend - OM"/>
    <x v="2"/>
    <s v="Improvement"/>
    <s v="OM-1563"/>
    <s v="Daily tasks"/>
    <s v="Improvement"/>
    <x v="0"/>
    <d v="2015-11-30T12:49:00"/>
    <x v="8"/>
    <x v="0"/>
    <x v="9"/>
    <n v="1"/>
    <s v="check the bug of scan IT system ."/>
    <n v="147.9"/>
    <n v="26.100000000000005"/>
  </r>
  <r>
    <s v="Backend - OM"/>
    <x v="2"/>
    <s v="Improvement"/>
    <s v="OM-1563"/>
    <s v="Daily tasks"/>
    <s v="Improvement"/>
    <x v="0"/>
    <d v="2015-11-30T18:55:00"/>
    <x v="8"/>
    <x v="0"/>
    <x v="9"/>
    <n v="3"/>
    <s v="weekly case processing"/>
    <n v="147.9"/>
    <n v="26.100000000000005"/>
  </r>
  <r>
    <s v="Backend - OM"/>
    <x v="2"/>
    <s v="Task"/>
    <s v="OM-1665"/>
    <s v="Please help to pull out a data for shipments"/>
    <s v="Task"/>
    <x v="0"/>
    <d v="2015-11-18T17:59:00"/>
    <x v="8"/>
    <x v="0"/>
    <x v="9"/>
    <n v="0.5"/>
    <m/>
    <n v="147.9"/>
    <n v="26.100000000000005"/>
  </r>
  <r>
    <s v="Backend - OM"/>
    <x v="2"/>
    <s v="Task"/>
    <s v="OM-1680"/>
    <s v="Courier Shipping rules for Chile and Canada"/>
    <s v="Task"/>
    <x v="0"/>
    <d v="2015-10-12T15:38:00"/>
    <x v="5"/>
    <x v="0"/>
    <x v="9"/>
    <n v="2"/>
    <m/>
    <n v="127.5"/>
    <n v="22.500000000000004"/>
  </r>
  <r>
    <s v="Backend - OM"/>
    <x v="2"/>
    <s v="Task"/>
    <s v="OM-1680"/>
    <s v="Courier Shipping rules for Chile and Canada"/>
    <s v="Task"/>
    <x v="0"/>
    <d v="2015-10-16T18:04:00"/>
    <x v="5"/>
    <x v="0"/>
    <x v="9"/>
    <n v="1"/>
    <m/>
    <n v="127.5"/>
    <n v="22.500000000000004"/>
  </r>
  <r>
    <s v="Backend - OM"/>
    <x v="1"/>
    <s v="Task"/>
    <s v="OM-1680"/>
    <s v="Courier Shipping rules for Chile and Canada"/>
    <s v="Task"/>
    <x v="0"/>
    <d v="2015-10-16T18:21:00"/>
    <x v="5"/>
    <x v="0"/>
    <x v="8"/>
    <n v="3"/>
    <m/>
    <n v="127.5"/>
    <n v="22.500000000000004"/>
  </r>
  <r>
    <s v="Backend - OM"/>
    <x v="1"/>
    <s v="Task"/>
    <s v="OM-1680"/>
    <s v="Courier Shipping rules for Chile and Canada"/>
    <s v="Task"/>
    <x v="0"/>
    <d v="2015-10-20T19:04:00"/>
    <x v="5"/>
    <x v="0"/>
    <x v="8"/>
    <n v="1"/>
    <m/>
    <n v="127.5"/>
    <n v="22.500000000000004"/>
  </r>
  <r>
    <s v="Backend - OM"/>
    <x v="2"/>
    <s v="Task"/>
    <s v="OM-1682"/>
    <s v="Luxottica Data Crawl- New password"/>
    <s v="Task"/>
    <x v="0"/>
    <d v="2015-11-30T14:43:00"/>
    <x v="8"/>
    <x v="0"/>
    <x v="16"/>
    <n v="3"/>
    <m/>
    <n v="147.9"/>
    <n v="26.100000000000005"/>
  </r>
  <r>
    <s v="Backend - OM"/>
    <x v="2"/>
    <s v="Task"/>
    <s v="OM-1688"/>
    <s v="Shop.ca: Stock reservation"/>
    <s v="Task"/>
    <x v="0"/>
    <d v="2015-11-19T18:04:00"/>
    <x v="8"/>
    <x v="0"/>
    <x v="9"/>
    <n v="1"/>
    <m/>
    <n v="147.9"/>
    <n v="26.100000000000005"/>
  </r>
  <r>
    <s v="Backend - OM"/>
    <x v="2"/>
    <s v="Task"/>
    <s v="OM-1688"/>
    <s v="Shop.ca: Stock reservation"/>
    <s v="Task"/>
    <x v="0"/>
    <d v="2015-11-20T18:04:00"/>
    <x v="8"/>
    <x v="0"/>
    <x v="9"/>
    <n v="1"/>
    <m/>
    <n v="147.9"/>
    <n v="26.100000000000005"/>
  </r>
  <r>
    <s v="Backend - OM"/>
    <x v="2"/>
    <s v="Task"/>
    <s v="OM-1718"/>
    <s v="Reserved Stock Report Request"/>
    <s v="Task"/>
    <x v="0"/>
    <d v="2015-11-09T09:56:00"/>
    <x v="8"/>
    <x v="0"/>
    <x v="16"/>
    <n v="4"/>
    <m/>
    <n v="147.9"/>
    <n v="26.100000000000005"/>
  </r>
  <r>
    <s v="Backend - OM"/>
    <x v="2"/>
    <s v="Task"/>
    <s v="OM-1718"/>
    <s v="Reserved Stock Report Request"/>
    <s v="Task"/>
    <x v="0"/>
    <d v="2015-11-10T09:57:00"/>
    <x v="8"/>
    <x v="0"/>
    <x v="16"/>
    <n v="8"/>
    <m/>
    <n v="147.9"/>
    <n v="26.100000000000005"/>
  </r>
  <r>
    <s v="Backend - OM"/>
    <x v="2"/>
    <s v="Improvement"/>
    <s v="OM-1743"/>
    <s v="Please change the status to shipped"/>
    <s v="Improvement"/>
    <x v="0"/>
    <d v="2015-10-09T17:11:00"/>
    <x v="5"/>
    <x v="0"/>
    <x v="20"/>
    <n v="4"/>
    <m/>
    <n v="127.5"/>
    <n v="22.500000000000004"/>
  </r>
  <r>
    <s v="Backend - OM"/>
    <x v="2"/>
    <s v="Improvement"/>
    <s v="OM-1743"/>
    <s v="Please change the status to shipped"/>
    <s v="Improvement"/>
    <x v="0"/>
    <d v="2015-10-12T17:12:00"/>
    <x v="5"/>
    <x v="0"/>
    <x v="20"/>
    <n v="2"/>
    <m/>
    <n v="127.5"/>
    <n v="22.500000000000004"/>
  </r>
  <r>
    <s v="Backend - OM"/>
    <x v="2"/>
    <s v="Improvement"/>
    <s v="OM-1743"/>
    <s v="Please change the status to shipped"/>
    <s v="Improvement"/>
    <x v="0"/>
    <d v="2015-10-13T17:12:00"/>
    <x v="5"/>
    <x v="0"/>
    <x v="20"/>
    <n v="3"/>
    <m/>
    <n v="127.5"/>
    <n v="22.500000000000004"/>
  </r>
  <r>
    <s v="Backend - OM"/>
    <x v="2"/>
    <s v="Improvement"/>
    <s v="OM-1743"/>
    <s v="Please change the status to shipped"/>
    <s v="Improvement"/>
    <x v="0"/>
    <d v="2015-10-16T17:12:00"/>
    <x v="5"/>
    <x v="0"/>
    <x v="20"/>
    <n v="2"/>
    <m/>
    <n v="127.5"/>
    <n v="22.500000000000004"/>
  </r>
  <r>
    <s v="Backend - OM"/>
    <x v="2"/>
    <s v="Improvement"/>
    <s v="OM-1743"/>
    <s v="Please change the status to shipped"/>
    <s v="Improvement"/>
    <x v="0"/>
    <d v="2015-10-19T17:12:00"/>
    <x v="5"/>
    <x v="0"/>
    <x v="20"/>
    <n v="3"/>
    <m/>
    <n v="127.5"/>
    <n v="22.500000000000004"/>
  </r>
  <r>
    <s v="Backend - OM"/>
    <x v="2"/>
    <s v="Improvement"/>
    <s v="OM-1743"/>
    <s v="Please change the status to shipped"/>
    <s v="Improvement"/>
    <x v="0"/>
    <d v="2015-10-19T17:30:00"/>
    <x v="5"/>
    <x v="0"/>
    <x v="20"/>
    <n v="2"/>
    <m/>
    <n v="127.5"/>
    <n v="22.500000000000004"/>
  </r>
  <r>
    <s v="Backend - OM"/>
    <x v="2"/>
    <s v="Improvement"/>
    <s v="OM-1743"/>
    <s v="Please change the status to shipped"/>
    <s v="Improvement"/>
    <x v="0"/>
    <d v="2015-10-20T16:26:00"/>
    <x v="5"/>
    <x v="0"/>
    <x v="20"/>
    <n v="2"/>
    <m/>
    <n v="127.5"/>
    <n v="22.500000000000004"/>
  </r>
  <r>
    <s v="Backend - OM"/>
    <x v="2"/>
    <s v="Improvement"/>
    <s v="OM-1743"/>
    <s v="Please change the status to shipped"/>
    <s v="Improvement"/>
    <x v="0"/>
    <d v="2015-10-23T16:14:00"/>
    <x v="5"/>
    <x v="0"/>
    <x v="20"/>
    <n v="1"/>
    <m/>
    <n v="127.5"/>
    <n v="22.500000000000004"/>
  </r>
  <r>
    <s v="Backend - OM"/>
    <x v="2"/>
    <s v="Improvement"/>
    <s v="OM-1743"/>
    <s v="Please change the status to shipped"/>
    <s v="Improvement"/>
    <x v="0"/>
    <d v="2015-10-26T18:34:00"/>
    <x v="5"/>
    <x v="0"/>
    <x v="20"/>
    <n v="3"/>
    <m/>
    <n v="127.5"/>
    <n v="22.500000000000004"/>
  </r>
  <r>
    <s v="Backend - OM"/>
    <x v="2"/>
    <s v="Improvement"/>
    <s v="OM-1743"/>
    <s v="Please change the status to shipped"/>
    <s v="Improvement"/>
    <x v="0"/>
    <d v="2015-10-27T18:36:00"/>
    <x v="5"/>
    <x v="0"/>
    <x v="20"/>
    <n v="2"/>
    <m/>
    <n v="127.5"/>
    <n v="22.500000000000004"/>
  </r>
  <r>
    <s v="Backend - OM"/>
    <x v="2"/>
    <s v="Improvement"/>
    <s v="OM-1743"/>
    <s v="Please change the status to shipped"/>
    <s v="Improvement"/>
    <x v="0"/>
    <d v="2015-11-02T09:37:00"/>
    <x v="8"/>
    <x v="0"/>
    <x v="20"/>
    <n v="1"/>
    <m/>
    <n v="147.9"/>
    <n v="26.100000000000005"/>
  </r>
  <r>
    <s v="Backend - OM"/>
    <x v="2"/>
    <s v="Improvement"/>
    <s v="OM-1743"/>
    <s v="Please change the status to shipped"/>
    <s v="Improvement"/>
    <x v="0"/>
    <d v="2015-11-02T18:42:00"/>
    <x v="8"/>
    <x v="0"/>
    <x v="9"/>
    <n v="0.5"/>
    <m/>
    <n v="147.9"/>
    <n v="26.100000000000005"/>
  </r>
  <r>
    <s v="Backend - OM"/>
    <x v="2"/>
    <s v="Improvement"/>
    <s v="OM-1743"/>
    <s v="Please change the status to shipped"/>
    <s v="Improvement"/>
    <x v="0"/>
    <d v="2015-11-04T12:09:00"/>
    <x v="8"/>
    <x v="0"/>
    <x v="20"/>
    <n v="2"/>
    <m/>
    <n v="147.9"/>
    <n v="26.100000000000005"/>
  </r>
  <r>
    <s v="Backend - OM"/>
    <x v="2"/>
    <s v="Improvement"/>
    <s v="OM-1743"/>
    <s v="Please change the status to shipped"/>
    <s v="Improvement"/>
    <x v="0"/>
    <d v="2015-11-18T16:56:00"/>
    <x v="8"/>
    <x v="0"/>
    <x v="20"/>
    <n v="2"/>
    <m/>
    <n v="147.9"/>
    <n v="26.100000000000005"/>
  </r>
  <r>
    <s v="Backend - OM"/>
    <x v="2"/>
    <s v="Improvement"/>
    <s v="OM-1743"/>
    <s v="Please change the status to shipped"/>
    <s v="Improvement"/>
    <x v="0"/>
    <d v="2015-11-18T17:09:00"/>
    <x v="8"/>
    <x v="0"/>
    <x v="20"/>
    <n v="2"/>
    <m/>
    <n v="147.9"/>
    <n v="26.100000000000005"/>
  </r>
  <r>
    <s v="Backend - OM"/>
    <x v="2"/>
    <s v="Improvement"/>
    <s v="OM-1743"/>
    <s v="Please change the status to shipped"/>
    <s v="Improvement"/>
    <x v="0"/>
    <d v="2015-11-19T16:56:00"/>
    <x v="8"/>
    <x v="0"/>
    <x v="20"/>
    <n v="2"/>
    <m/>
    <n v="147.9"/>
    <n v="26.100000000000005"/>
  </r>
  <r>
    <s v="Backend - OM"/>
    <x v="2"/>
    <s v="Improvement"/>
    <s v="OM-1743"/>
    <s v="Please change the status to shipped"/>
    <s v="Improvement"/>
    <x v="0"/>
    <d v="2015-11-23T17:09:00"/>
    <x v="8"/>
    <x v="0"/>
    <x v="20"/>
    <n v="2"/>
    <m/>
    <n v="147.9"/>
    <n v="26.100000000000005"/>
  </r>
  <r>
    <s v="Backend - OM"/>
    <x v="2"/>
    <s v="Task"/>
    <s v="OM-1778"/>
    <s v="Reactivate Neymar Jr Models"/>
    <s v="Task"/>
    <x v="0"/>
    <d v="2015-11-30T14:36:00"/>
    <x v="8"/>
    <x v="0"/>
    <x v="27"/>
    <n v="4"/>
    <m/>
    <n v="147.9"/>
    <n v="26.100000000000005"/>
  </r>
  <r>
    <s v="Backend - OM"/>
    <x v="2"/>
    <s v="Task"/>
    <s v="OM-1864"/>
    <s v="Product ID + Size by order ID"/>
    <s v="Task"/>
    <x v="0"/>
    <d v="2015-11-25T17:25:00"/>
    <x v="8"/>
    <x v="0"/>
    <x v="16"/>
    <n v="2"/>
    <m/>
    <n v="147.9"/>
    <n v="26.100000000000005"/>
  </r>
  <r>
    <s v="Backend - OM"/>
    <x v="2"/>
    <s v="Task"/>
    <s v="OM-1903"/>
    <s v="Stock Reserved for orders unpaid and created long time ago"/>
    <s v="Task"/>
    <x v="0"/>
    <d v="2015-10-19T21:00:00"/>
    <x v="5"/>
    <x v="0"/>
    <x v="9"/>
    <n v="3"/>
    <m/>
    <n v="127.5"/>
    <n v="22.500000000000004"/>
  </r>
  <r>
    <s v="Backend - OM"/>
    <x v="2"/>
    <s v="Task"/>
    <s v="OM-1903"/>
    <s v="Stock Reserved for orders unpaid and created long time ago"/>
    <s v="Task"/>
    <x v="0"/>
    <d v="2015-10-20T19:56:00"/>
    <x v="5"/>
    <x v="0"/>
    <x v="9"/>
    <n v="2"/>
    <m/>
    <n v="127.5"/>
    <n v="22.500000000000004"/>
  </r>
  <r>
    <s v="Backend - OM"/>
    <x v="1"/>
    <s v="Technical task"/>
    <s v="OM-1941"/>
    <s v="OM-1481&gt; Test case design and execution"/>
    <s v="Technical task"/>
    <x v="0"/>
    <d v="2015-10-08T08:15:00"/>
    <x v="5"/>
    <x v="0"/>
    <x v="26"/>
    <n v="8"/>
    <m/>
    <n v="127.5"/>
    <n v="22.500000000000004"/>
  </r>
  <r>
    <s v="Backend - OM"/>
    <x v="1"/>
    <s v="Technical task"/>
    <s v="OM-1941"/>
    <s v="OM-1481&gt; Test case design and execution"/>
    <s v="Technical task"/>
    <x v="0"/>
    <d v="2015-10-13T08:15:00"/>
    <x v="5"/>
    <x v="0"/>
    <x v="26"/>
    <n v="8"/>
    <m/>
    <n v="127.5"/>
    <n v="22.500000000000004"/>
  </r>
  <r>
    <s v="Backend - OM"/>
    <x v="1"/>
    <s v="Technical task"/>
    <s v="OM-1941"/>
    <s v="OM-1481&gt; Test case design and execution"/>
    <s v="Technical task"/>
    <x v="0"/>
    <d v="2015-10-15T08:15:00"/>
    <x v="5"/>
    <x v="0"/>
    <x v="26"/>
    <n v="8"/>
    <m/>
    <n v="127.5"/>
    <n v="22.500000000000004"/>
  </r>
  <r>
    <s v="Backend - OM"/>
    <x v="1"/>
    <s v="Technical task"/>
    <s v="OM-1941"/>
    <s v="OM-1481&gt; Test case design and execution"/>
    <s v="Technical task"/>
    <x v="0"/>
    <d v="2015-10-20T08:14:00"/>
    <x v="5"/>
    <x v="0"/>
    <x v="26"/>
    <n v="8"/>
    <m/>
    <n v="127.5"/>
    <n v="22.500000000000004"/>
  </r>
  <r>
    <s v="Backend - OM"/>
    <x v="1"/>
    <s v="Technical task"/>
    <s v="OM-1941"/>
    <s v="OM-1481&gt; Test case design and execution"/>
    <s v="Technical task"/>
    <x v="0"/>
    <d v="2015-10-23T08:14:00"/>
    <x v="5"/>
    <x v="0"/>
    <x v="26"/>
    <n v="8"/>
    <m/>
    <n v="127.5"/>
    <n v="22.500000000000004"/>
  </r>
  <r>
    <s v="Backend - OM"/>
    <x v="1"/>
    <s v="Technical task"/>
    <s v="OM-1941"/>
    <s v="OM-1481&gt; Test case design and execution"/>
    <s v="Technical task"/>
    <x v="0"/>
    <d v="2015-10-26T08:14:00"/>
    <x v="5"/>
    <x v="0"/>
    <x v="26"/>
    <n v="8"/>
    <m/>
    <n v="127.5"/>
    <n v="22.500000000000004"/>
  </r>
  <r>
    <s v="Backend - OM"/>
    <x v="1"/>
    <s v="Technical task"/>
    <s v="OM-1941"/>
    <s v="OM-1481&gt; Test case design and execution"/>
    <s v="Technical task"/>
    <x v="0"/>
    <d v="2015-10-29T08:14:00"/>
    <x v="5"/>
    <x v="0"/>
    <x v="26"/>
    <n v="8"/>
    <m/>
    <n v="127.5"/>
    <n v="22.500000000000004"/>
  </r>
  <r>
    <s v="Backend - OM"/>
    <x v="1"/>
    <s v="Technical task"/>
    <s v="OM-1941"/>
    <s v="OM-1481&gt; Test case design and execution"/>
    <s v="Technical task"/>
    <x v="0"/>
    <d v="2015-11-05T08:12:00"/>
    <x v="8"/>
    <x v="0"/>
    <x v="26"/>
    <n v="8"/>
    <m/>
    <n v="147.9"/>
    <n v="26.100000000000005"/>
  </r>
  <r>
    <s v="Backend - OM"/>
    <x v="1"/>
    <s v="Technical task"/>
    <s v="OM-1941"/>
    <s v="OM-1481&gt; Test case design and execution"/>
    <s v="Technical task"/>
    <x v="0"/>
    <d v="2015-11-06T12:12:00"/>
    <x v="8"/>
    <x v="0"/>
    <x v="26"/>
    <n v="4"/>
    <m/>
    <n v="147.9"/>
    <n v="26.100000000000005"/>
  </r>
  <r>
    <s v="Backend - OM"/>
    <x v="1"/>
    <s v="Technical task"/>
    <s v="OM-1941"/>
    <s v="OM-1481&gt; Test case design and execution"/>
    <s v="Technical task"/>
    <x v="0"/>
    <d v="2015-11-10T08:12:00"/>
    <x v="8"/>
    <x v="0"/>
    <x v="26"/>
    <n v="8"/>
    <m/>
    <n v="147.9"/>
    <n v="26.100000000000005"/>
  </r>
  <r>
    <s v="Backend - OM"/>
    <x v="1"/>
    <s v="Technical task"/>
    <s v="OM-1941"/>
    <s v="OM-1481&gt; Test case design and execution"/>
    <s v="Technical task"/>
    <x v="0"/>
    <d v="2015-11-12T08:12:00"/>
    <x v="8"/>
    <x v="0"/>
    <x v="26"/>
    <n v="8"/>
    <m/>
    <n v="147.9"/>
    <n v="26.100000000000005"/>
  </r>
  <r>
    <s v="Backend - OM"/>
    <x v="1"/>
    <s v="Technical task"/>
    <s v="OM-1941"/>
    <s v="OM-1481&gt; Test case design and execution"/>
    <s v="Technical task"/>
    <x v="0"/>
    <d v="2015-11-16T08:12:00"/>
    <x v="8"/>
    <x v="0"/>
    <x v="26"/>
    <n v="8"/>
    <m/>
    <n v="147.9"/>
    <n v="26.100000000000005"/>
  </r>
  <r>
    <s v="Backend - OM"/>
    <x v="1"/>
    <s v="Technical task"/>
    <s v="OM-1941"/>
    <s v="OM-1481&gt; Test case design and execution"/>
    <s v="Technical task"/>
    <x v="0"/>
    <d v="2015-11-26T10:01:00"/>
    <x v="8"/>
    <x v="0"/>
    <x v="26"/>
    <n v="1"/>
    <m/>
    <n v="147.9"/>
    <n v="26.100000000000005"/>
  </r>
  <r>
    <s v="Backend - OM"/>
    <x v="2"/>
    <s v="New Feature"/>
    <s v="OM-1948"/>
    <s v="RX Lens Lab Allocation"/>
    <s v="New Feature"/>
    <x v="0"/>
    <d v="2015-11-30T11:03:00"/>
    <x v="8"/>
    <x v="0"/>
    <x v="16"/>
    <n v="5"/>
    <m/>
    <n v="147.9"/>
    <n v="26.100000000000005"/>
  </r>
  <r>
    <s v="Backend - OM"/>
    <x v="2"/>
    <s v="New Feature"/>
    <s v="OM-1959"/>
    <s v="Final Price Refreshment"/>
    <s v="New Feature"/>
    <x v="0"/>
    <d v="2015-10-20T09:55:00"/>
    <x v="5"/>
    <x v="0"/>
    <x v="27"/>
    <n v="4"/>
    <m/>
    <n v="127.5"/>
    <n v="22.500000000000004"/>
  </r>
  <r>
    <s v="Backend - OM"/>
    <x v="2"/>
    <s v="New Feature"/>
    <s v="OM-1959"/>
    <s v="Final Price Refreshment"/>
    <s v="New Feature"/>
    <x v="0"/>
    <d v="2015-10-21T09:56:00"/>
    <x v="5"/>
    <x v="0"/>
    <x v="27"/>
    <n v="5"/>
    <m/>
    <n v="127.5"/>
    <n v="22.500000000000004"/>
  </r>
  <r>
    <s v="Backend - OM"/>
    <x v="2"/>
    <s v="New Feature"/>
    <s v="OM-1959"/>
    <s v="Final Price Refreshment"/>
    <s v="New Feature"/>
    <x v="0"/>
    <d v="2015-10-22T09:56:00"/>
    <x v="5"/>
    <x v="0"/>
    <x v="27"/>
    <n v="6"/>
    <m/>
    <n v="127.5"/>
    <n v="22.500000000000004"/>
  </r>
  <r>
    <s v="Backend - OM"/>
    <x v="2"/>
    <s v="New Feature"/>
    <s v="OM-1959"/>
    <s v="Final Price Refreshment"/>
    <s v="New Feature"/>
    <x v="0"/>
    <d v="2015-10-23T09:57:00"/>
    <x v="5"/>
    <x v="0"/>
    <x v="27"/>
    <n v="3"/>
    <m/>
    <n v="127.5"/>
    <n v="22.500000000000004"/>
  </r>
  <r>
    <s v="Backend - OM"/>
    <x v="2"/>
    <s v="New Feature"/>
    <s v="OM-1959"/>
    <s v="Final Price Refreshment"/>
    <s v="New Feature"/>
    <x v="0"/>
    <d v="2015-10-26T18:38:00"/>
    <x v="5"/>
    <x v="0"/>
    <x v="27"/>
    <n v="8"/>
    <m/>
    <n v="127.5"/>
    <n v="22.500000000000004"/>
  </r>
  <r>
    <s v="Backend - OM"/>
    <x v="2"/>
    <s v="New Feature"/>
    <s v="OM-1959"/>
    <s v="Final Price Refreshment"/>
    <s v="New Feature"/>
    <x v="0"/>
    <d v="2015-10-27T17:26:00"/>
    <x v="5"/>
    <x v="0"/>
    <x v="27"/>
    <n v="4"/>
    <m/>
    <n v="127.5"/>
    <n v="22.500000000000004"/>
  </r>
  <r>
    <s v="Backend - OM"/>
    <x v="2"/>
    <s v="New Feature"/>
    <s v="OM-1959"/>
    <s v="Final Price Refreshment"/>
    <s v="New Feature"/>
    <x v="0"/>
    <d v="2015-10-28T17:27:00"/>
    <x v="5"/>
    <x v="0"/>
    <x v="27"/>
    <n v="4"/>
    <m/>
    <n v="127.5"/>
    <n v="22.500000000000004"/>
  </r>
  <r>
    <s v="Backend - OM"/>
    <x v="2"/>
    <s v="New Feature"/>
    <s v="OM-1959"/>
    <s v="Final Price Refreshment"/>
    <s v="New Feature"/>
    <x v="0"/>
    <d v="2015-10-30T17:27:00"/>
    <x v="5"/>
    <x v="0"/>
    <x v="27"/>
    <n v="2"/>
    <m/>
    <n v="127.5"/>
    <n v="22.500000000000004"/>
  </r>
  <r>
    <s v="Backend - OM"/>
    <x v="2"/>
    <s v="New Feature"/>
    <s v="OM-1959"/>
    <s v="Final Price Refreshment"/>
    <s v="New Feature"/>
    <x v="0"/>
    <d v="2015-11-02T17:24:00"/>
    <x v="8"/>
    <x v="0"/>
    <x v="27"/>
    <n v="56"/>
    <m/>
    <n v="147.9"/>
    <n v="26.100000000000005"/>
  </r>
  <r>
    <s v="Backend - OM"/>
    <x v="2"/>
    <s v="New Feature"/>
    <s v="OM-1959"/>
    <s v="Final Price Refreshment"/>
    <s v="New Feature"/>
    <x v="0"/>
    <d v="2015-11-10T12:43:00"/>
    <x v="8"/>
    <x v="0"/>
    <x v="27"/>
    <n v="30"/>
    <m/>
    <n v="147.9"/>
    <n v="26.100000000000005"/>
  </r>
  <r>
    <s v="Backend - OM"/>
    <x v="2"/>
    <s v="New Feature"/>
    <s v="OM-1964"/>
    <s v="Enhance Price Refresh Function to Support Multiple Lines"/>
    <s v="New Feature"/>
    <x v="0"/>
    <d v="2015-10-14T17:46:00"/>
    <x v="5"/>
    <x v="0"/>
    <x v="27"/>
    <n v="2"/>
    <m/>
    <n v="127.5"/>
    <n v="22.500000000000004"/>
  </r>
  <r>
    <s v="Backend - OM"/>
    <x v="2"/>
    <s v="New Feature"/>
    <s v="OM-1964"/>
    <s v="Enhance Price Refresh Function to Support Multiple Lines"/>
    <s v="New Feature"/>
    <x v="0"/>
    <d v="2015-11-06T14:41:00"/>
    <x v="8"/>
    <x v="0"/>
    <x v="27"/>
    <n v="2"/>
    <m/>
    <n v="147.9"/>
    <n v="26.100000000000005"/>
  </r>
  <r>
    <s v="Backend - OM"/>
    <x v="2"/>
    <s v="New Feature"/>
    <s v="OM-1982"/>
    <s v="Product Price Export"/>
    <s v="New Feature"/>
    <x v="0"/>
    <d v="2015-10-22T09:58:00"/>
    <x v="5"/>
    <x v="0"/>
    <x v="27"/>
    <n v="2"/>
    <m/>
    <n v="127.5"/>
    <n v="22.500000000000004"/>
  </r>
  <r>
    <s v="Backend - OM"/>
    <x v="2"/>
    <s v="New Feature"/>
    <s v="OM-1982"/>
    <s v="Product Price Export"/>
    <s v="New Feature"/>
    <x v="0"/>
    <d v="2015-10-23T09:59:00"/>
    <x v="5"/>
    <x v="0"/>
    <x v="27"/>
    <n v="5"/>
    <m/>
    <n v="127.5"/>
    <n v="22.500000000000004"/>
  </r>
  <r>
    <s v="Backend - OM"/>
    <x v="2"/>
    <s v="New Feature"/>
    <s v="OM-1982"/>
    <s v="Product Price Export"/>
    <s v="New Feature"/>
    <x v="0"/>
    <d v="2015-10-27T17:28:00"/>
    <x v="5"/>
    <x v="0"/>
    <x v="27"/>
    <n v="4"/>
    <m/>
    <n v="127.5"/>
    <n v="22.500000000000004"/>
  </r>
  <r>
    <s v="Backend - OM"/>
    <x v="2"/>
    <s v="New Feature"/>
    <s v="OM-1982"/>
    <s v="Product Price Export"/>
    <s v="New Feature"/>
    <x v="0"/>
    <d v="2015-10-28T17:29:00"/>
    <x v="5"/>
    <x v="0"/>
    <x v="27"/>
    <n v="4"/>
    <m/>
    <n v="127.5"/>
    <n v="22.500000000000004"/>
  </r>
  <r>
    <s v="Backend - OM"/>
    <x v="2"/>
    <s v="New Feature"/>
    <s v="OM-1982"/>
    <s v="Product Price Export"/>
    <s v="New Feature"/>
    <x v="0"/>
    <d v="2015-10-30T17:30:00"/>
    <x v="5"/>
    <x v="0"/>
    <x v="27"/>
    <n v="6"/>
    <m/>
    <n v="127.5"/>
    <n v="22.500000000000004"/>
  </r>
  <r>
    <s v="Backend - OM"/>
    <x v="1"/>
    <s v="New Feature"/>
    <s v="OM-1982"/>
    <s v="Product Price Export"/>
    <s v="New Feature"/>
    <x v="0"/>
    <d v="2015-11-19T16:55:00"/>
    <x v="8"/>
    <x v="0"/>
    <x v="1"/>
    <n v="2"/>
    <m/>
    <n v="147.9"/>
    <n v="26.100000000000005"/>
  </r>
  <r>
    <s v="Backend - OM"/>
    <x v="2"/>
    <s v="New Feature"/>
    <s v="OM-1988"/>
    <s v="Product Basic Selling Price Batch Update"/>
    <s v="New Feature"/>
    <x v="0"/>
    <d v="2015-10-07T10:31:00"/>
    <x v="5"/>
    <x v="0"/>
    <x v="27"/>
    <n v="12"/>
    <m/>
    <n v="127.5"/>
    <n v="22.500000000000004"/>
  </r>
  <r>
    <s v="Backend - OM"/>
    <x v="1"/>
    <s v="New Feature"/>
    <s v="OM-1995"/>
    <s v="Product Max Discount Batch Update"/>
    <s v="New Feature"/>
    <x v="0"/>
    <d v="2015-10-06T19:42:00"/>
    <x v="5"/>
    <x v="0"/>
    <x v="1"/>
    <n v="8"/>
    <m/>
    <n v="127.5"/>
    <n v="22.500000000000004"/>
  </r>
  <r>
    <s v="Backend - OM"/>
    <x v="1"/>
    <s v="New Feature"/>
    <s v="OM-1995"/>
    <s v="Product Max Discount Batch Update"/>
    <s v="New Feature"/>
    <x v="0"/>
    <d v="2015-10-08T19:36:00"/>
    <x v="5"/>
    <x v="0"/>
    <x v="1"/>
    <n v="6"/>
    <m/>
    <n v="127.5"/>
    <n v="22.500000000000004"/>
  </r>
  <r>
    <s v="Backend - OM"/>
    <x v="1"/>
    <s v="New Feature"/>
    <s v="OM-1995"/>
    <s v="Product Max Discount Batch Update"/>
    <s v="New Feature"/>
    <x v="0"/>
    <d v="2015-10-15T18:41:00"/>
    <x v="5"/>
    <x v="0"/>
    <x v="1"/>
    <n v="3"/>
    <m/>
    <n v="127.5"/>
    <n v="22.500000000000004"/>
  </r>
  <r>
    <s v="Backend - OM"/>
    <x v="2"/>
    <s v="New Feature"/>
    <s v="OM-1997"/>
    <s v="Add RX Slip ID in Order details page VIEW / EDIT page"/>
    <s v="New Feature"/>
    <x v="0"/>
    <d v="2015-10-19T16:59:00"/>
    <x v="5"/>
    <x v="0"/>
    <x v="20"/>
    <n v="16"/>
    <m/>
    <n v="127.5"/>
    <n v="22.500000000000004"/>
  </r>
  <r>
    <s v="Backend - OM"/>
    <x v="2"/>
    <s v="New Feature"/>
    <s v="OM-1999"/>
    <s v="Batch Update For Product Attributes"/>
    <s v="New Feature"/>
    <x v="0"/>
    <d v="2015-10-05T17:44:00"/>
    <x v="5"/>
    <x v="0"/>
    <x v="27"/>
    <n v="40"/>
    <m/>
    <n v="127.5"/>
    <n v="22.500000000000004"/>
  </r>
  <r>
    <s v="Backend - OM"/>
    <x v="1"/>
    <s v="New Feature"/>
    <s v="OM-1999"/>
    <s v="Batch Update For Product Attributes"/>
    <s v="New Feature"/>
    <x v="0"/>
    <d v="2015-10-09T19:36:00"/>
    <x v="5"/>
    <x v="0"/>
    <x v="1"/>
    <n v="6"/>
    <m/>
    <n v="127.5"/>
    <n v="22.500000000000004"/>
  </r>
  <r>
    <s v="Backend - OM"/>
    <x v="1"/>
    <s v="New Feature"/>
    <s v="OM-1999"/>
    <s v="Batch Update For Product Attributes"/>
    <s v="New Feature"/>
    <x v="0"/>
    <d v="2015-10-14T18:29:00"/>
    <x v="5"/>
    <x v="0"/>
    <x v="1"/>
    <n v="3"/>
    <m/>
    <n v="127.5"/>
    <n v="22.500000000000004"/>
  </r>
  <r>
    <s v="Backend - OM"/>
    <x v="1"/>
    <s v="New Feature"/>
    <s v="OM-1999"/>
    <s v="Batch Update For Product Attributes"/>
    <s v="New Feature"/>
    <x v="0"/>
    <d v="2015-10-15T18:40:00"/>
    <x v="5"/>
    <x v="0"/>
    <x v="1"/>
    <n v="2"/>
    <m/>
    <n v="127.5"/>
    <n v="22.500000000000004"/>
  </r>
  <r>
    <s v="Backend - OM"/>
    <x v="1"/>
    <s v="New Feature"/>
    <s v="OM-1999"/>
    <s v="Batch Update For Product Attributes"/>
    <s v="New Feature"/>
    <x v="0"/>
    <d v="2015-10-16T11:56:00"/>
    <x v="5"/>
    <x v="0"/>
    <x v="1"/>
    <n v="2"/>
    <s v="Solve name updating issue."/>
    <n v="127.5"/>
    <n v="22.500000000000004"/>
  </r>
  <r>
    <s v="Backend - OM"/>
    <x v="1"/>
    <s v="New Feature"/>
    <s v="OM-2008"/>
    <s v="OM BACK-END: FROM MODEL LEVEL TO SIZE LEVEL"/>
    <s v="New Feature"/>
    <x v="0"/>
    <d v="2015-10-28T18:35:00"/>
    <x v="5"/>
    <x v="0"/>
    <x v="8"/>
    <n v="0.5"/>
    <m/>
    <n v="127.5"/>
    <n v="22.500000000000004"/>
  </r>
  <r>
    <s v="Backend - OM"/>
    <x v="2"/>
    <s v="New Feature"/>
    <s v="OM-2008"/>
    <s v="OM BACK-END: FROM MODEL LEVEL TO SIZE LEVEL"/>
    <s v="New Feature"/>
    <x v="0"/>
    <d v="2015-10-29T12:02:00"/>
    <x v="5"/>
    <x v="0"/>
    <x v="20"/>
    <n v="2"/>
    <m/>
    <n v="127.5"/>
    <n v="22.500000000000004"/>
  </r>
  <r>
    <s v="Backend - OM"/>
    <x v="1"/>
    <s v="New Feature"/>
    <s v="OM-2008"/>
    <s v="OM BACK-END: FROM MODEL LEVEL TO SIZE LEVEL"/>
    <s v="New Feature"/>
    <x v="0"/>
    <d v="2015-10-29T12:46:00"/>
    <x v="5"/>
    <x v="0"/>
    <x v="8"/>
    <n v="1"/>
    <m/>
    <n v="127.5"/>
    <n v="22.500000000000004"/>
  </r>
  <r>
    <s v="Backend - OM"/>
    <x v="2"/>
    <s v="New Feature"/>
    <s v="OM-2008"/>
    <s v="OM BACK-END: FROM MODEL LEVEL TO SIZE LEVEL"/>
    <s v="New Feature"/>
    <x v="0"/>
    <d v="2015-11-03T14:48:00"/>
    <x v="8"/>
    <x v="0"/>
    <x v="2"/>
    <n v="8"/>
    <m/>
    <n v="147.9"/>
    <n v="26.100000000000005"/>
  </r>
  <r>
    <s v="Backend - OM"/>
    <x v="1"/>
    <s v="New Feature"/>
    <s v="OM-2008"/>
    <s v="OM BACK-END: FROM MODEL LEVEL TO SIZE LEVEL"/>
    <s v="New Feature"/>
    <x v="0"/>
    <d v="2015-11-04T16:16:00"/>
    <x v="8"/>
    <x v="0"/>
    <x v="8"/>
    <n v="2"/>
    <m/>
    <n v="147.9"/>
    <n v="26.100000000000005"/>
  </r>
  <r>
    <s v="Backend - OM"/>
    <x v="1"/>
    <s v="New Feature"/>
    <s v="OM-2008"/>
    <s v="OM BACK-END: FROM MODEL LEVEL TO SIZE LEVEL"/>
    <s v="New Feature"/>
    <x v="0"/>
    <d v="2015-11-05T17:35:00"/>
    <x v="8"/>
    <x v="0"/>
    <x v="8"/>
    <n v="1.5"/>
    <m/>
    <n v="147.9"/>
    <n v="26.100000000000005"/>
  </r>
  <r>
    <s v="Backend - OM"/>
    <x v="2"/>
    <s v="New Feature"/>
    <s v="OM-2008"/>
    <s v="OM BACK-END: FROM MODEL LEVEL TO SIZE LEVEL"/>
    <s v="New Feature"/>
    <x v="0"/>
    <d v="2015-11-06T16:36:00"/>
    <x v="8"/>
    <x v="0"/>
    <x v="2"/>
    <n v="6"/>
    <m/>
    <n v="147.9"/>
    <n v="26.100000000000005"/>
  </r>
  <r>
    <s v="Backend - OM"/>
    <x v="2"/>
    <s v="New Feature"/>
    <s v="OM-2008"/>
    <s v="OM BACK-END: FROM MODEL LEVEL TO SIZE LEVEL"/>
    <s v="New Feature"/>
    <x v="0"/>
    <d v="2015-11-11T12:44:00"/>
    <x v="8"/>
    <x v="0"/>
    <x v="20"/>
    <n v="3"/>
    <m/>
    <n v="147.9"/>
    <n v="26.100000000000005"/>
  </r>
  <r>
    <s v="Backend - OM"/>
    <x v="1"/>
    <s v="New Feature"/>
    <s v="OM-2008"/>
    <s v="OM BACK-END: FROM MODEL LEVEL TO SIZE LEVEL"/>
    <s v="New Feature"/>
    <x v="0"/>
    <d v="2015-11-11T19:38:00"/>
    <x v="8"/>
    <x v="0"/>
    <x v="8"/>
    <n v="1"/>
    <m/>
    <n v="147.9"/>
    <n v="26.100000000000005"/>
  </r>
  <r>
    <s v="Backend - OM"/>
    <x v="2"/>
    <s v="New Feature"/>
    <s v="OM-2008"/>
    <s v="OM BACK-END: FROM MODEL LEVEL TO SIZE LEVEL"/>
    <s v="New Feature"/>
    <x v="0"/>
    <d v="2015-11-16T18:14:00"/>
    <x v="8"/>
    <x v="0"/>
    <x v="2"/>
    <n v="3"/>
    <s v="checking code some guys open memcached on this page so which will cause the data incorrectly"/>
    <n v="147.9"/>
    <n v="26.100000000000005"/>
  </r>
  <r>
    <s v="Backend - OM"/>
    <x v="1"/>
    <s v="New Feature"/>
    <s v="OM-2008"/>
    <s v="OM BACK-END: FROM MODEL LEVEL TO SIZE LEVEL"/>
    <s v="New Feature"/>
    <x v="0"/>
    <d v="2015-11-16T18:43:00"/>
    <x v="8"/>
    <x v="0"/>
    <x v="8"/>
    <n v="2"/>
    <m/>
    <n v="147.9"/>
    <n v="26.100000000000005"/>
  </r>
  <r>
    <s v="Backend - OM"/>
    <x v="1"/>
    <s v="New Feature"/>
    <s v="OM-2008"/>
    <s v="OM BACK-END: FROM MODEL LEVEL TO SIZE LEVEL"/>
    <s v="New Feature"/>
    <x v="0"/>
    <d v="2015-11-17T16:05:00"/>
    <x v="8"/>
    <x v="0"/>
    <x v="8"/>
    <n v="2"/>
    <m/>
    <n v="147.9"/>
    <n v="26.100000000000005"/>
  </r>
  <r>
    <s v="Backend - OM"/>
    <x v="2"/>
    <s v="New Feature"/>
    <s v="OM-2014"/>
    <s v="Product RRP Batch Update"/>
    <s v="New Feature"/>
    <x v="0"/>
    <d v="2015-10-12T10:56:00"/>
    <x v="5"/>
    <x v="0"/>
    <x v="27"/>
    <n v="6"/>
    <m/>
    <n v="127.5"/>
    <n v="22.500000000000004"/>
  </r>
  <r>
    <s v="Backend - OM"/>
    <x v="1"/>
    <s v="New Feature"/>
    <s v="OM-2014"/>
    <s v="Product RRP Batch Update"/>
    <s v="New Feature"/>
    <x v="0"/>
    <d v="2015-10-15T18:41:00"/>
    <x v="5"/>
    <x v="0"/>
    <x v="1"/>
    <n v="3"/>
    <m/>
    <n v="127.5"/>
    <n v="22.500000000000004"/>
  </r>
  <r>
    <s v="Backend - OM"/>
    <x v="1"/>
    <s v="New Feature"/>
    <s v="OM-2014"/>
    <s v="Product RRP Batch Update"/>
    <s v="New Feature"/>
    <x v="0"/>
    <d v="2015-10-16T19:37:00"/>
    <x v="5"/>
    <x v="0"/>
    <x v="1"/>
    <n v="6"/>
    <m/>
    <n v="127.5"/>
    <n v="22.500000000000004"/>
  </r>
  <r>
    <s v="Backend - OM"/>
    <x v="2"/>
    <s v="New Feature"/>
    <s v="OM-2019"/>
    <s v="Exchange Rate Maintenance"/>
    <s v="New Feature"/>
    <x v="0"/>
    <d v="2015-11-10T14:38:00"/>
    <x v="8"/>
    <x v="0"/>
    <x v="27"/>
    <n v="8"/>
    <m/>
    <n v="147.9"/>
    <n v="26.100000000000005"/>
  </r>
  <r>
    <s v="Backend - OM"/>
    <x v="2"/>
    <s v="New Feature"/>
    <s v="OM-2019"/>
    <s v="Exchange Rate Maintenance"/>
    <s v="New Feature"/>
    <x v="0"/>
    <d v="2015-11-16T12:44:00"/>
    <x v="8"/>
    <x v="0"/>
    <x v="27"/>
    <n v="20"/>
    <m/>
    <n v="147.9"/>
    <n v="26.100000000000005"/>
  </r>
  <r>
    <s v="Backend - OM"/>
    <x v="1"/>
    <s v="New Feature"/>
    <s v="OM-2035"/>
    <s v="Product Price Multiplier Batch Update"/>
    <s v="New Feature"/>
    <x v="0"/>
    <d v="2015-10-12T18:40:00"/>
    <x v="5"/>
    <x v="0"/>
    <x v="1"/>
    <n v="3"/>
    <m/>
    <n v="127.5"/>
    <n v="22.500000000000004"/>
  </r>
  <r>
    <s v="Backend - OM"/>
    <x v="1"/>
    <s v="New Feature"/>
    <s v="OM-2035"/>
    <s v="Product Price Multiplier Batch Update"/>
    <s v="New Feature"/>
    <x v="0"/>
    <d v="2015-10-13T18:36:00"/>
    <x v="5"/>
    <x v="0"/>
    <x v="1"/>
    <n v="5"/>
    <m/>
    <n v="127.5"/>
    <n v="22.500000000000004"/>
  </r>
  <r>
    <s v="Backend - OM"/>
    <x v="1"/>
    <s v="New Feature"/>
    <s v="OM-2035"/>
    <s v="Product Price Multiplier Batch Update"/>
    <s v="New Feature"/>
    <x v="0"/>
    <d v="2015-10-19T19:37:00"/>
    <x v="5"/>
    <x v="0"/>
    <x v="1"/>
    <n v="4"/>
    <m/>
    <n v="127.5"/>
    <n v="22.500000000000004"/>
  </r>
  <r>
    <s v="Backend - OM"/>
    <x v="1"/>
    <s v="New Feature"/>
    <s v="OM-2035"/>
    <s v="Product Price Multiplier Batch Update"/>
    <s v="New Feature"/>
    <x v="0"/>
    <d v="2015-10-27T19:39:00"/>
    <x v="5"/>
    <x v="0"/>
    <x v="1"/>
    <n v="8"/>
    <m/>
    <n v="127.5"/>
    <n v="22.500000000000004"/>
  </r>
  <r>
    <s v="Backend - OM"/>
    <x v="1"/>
    <s v="New Feature"/>
    <s v="OM-2035"/>
    <s v="Product Price Multiplier Batch Update"/>
    <s v="New Feature"/>
    <x v="0"/>
    <d v="2015-11-02T19:40:00"/>
    <x v="8"/>
    <x v="0"/>
    <x v="1"/>
    <n v="4"/>
    <m/>
    <n v="147.9"/>
    <n v="26.100000000000005"/>
  </r>
  <r>
    <s v="Backend - OM"/>
    <x v="1"/>
    <s v="New Feature"/>
    <s v="OM-2035"/>
    <s v="Product Price Multiplier Batch Update"/>
    <s v="New Feature"/>
    <x v="0"/>
    <d v="2015-11-04T19:41:00"/>
    <x v="8"/>
    <x v="0"/>
    <x v="1"/>
    <n v="4"/>
    <m/>
    <n v="147.9"/>
    <n v="26.100000000000005"/>
  </r>
  <r>
    <s v="Backend - OM"/>
    <x v="1"/>
    <s v="New Feature"/>
    <s v="OM-2035"/>
    <s v="Product Price Multiplier Batch Update"/>
    <s v="New Feature"/>
    <x v="0"/>
    <d v="2015-11-11T19:46:00"/>
    <x v="8"/>
    <x v="0"/>
    <x v="1"/>
    <n v="8"/>
    <m/>
    <n v="147.9"/>
    <n v="26.100000000000005"/>
  </r>
  <r>
    <s v="Backend - OM"/>
    <x v="1"/>
    <s v="New Feature"/>
    <s v="OM-2035"/>
    <s v="Product Price Multiplier Batch Update"/>
    <s v="New Feature"/>
    <x v="0"/>
    <d v="2015-11-13T19:46:00"/>
    <x v="8"/>
    <x v="0"/>
    <x v="1"/>
    <n v="8"/>
    <m/>
    <n v="147.9"/>
    <n v="26.100000000000005"/>
  </r>
  <r>
    <s v="Backend - OM"/>
    <x v="2"/>
    <s v="New Feature"/>
    <s v="OM-2039"/>
    <s v="Separate the Manual Payment Confirmation to an Individual Menu"/>
    <s v="New Feature"/>
    <x v="0"/>
    <d v="2015-10-08T09:58:00"/>
    <x v="5"/>
    <x v="0"/>
    <x v="27"/>
    <n v="5"/>
    <m/>
    <n v="127.5"/>
    <n v="22.500000000000004"/>
  </r>
  <r>
    <s v="Backend - OM"/>
    <x v="1"/>
    <s v="New Feature"/>
    <s v="OM-2039"/>
    <s v="Separate the Manual Payment Confirmation to an Individual Menu"/>
    <s v="New Feature"/>
    <x v="0"/>
    <d v="2015-10-12T16:18:00"/>
    <x v="5"/>
    <x v="0"/>
    <x v="1"/>
    <n v="2"/>
    <m/>
    <n v="127.5"/>
    <n v="22.500000000000004"/>
  </r>
  <r>
    <s v="Backend - OM"/>
    <x v="2"/>
    <s v="New Feature"/>
    <s v="OM-2039"/>
    <s v="Separate the Manual Payment Confirmation to an Individual Menu"/>
    <s v="New Feature"/>
    <x v="0"/>
    <d v="2015-10-19T12:35:00"/>
    <x v="5"/>
    <x v="0"/>
    <x v="27"/>
    <n v="10"/>
    <m/>
    <n v="127.5"/>
    <n v="22.500000000000004"/>
  </r>
  <r>
    <s v="Backend - OM"/>
    <x v="2"/>
    <s v="New Feature"/>
    <s v="OM-2040"/>
    <s v="Auto Responder v2"/>
    <s v="New Feature"/>
    <x v="0"/>
    <d v="2015-10-13T18:51:00"/>
    <x v="5"/>
    <x v="0"/>
    <x v="9"/>
    <n v="1.5"/>
    <s v="familiar with the requirment and time evaluation"/>
    <n v="127.5"/>
    <n v="22.500000000000004"/>
  </r>
  <r>
    <s v="Backend - OM"/>
    <x v="2"/>
    <s v="New Feature"/>
    <s v="OM-2040"/>
    <s v="Auto Responder v2"/>
    <s v="New Feature"/>
    <x v="0"/>
    <d v="2015-10-27T15:49:00"/>
    <x v="5"/>
    <x v="0"/>
    <x v="9"/>
    <n v="6"/>
    <m/>
    <n v="127.5"/>
    <n v="22.500000000000004"/>
  </r>
  <r>
    <s v="Backend - OM"/>
    <x v="2"/>
    <s v="New Feature"/>
    <s v="OM-2040"/>
    <s v="Auto Responder v2"/>
    <s v="New Feature"/>
    <x v="0"/>
    <d v="2015-10-28T15:50:00"/>
    <x v="5"/>
    <x v="0"/>
    <x v="9"/>
    <n v="7"/>
    <m/>
    <n v="127.5"/>
    <n v="22.500000000000004"/>
  </r>
  <r>
    <s v="Backend - OM"/>
    <x v="2"/>
    <s v="New Feature"/>
    <s v="OM-2040"/>
    <s v="Auto Responder v2"/>
    <s v="New Feature"/>
    <x v="0"/>
    <d v="2015-10-29T15:50:00"/>
    <x v="5"/>
    <x v="0"/>
    <x v="9"/>
    <n v="8"/>
    <m/>
    <n v="127.5"/>
    <n v="22.500000000000004"/>
  </r>
  <r>
    <s v="Backend - OM"/>
    <x v="2"/>
    <s v="New Feature"/>
    <s v="OM-2040"/>
    <s v="Auto Responder v2"/>
    <s v="New Feature"/>
    <x v="0"/>
    <d v="2015-11-02T16:20:00"/>
    <x v="8"/>
    <x v="0"/>
    <x v="9"/>
    <n v="4"/>
    <m/>
    <n v="147.9"/>
    <n v="26.100000000000005"/>
  </r>
  <r>
    <s v="Backend - OM"/>
    <x v="2"/>
    <s v="New Feature"/>
    <s v="OM-2040"/>
    <s v="Auto Responder v2"/>
    <s v="New Feature"/>
    <x v="0"/>
    <d v="2015-11-04T15:53:00"/>
    <x v="8"/>
    <x v="0"/>
    <x v="9"/>
    <n v="5"/>
    <m/>
    <n v="147.9"/>
    <n v="26.100000000000005"/>
  </r>
  <r>
    <s v="Backend - OM"/>
    <x v="2"/>
    <s v="New Feature"/>
    <s v="OM-2040"/>
    <s v="Auto Responder v2"/>
    <s v="New Feature"/>
    <x v="0"/>
    <d v="2015-11-07T15:51:00"/>
    <x v="8"/>
    <x v="0"/>
    <x v="9"/>
    <n v="5"/>
    <m/>
    <n v="147.9"/>
    <n v="26.100000000000005"/>
  </r>
  <r>
    <s v="Backend - OM"/>
    <x v="2"/>
    <s v="New Feature"/>
    <s v="OM-2040"/>
    <s v="Auto Responder v2"/>
    <s v="New Feature"/>
    <x v="0"/>
    <d v="2015-11-09T15:52:00"/>
    <x v="8"/>
    <x v="0"/>
    <x v="9"/>
    <n v="6"/>
    <m/>
    <n v="147.9"/>
    <n v="26.100000000000005"/>
  </r>
  <r>
    <s v="Backend - OM"/>
    <x v="2"/>
    <s v="New Feature"/>
    <s v="OM-2040"/>
    <s v="Auto Responder v2"/>
    <s v="New Feature"/>
    <x v="0"/>
    <d v="2015-11-11T15:52:00"/>
    <x v="8"/>
    <x v="0"/>
    <x v="9"/>
    <n v="5"/>
    <m/>
    <n v="147.9"/>
    <n v="26.100000000000005"/>
  </r>
  <r>
    <s v="Backend - OM"/>
    <x v="2"/>
    <s v="New Feature"/>
    <s v="OM-2040"/>
    <s v="Auto Responder v2"/>
    <s v="New Feature"/>
    <x v="0"/>
    <d v="2015-11-12T18:41:00"/>
    <x v="8"/>
    <x v="0"/>
    <x v="9"/>
    <n v="4"/>
    <m/>
    <n v="147.9"/>
    <n v="26.100000000000005"/>
  </r>
  <r>
    <s v="Backend - OM"/>
    <x v="2"/>
    <s v="New Feature"/>
    <s v="OM-2040"/>
    <s v="Auto Responder v2"/>
    <s v="New Feature"/>
    <x v="0"/>
    <d v="2015-11-16T18:56:00"/>
    <x v="8"/>
    <x v="0"/>
    <x v="9"/>
    <n v="6"/>
    <s v="tracking url complete status update / weekly status update email test scan test"/>
    <n v="147.9"/>
    <n v="26.100000000000005"/>
  </r>
  <r>
    <s v="Backend - OM"/>
    <x v="2"/>
    <s v="New Feature"/>
    <s v="OM-2040"/>
    <s v="Auto Responder v2"/>
    <s v="New Feature"/>
    <x v="0"/>
    <d v="2015-11-17T18:04:00"/>
    <x v="8"/>
    <x v="0"/>
    <x v="9"/>
    <n v="5"/>
    <s v="detail complete and test"/>
    <n v="147.9"/>
    <n v="26.100000000000005"/>
  </r>
  <r>
    <s v="Backend - OM"/>
    <x v="2"/>
    <s v="New Feature"/>
    <s v="OM-2040"/>
    <s v="Auto Responder v2"/>
    <s v="New Feature"/>
    <x v="0"/>
    <d v="2015-11-19T16:29:00"/>
    <x v="8"/>
    <x v="0"/>
    <x v="9"/>
    <n v="3"/>
    <m/>
    <n v="147.9"/>
    <n v="26.100000000000005"/>
  </r>
  <r>
    <s v="Backend - OM"/>
    <x v="2"/>
    <s v="New Feature"/>
    <s v="OM-2040"/>
    <s v="Auto Responder v2"/>
    <s v="New Feature"/>
    <x v="0"/>
    <d v="2015-11-20T10:15:00"/>
    <x v="8"/>
    <x v="0"/>
    <x v="9"/>
    <n v="1.5"/>
    <m/>
    <n v="147.9"/>
    <n v="26.100000000000005"/>
  </r>
  <r>
    <s v="Backend - OM"/>
    <x v="2"/>
    <s v="New Feature"/>
    <s v="OM-2040"/>
    <s v="Auto Responder v2"/>
    <s v="New Feature"/>
    <x v="0"/>
    <d v="2015-11-23T18:40:00"/>
    <x v="8"/>
    <x v="0"/>
    <x v="9"/>
    <n v="6"/>
    <s v="1. item delay 2. &quot;wait for status update&quot; change to &quot;backordered&quot; 3. order list sort by status update time 4. other detail update"/>
    <n v="147.9"/>
    <n v="26.100000000000005"/>
  </r>
  <r>
    <s v="Backend - OM"/>
    <x v="2"/>
    <s v="New Feature"/>
    <s v="OM-2040"/>
    <s v="Auto Responder v2"/>
    <s v="New Feature"/>
    <x v="0"/>
    <d v="2015-11-24T18:46:00"/>
    <x v="8"/>
    <x v="0"/>
    <x v="9"/>
    <n v="5"/>
    <m/>
    <n v="147.9"/>
    <n v="26.100000000000005"/>
  </r>
  <r>
    <s v="Backend - OM"/>
    <x v="2"/>
    <s v="New Feature"/>
    <s v="OM-2040"/>
    <s v="Auto Responder v2"/>
    <s v="New Feature"/>
    <x v="0"/>
    <d v="2015-11-25T18:39:00"/>
    <x v="8"/>
    <x v="0"/>
    <x v="9"/>
    <n v="2"/>
    <m/>
    <n v="147.9"/>
    <n v="26.100000000000005"/>
  </r>
  <r>
    <s v="Backend - OM"/>
    <x v="2"/>
    <s v="New Feature"/>
    <s v="OM-2040"/>
    <s v="Auto Responder v2"/>
    <s v="New Feature"/>
    <x v="0"/>
    <d v="2015-11-28T18:53:00"/>
    <x v="8"/>
    <x v="0"/>
    <x v="9"/>
    <n v="2"/>
    <m/>
    <n v="147.9"/>
    <n v="26.100000000000005"/>
  </r>
  <r>
    <s v="Backend - OM"/>
    <x v="2"/>
    <s v="New Feature"/>
    <s v="OM-2041"/>
    <s v="UPS in scanning"/>
    <s v="New Feature"/>
    <x v="0"/>
    <d v="2015-11-05T17:59:00"/>
    <x v="8"/>
    <x v="0"/>
    <x v="9"/>
    <n v="1.5"/>
    <m/>
    <n v="147.9"/>
    <n v="26.100000000000005"/>
  </r>
  <r>
    <s v="Backend - OM"/>
    <x v="2"/>
    <s v="New Feature"/>
    <s v="OM-2041"/>
    <s v="UPS in scanning"/>
    <s v="New Feature"/>
    <x v="0"/>
    <d v="2015-11-07T17:59:00"/>
    <x v="8"/>
    <x v="0"/>
    <x v="9"/>
    <n v="3"/>
    <m/>
    <n v="147.9"/>
    <n v="26.100000000000005"/>
  </r>
  <r>
    <s v="Backend - OM"/>
    <x v="2"/>
    <s v="New Feature"/>
    <s v="OM-2041"/>
    <s v="UPS in scanning"/>
    <s v="New Feature"/>
    <x v="0"/>
    <d v="2015-11-09T17:59:00"/>
    <x v="8"/>
    <x v="0"/>
    <x v="9"/>
    <n v="0.5"/>
    <m/>
    <n v="147.9"/>
    <n v="26.100000000000005"/>
  </r>
  <r>
    <s v="Backend - OM"/>
    <x v="2"/>
    <s v="New Feature"/>
    <s v="OM-2041"/>
    <s v="UPS in scanning"/>
    <s v="New Feature"/>
    <x v="0"/>
    <d v="2015-11-10T17:58:00"/>
    <x v="8"/>
    <x v="0"/>
    <x v="9"/>
    <n v="3"/>
    <m/>
    <n v="147.9"/>
    <n v="26.100000000000005"/>
  </r>
  <r>
    <s v="Backend - OM"/>
    <x v="1"/>
    <s v="New Feature"/>
    <s v="OM-2041"/>
    <s v="UPS in scanning"/>
    <s v="New Feature"/>
    <x v="0"/>
    <d v="2015-11-11T19:38:00"/>
    <x v="8"/>
    <x v="0"/>
    <x v="8"/>
    <n v="2.5"/>
    <m/>
    <n v="147.9"/>
    <n v="26.100000000000005"/>
  </r>
  <r>
    <s v="Backend - OM"/>
    <x v="1"/>
    <s v="New Feature"/>
    <s v="OM-2041"/>
    <s v="UPS in scanning"/>
    <s v="New Feature"/>
    <x v="0"/>
    <d v="2015-11-12T18:15:00"/>
    <x v="8"/>
    <x v="0"/>
    <x v="8"/>
    <n v="2"/>
    <m/>
    <n v="147.9"/>
    <n v="26.100000000000005"/>
  </r>
  <r>
    <s v="Backend - OM"/>
    <x v="2"/>
    <s v="New Feature"/>
    <s v="OM-2041"/>
    <s v="UPS in scanning"/>
    <s v="New Feature"/>
    <x v="0"/>
    <d v="2015-11-28T16:13:00"/>
    <x v="8"/>
    <x v="0"/>
    <x v="9"/>
    <n v="2"/>
    <m/>
    <n v="147.9"/>
    <n v="26.100000000000005"/>
  </r>
  <r>
    <s v="Backend - OM"/>
    <x v="2"/>
    <s v="New Feature"/>
    <s v="OM-2051"/>
    <s v="DHL(XML) - paperless invoice"/>
    <s v="New Feature"/>
    <x v="0"/>
    <d v="2015-11-10T16:11:00"/>
    <x v="8"/>
    <x v="0"/>
    <x v="4"/>
    <n v="20"/>
    <m/>
    <n v="87"/>
    <n v="87"/>
  </r>
  <r>
    <s v="Backend - OM"/>
    <x v="2"/>
    <s v="New Feature"/>
    <s v="OM-2056"/>
    <s v="Role-based Authorization for Payment Manual Confirm"/>
    <s v="New Feature"/>
    <x v="0"/>
    <d v="2015-10-12T17:45:00"/>
    <x v="5"/>
    <x v="0"/>
    <x v="27"/>
    <n v="3"/>
    <m/>
    <n v="127.5"/>
    <n v="22.500000000000004"/>
  </r>
  <r>
    <s v="Backend - OM"/>
    <x v="2"/>
    <s v="New Feature"/>
    <s v="OM-2056"/>
    <s v="Role-based Authorization for Payment Manual Confirm"/>
    <s v="New Feature"/>
    <x v="0"/>
    <d v="2015-10-21T14:39:00"/>
    <x v="5"/>
    <x v="0"/>
    <x v="27"/>
    <n v="3"/>
    <m/>
    <n v="127.5"/>
    <n v="22.500000000000004"/>
  </r>
  <r>
    <s v="Backend - OM"/>
    <x v="2"/>
    <s v="New Feature"/>
    <s v="OM-2057"/>
    <s v="Create Action Log for Manual Process"/>
    <s v="New Feature"/>
    <x v="0"/>
    <d v="2015-10-01T17:51:00"/>
    <x v="5"/>
    <x v="0"/>
    <x v="27"/>
    <n v="4"/>
    <m/>
    <n v="127.5"/>
    <n v="22.500000000000004"/>
  </r>
  <r>
    <s v="Backend - OM"/>
    <x v="2"/>
    <s v="New Feature"/>
    <s v="OM-2057"/>
    <s v="Create Action Log for Manual Process"/>
    <s v="New Feature"/>
    <x v="0"/>
    <d v="2015-10-08T12:34:00"/>
    <x v="5"/>
    <x v="0"/>
    <x v="27"/>
    <n v="7"/>
    <m/>
    <n v="127.5"/>
    <n v="22.500000000000004"/>
  </r>
  <r>
    <s v="Backend - OM"/>
    <x v="1"/>
    <s v="New Feature"/>
    <s v="OM-2059"/>
    <s v="Product Price Mode Batch Update"/>
    <s v="New Feature"/>
    <x v="0"/>
    <d v="2015-10-13T18:36:00"/>
    <x v="5"/>
    <x v="0"/>
    <x v="1"/>
    <n v="3"/>
    <m/>
    <n v="127.5"/>
    <n v="22.500000000000004"/>
  </r>
  <r>
    <s v="Backend - OM"/>
    <x v="1"/>
    <s v="New Feature"/>
    <s v="OM-2059"/>
    <s v="Product Price Mode Batch Update"/>
    <s v="New Feature"/>
    <x v="0"/>
    <d v="2015-10-14T18:30:00"/>
    <x v="5"/>
    <x v="0"/>
    <x v="1"/>
    <n v="5"/>
    <m/>
    <n v="127.5"/>
    <n v="22.500000000000004"/>
  </r>
  <r>
    <s v="Backend - OM"/>
    <x v="1"/>
    <s v="New Feature"/>
    <s v="OM-2059"/>
    <s v="Product Price Mode Batch Update"/>
    <s v="New Feature"/>
    <x v="0"/>
    <d v="2015-10-20T19:38:00"/>
    <x v="5"/>
    <x v="0"/>
    <x v="1"/>
    <n v="8"/>
    <m/>
    <n v="127.5"/>
    <n v="22.500000000000004"/>
  </r>
  <r>
    <s v="Backend - OM"/>
    <x v="1"/>
    <s v="New Feature"/>
    <s v="OM-2059"/>
    <s v="Product Price Mode Batch Update"/>
    <s v="New Feature"/>
    <x v="0"/>
    <d v="2015-10-21T19:38:00"/>
    <x v="5"/>
    <x v="0"/>
    <x v="1"/>
    <n v="8"/>
    <m/>
    <n v="127.5"/>
    <n v="22.500000000000004"/>
  </r>
  <r>
    <s v="Backend - OM"/>
    <x v="1"/>
    <s v="New Feature"/>
    <s v="OM-2059"/>
    <s v="Product Price Mode Batch Update"/>
    <s v="New Feature"/>
    <x v="0"/>
    <d v="2015-10-23T19:38:00"/>
    <x v="5"/>
    <x v="0"/>
    <x v="1"/>
    <n v="8"/>
    <m/>
    <n v="127.5"/>
    <n v="22.500000000000004"/>
  </r>
  <r>
    <s v="Backend - OM"/>
    <x v="1"/>
    <s v="New Feature"/>
    <s v="OM-2059"/>
    <s v="Product Price Mode Batch Update"/>
    <s v="New Feature"/>
    <x v="0"/>
    <d v="2015-10-28T19:39:00"/>
    <x v="5"/>
    <x v="0"/>
    <x v="1"/>
    <n v="8"/>
    <m/>
    <n v="127.5"/>
    <n v="22.500000000000004"/>
  </r>
  <r>
    <s v="Backend - OM"/>
    <x v="1"/>
    <s v="New Feature"/>
    <s v="OM-2059"/>
    <s v="Product Price Mode Batch Update"/>
    <s v="New Feature"/>
    <x v="0"/>
    <d v="2015-11-03T19:40:00"/>
    <x v="8"/>
    <x v="0"/>
    <x v="1"/>
    <n v="8"/>
    <m/>
    <n v="147.9"/>
    <n v="26.100000000000005"/>
  </r>
  <r>
    <s v="Backend - OM"/>
    <x v="1"/>
    <s v="New Feature"/>
    <s v="OM-2059"/>
    <s v="Product Price Mode Batch Update"/>
    <s v="New Feature"/>
    <x v="0"/>
    <d v="2015-11-12T19:46:00"/>
    <x v="8"/>
    <x v="0"/>
    <x v="1"/>
    <n v="8"/>
    <m/>
    <n v="147.9"/>
    <n v="26.100000000000005"/>
  </r>
  <r>
    <s v="Backend - OM"/>
    <x v="1"/>
    <s v="New Feature"/>
    <s v="OM-2059"/>
    <s v="Product Price Mode Batch Update"/>
    <s v="New Feature"/>
    <x v="0"/>
    <d v="2015-11-16T19:46:00"/>
    <x v="8"/>
    <x v="0"/>
    <x v="1"/>
    <n v="8"/>
    <m/>
    <n v="147.9"/>
    <n v="26.100000000000005"/>
  </r>
  <r>
    <s v="Backend - OM"/>
    <x v="2"/>
    <s v="New Feature"/>
    <s v="OM-2059"/>
    <s v="Product Price Mode Batch Update"/>
    <s v="New Feature"/>
    <x v="0"/>
    <d v="2015-11-17T22:58:00"/>
    <x v="8"/>
    <x v="0"/>
    <x v="25"/>
    <n v="24"/>
    <m/>
    <n v="147.9"/>
    <n v="26.100000000000005"/>
  </r>
  <r>
    <s v="Backend - OM"/>
    <x v="2"/>
    <s v="Bugs"/>
    <s v="OM-2076"/>
    <s v="OM-1982&gt; End date's time should be 23:59:59 for Product Price Export"/>
    <s v="Bugs"/>
    <x v="1"/>
    <d v="2015-11-19T09:59:00"/>
    <x v="8"/>
    <x v="0"/>
    <x v="27"/>
    <n v="0.5"/>
    <m/>
    <n v="147.9"/>
    <n v="26.100000000000005"/>
  </r>
  <r>
    <s v="Backend - OM"/>
    <x v="2"/>
    <s v="Technical task"/>
    <s v="OM-2108"/>
    <s v="OM-2035&gt; Price Multilier Batch Update log should contain Brand id, Category id and Country id"/>
    <s v="Technical task"/>
    <x v="0"/>
    <d v="2015-10-13T11:00:00"/>
    <x v="5"/>
    <x v="0"/>
    <x v="27"/>
    <n v="0.5"/>
    <m/>
    <n v="127.5"/>
    <n v="22.500000000000004"/>
  </r>
  <r>
    <s v="Backend - OM"/>
    <x v="2"/>
    <s v="Technical task"/>
    <s v="OM-2117"/>
    <s v="OM-2059&gt; Price Mode Batch Update log should contain Brand id, Category id and Country id"/>
    <s v="Technical task"/>
    <x v="0"/>
    <d v="2015-10-13T11:33:00"/>
    <x v="5"/>
    <x v="0"/>
    <x v="27"/>
    <n v="0.5"/>
    <m/>
    <n v="127.5"/>
    <n v="22.500000000000004"/>
  </r>
  <r>
    <s v="Backend - OM"/>
    <x v="2"/>
    <s v="Improvement"/>
    <s v="OM-2123"/>
    <s v="Project Management for Batch Process Enhancement"/>
    <s v="Improvement"/>
    <x v="0"/>
    <d v="2015-10-20T18:17:00"/>
    <x v="5"/>
    <x v="0"/>
    <x v="25"/>
    <n v="14"/>
    <m/>
    <n v="127.5"/>
    <n v="22.500000000000004"/>
  </r>
  <r>
    <s v="Backend - OM"/>
    <x v="2"/>
    <s v="Task"/>
    <s v="OM-2130"/>
    <s v="verify if image URLs on data feed are accessible"/>
    <s v="Task"/>
    <x v="0"/>
    <d v="2015-11-11T10:10:00"/>
    <x v="8"/>
    <x v="0"/>
    <x v="16"/>
    <n v="4"/>
    <m/>
    <n v="147.9"/>
    <n v="26.100000000000005"/>
  </r>
  <r>
    <s v="Backend - OM"/>
    <x v="2"/>
    <s v="Improvement"/>
    <s v="OM-2186"/>
    <s v="EDM Generator - Second Banner"/>
    <s v="Improvement"/>
    <x v="0"/>
    <d v="2015-10-14T19:27:00"/>
    <x v="5"/>
    <x v="0"/>
    <x v="9"/>
    <n v="2"/>
    <m/>
    <n v="127.5"/>
    <n v="22.500000000000004"/>
  </r>
  <r>
    <s v="Backend - OM"/>
    <x v="2"/>
    <s v="Improvement"/>
    <s v="OM-2186"/>
    <s v="EDM Generator - Second Banner"/>
    <s v="Improvement"/>
    <x v="0"/>
    <d v="2015-10-16T17:23:00"/>
    <x v="5"/>
    <x v="0"/>
    <x v="20"/>
    <n v="3"/>
    <m/>
    <n v="127.5"/>
    <n v="22.500000000000004"/>
  </r>
  <r>
    <s v="Backend - OM"/>
    <x v="2"/>
    <s v="Improvement"/>
    <s v="OM-2186"/>
    <s v="EDM Generator - Second Banner"/>
    <s v="Improvement"/>
    <x v="0"/>
    <d v="2015-11-05T18:54:00"/>
    <x v="8"/>
    <x v="0"/>
    <x v="9"/>
    <n v="1.5"/>
    <s v="add the banner2 for EDM"/>
    <n v="147.9"/>
    <n v="26.100000000000005"/>
  </r>
  <r>
    <s v="Backend - OM"/>
    <x v="2"/>
    <s v="Improvement"/>
    <s v="OM-2186"/>
    <s v="EDM Generator - Second Banner"/>
    <s v="Improvement"/>
    <x v="0"/>
    <d v="2015-11-13T16:40:00"/>
    <x v="8"/>
    <x v="0"/>
    <x v="9"/>
    <n v="3"/>
    <m/>
    <n v="147.9"/>
    <n v="26.100000000000005"/>
  </r>
  <r>
    <s v="Backend - OM"/>
    <x v="2"/>
    <s v="New Feature"/>
    <s v="OM-2208"/>
    <s v="To create a share service to exchange data with other systems"/>
    <s v="New Feature"/>
    <x v="0"/>
    <d v="2015-11-20T15:08:00"/>
    <x v="8"/>
    <x v="0"/>
    <x v="16"/>
    <n v="13"/>
    <m/>
    <n v="147.9"/>
    <n v="26.100000000000005"/>
  </r>
  <r>
    <s v="Backend - OM"/>
    <x v="2"/>
    <s v="New Feature"/>
    <s v="OM-2208"/>
    <s v="To create a share service to exchange data with other systems"/>
    <s v="New Feature"/>
    <x v="0"/>
    <d v="2015-11-23T15:08:00"/>
    <x v="8"/>
    <x v="0"/>
    <x v="16"/>
    <n v="3"/>
    <m/>
    <n v="147.9"/>
    <n v="26.100000000000005"/>
  </r>
  <r>
    <s v="Backend - OM"/>
    <x v="2"/>
    <s v="New Feature"/>
    <s v="OM-2208"/>
    <s v="To create a share service to exchange data with other systems"/>
    <s v="New Feature"/>
    <x v="0"/>
    <d v="2015-11-24T15:09:00"/>
    <x v="8"/>
    <x v="0"/>
    <x v="16"/>
    <n v="7"/>
    <m/>
    <n v="147.9"/>
    <n v="26.100000000000005"/>
  </r>
  <r>
    <s v="Backend - OM"/>
    <x v="2"/>
    <s v="New Feature"/>
    <s v="OM-2208"/>
    <s v="To create a share service to exchange data with other systems"/>
    <s v="New Feature"/>
    <x v="0"/>
    <d v="2015-11-25T15:09:00"/>
    <x v="8"/>
    <x v="0"/>
    <x v="16"/>
    <n v="6"/>
    <m/>
    <n v="147.9"/>
    <n v="26.100000000000005"/>
  </r>
  <r>
    <s v="SBG Quality Assurance"/>
    <x v="1"/>
    <s v="Task"/>
    <s v="QA-180"/>
    <s v="Work Log 2015 Candy Gan"/>
    <s v="Task"/>
    <x v="0"/>
    <d v="2015-10-07T16:29:00"/>
    <x v="5"/>
    <x v="0"/>
    <x v="1"/>
    <n v="2"/>
    <m/>
    <n v="127.5"/>
    <n v="22.500000000000004"/>
  </r>
  <r>
    <s v="SBG Quality Assurance"/>
    <x v="1"/>
    <s v="Task"/>
    <s v="QA-180"/>
    <s v="Work Log 2015 Candy Gan"/>
    <s v="Task"/>
    <x v="0"/>
    <d v="2015-10-09T12:08:00"/>
    <x v="5"/>
    <x v="0"/>
    <x v="1"/>
    <n v="1"/>
    <m/>
    <n v="127.5"/>
    <n v="22.500000000000004"/>
  </r>
  <r>
    <s v="SBG Quality Assurance"/>
    <x v="1"/>
    <s v="Task"/>
    <s v="QA-196"/>
    <s v="work log 2015"/>
    <s v="Task"/>
    <x v="0"/>
    <d v="2015-10-07T17:48:00"/>
    <x v="5"/>
    <x v="0"/>
    <x v="8"/>
    <n v="2"/>
    <s v="1. meeting 2. other things"/>
    <n v="127.5"/>
    <n v="22.500000000000004"/>
  </r>
  <r>
    <s v="SBG Quality Assurance"/>
    <x v="1"/>
    <s v="Task"/>
    <s v="QA-196"/>
    <s v="work log 2015"/>
    <s v="Task"/>
    <x v="0"/>
    <d v="2015-10-08T18:45:00"/>
    <x v="5"/>
    <x v="0"/>
    <x v="8"/>
    <n v="1"/>
    <m/>
    <n v="127.5"/>
    <n v="22.500000000000004"/>
  </r>
  <r>
    <s v="SBG Quality Assurance"/>
    <x v="1"/>
    <s v="Task"/>
    <s v="QA-196"/>
    <s v="work log 2015"/>
    <s v="Task"/>
    <x v="0"/>
    <d v="2015-10-09T18:46:00"/>
    <x v="5"/>
    <x v="0"/>
    <x v="8"/>
    <n v="8"/>
    <m/>
    <n v="127.5"/>
    <n v="22.500000000000004"/>
  </r>
  <r>
    <s v="SBG Quality Assurance"/>
    <x v="1"/>
    <s v="Task"/>
    <s v="QA-196"/>
    <s v="work log 2015"/>
    <s v="Task"/>
    <x v="0"/>
    <d v="2015-10-12T18:41:00"/>
    <x v="5"/>
    <x v="0"/>
    <x v="8"/>
    <n v="3"/>
    <s v="1. meeting 2. other things"/>
    <n v="127.5"/>
    <n v="22.500000000000004"/>
  </r>
  <r>
    <s v="SBG Quality Assurance"/>
    <x v="1"/>
    <s v="Task"/>
    <s v="QA-196"/>
    <s v="work log 2015"/>
    <s v="Task"/>
    <x v="0"/>
    <d v="2015-10-13T18:41:00"/>
    <x v="5"/>
    <x v="0"/>
    <x v="8"/>
    <n v="2"/>
    <m/>
    <n v="127.5"/>
    <n v="22.500000000000004"/>
  </r>
  <r>
    <s v="SBG Quality Assurance"/>
    <x v="1"/>
    <s v="Task"/>
    <s v="QA-196"/>
    <s v="work log 2015"/>
    <s v="Task"/>
    <x v="0"/>
    <d v="2015-10-14T18:31:00"/>
    <x v="5"/>
    <x v="0"/>
    <x v="8"/>
    <n v="3.5"/>
    <s v="meeting other things"/>
    <n v="127.5"/>
    <n v="22.500000000000004"/>
  </r>
  <r>
    <s v="SBG Quality Assurance"/>
    <x v="1"/>
    <s v="Task"/>
    <s v="QA-196"/>
    <s v="work log 2015"/>
    <s v="Task"/>
    <x v="0"/>
    <d v="2015-10-15T18:34:00"/>
    <x v="5"/>
    <x v="0"/>
    <x v="8"/>
    <n v="2.5"/>
    <s v="meeting other things"/>
    <n v="127.5"/>
    <n v="22.500000000000004"/>
  </r>
  <r>
    <s v="SBG Quality Assurance"/>
    <x v="1"/>
    <s v="Task"/>
    <s v="QA-196"/>
    <s v="work log 2015"/>
    <s v="Task"/>
    <x v="0"/>
    <d v="2015-10-16T18:40:00"/>
    <x v="5"/>
    <x v="0"/>
    <x v="8"/>
    <n v="1.5"/>
    <m/>
    <n v="127.5"/>
    <n v="22.500000000000004"/>
  </r>
  <r>
    <s v="SBG Quality Assurance"/>
    <x v="1"/>
    <s v="Task"/>
    <s v="QA-196"/>
    <s v="work log 2015"/>
    <s v="Task"/>
    <x v="0"/>
    <d v="2015-10-19T18:17:00"/>
    <x v="5"/>
    <x v="0"/>
    <x v="8"/>
    <n v="1"/>
    <s v="meeting other things"/>
    <n v="127.5"/>
    <n v="22.500000000000004"/>
  </r>
  <r>
    <s v="SBG Quality Assurance"/>
    <x v="1"/>
    <s v="Task"/>
    <s v="QA-196"/>
    <s v="work log 2015"/>
    <s v="Task"/>
    <x v="0"/>
    <d v="2015-10-20T17:50:00"/>
    <x v="5"/>
    <x v="0"/>
    <x v="8"/>
    <n v="2"/>
    <s v="1.meetings 2.other things"/>
    <n v="127.5"/>
    <n v="22.500000000000004"/>
  </r>
  <r>
    <s v="SBG Quality Assurance"/>
    <x v="1"/>
    <s v="Task"/>
    <s v="QA-196"/>
    <s v="work log 2015"/>
    <s v="Task"/>
    <x v="0"/>
    <d v="2015-10-21T18:44:00"/>
    <x v="5"/>
    <x v="0"/>
    <x v="8"/>
    <n v="1"/>
    <s v="meeting other things"/>
    <n v="127.5"/>
    <n v="22.500000000000004"/>
  </r>
  <r>
    <s v="SBG Quality Assurance"/>
    <x v="1"/>
    <s v="Task"/>
    <s v="QA-196"/>
    <s v="work log 2015"/>
    <s v="Task"/>
    <x v="0"/>
    <d v="2015-10-22T13:30:00"/>
    <x v="5"/>
    <x v="0"/>
    <x v="8"/>
    <n v="2"/>
    <s v="publish"/>
    <n v="127.5"/>
    <n v="22.500000000000004"/>
  </r>
  <r>
    <s v="SBG Quality Assurance"/>
    <x v="1"/>
    <s v="Task"/>
    <s v="QA-196"/>
    <s v="work log 2015"/>
    <s v="Task"/>
    <x v="0"/>
    <d v="2015-10-27T19:49:00"/>
    <x v="5"/>
    <x v="0"/>
    <x v="8"/>
    <n v="3"/>
    <s v="meeting help to check payment on live after release"/>
    <n v="127.5"/>
    <n v="22.500000000000004"/>
  </r>
  <r>
    <s v="SBG Quality Assurance"/>
    <x v="1"/>
    <s v="Task"/>
    <s v="QA-196"/>
    <s v="work log 2015"/>
    <s v="Task"/>
    <x v="0"/>
    <d v="2015-10-28T18:35:00"/>
    <x v="5"/>
    <x v="0"/>
    <x v="8"/>
    <n v="1"/>
    <s v="meeting other things"/>
    <n v="127.5"/>
    <n v="22.500000000000004"/>
  </r>
  <r>
    <s v="SBG Quality Assurance"/>
    <x v="1"/>
    <s v="Task"/>
    <s v="QA-196"/>
    <s v="work log 2015"/>
    <s v="Task"/>
    <x v="0"/>
    <d v="2015-10-29T18:31:00"/>
    <x v="5"/>
    <x v="0"/>
    <x v="8"/>
    <n v="2"/>
    <s v="1. project training meeting 2. other things"/>
    <n v="127.5"/>
    <n v="22.500000000000004"/>
  </r>
  <r>
    <s v="SBG Quality Assurance"/>
    <x v="1"/>
    <s v="Task"/>
    <s v="QA-196"/>
    <s v="work log 2015"/>
    <s v="Task"/>
    <x v="0"/>
    <d v="2015-10-30T18:36:00"/>
    <x v="5"/>
    <x v="0"/>
    <x v="8"/>
    <n v="1.5"/>
    <s v="1. meeting 2. birthday party 3. other thing"/>
    <n v="127.5"/>
    <n v="22.500000000000004"/>
  </r>
  <r>
    <s v="SBG Quality Assurance"/>
    <x v="1"/>
    <s v="Task"/>
    <s v="QA-196"/>
    <s v="work log 2015"/>
    <s v="Task"/>
    <x v="0"/>
    <d v="2015-11-02T18:43:00"/>
    <x v="8"/>
    <x v="0"/>
    <x v="8"/>
    <n v="2.5"/>
    <s v="1. kickoff document writing 2. discussion with back-end 3. other things"/>
    <n v="147.9"/>
    <n v="26.100000000000005"/>
  </r>
  <r>
    <s v="SBG Quality Assurance"/>
    <x v="1"/>
    <s v="Task"/>
    <s v="QA-196"/>
    <s v="work log 2015"/>
    <s v="Task"/>
    <x v="0"/>
    <d v="2015-11-03T18:35:00"/>
    <x v="8"/>
    <x v="0"/>
    <x v="8"/>
    <n v="3"/>
    <s v="1. project training 2. kickoff meeting 3. other thing"/>
    <n v="147.9"/>
    <n v="26.100000000000005"/>
  </r>
  <r>
    <s v="SBG Quality Assurance"/>
    <x v="1"/>
    <s v="Task"/>
    <s v="QA-196"/>
    <s v="work log 2015"/>
    <s v="Task"/>
    <x v="0"/>
    <d v="2015-11-06T19:30:00"/>
    <x v="8"/>
    <x v="0"/>
    <x v="8"/>
    <n v="1.5"/>
    <s v="1. Pimcore training 2. Registration for mobile 3. other thing"/>
    <n v="147.9"/>
    <n v="26.100000000000005"/>
  </r>
  <r>
    <s v="SBG Quality Assurance"/>
    <x v="1"/>
    <s v="Task"/>
    <s v="QA-196"/>
    <s v="work log 2015"/>
    <s v="Task"/>
    <x v="0"/>
    <d v="2015-11-09T18:39:00"/>
    <x v="8"/>
    <x v="0"/>
    <x v="8"/>
    <n v="2"/>
    <s v="1. discussion with YJ on mobile 2. other things"/>
    <n v="147.9"/>
    <n v="26.100000000000005"/>
  </r>
  <r>
    <s v="SBG Quality Assurance"/>
    <x v="1"/>
    <s v="Task"/>
    <s v="QA-196"/>
    <s v="work log 2015"/>
    <s v="Task"/>
    <x v="0"/>
    <d v="2015-11-10T18:42:00"/>
    <x v="8"/>
    <x v="0"/>
    <x v="8"/>
    <n v="1.5"/>
    <s v="1. help to check payment on live after front-end released 2. other things"/>
    <n v="147.9"/>
    <n v="26.100000000000005"/>
  </r>
  <r>
    <s v="SBG Quality Assurance"/>
    <x v="1"/>
    <s v="Task"/>
    <s v="QA-196"/>
    <s v="work log 2015"/>
    <s v="Task"/>
    <x v="0"/>
    <d v="2015-11-11T19:39:00"/>
    <x v="8"/>
    <x v="0"/>
    <x v="8"/>
    <n v="0.5"/>
    <s v="meeting"/>
    <n v="147.9"/>
    <n v="26.100000000000005"/>
  </r>
  <r>
    <s v="SBG Quality Assurance"/>
    <x v="1"/>
    <s v="Task"/>
    <s v="QA-196"/>
    <s v="work log 2015"/>
    <s v="Task"/>
    <x v="0"/>
    <d v="2015-11-12T18:30:00"/>
    <x v="8"/>
    <x v="0"/>
    <x v="8"/>
    <n v="1.5"/>
    <s v="1. meeting 2. mobile registration 3. other things"/>
    <n v="147.9"/>
    <n v="26.100000000000005"/>
  </r>
  <r>
    <s v="SBG Quality Assurance"/>
    <x v="1"/>
    <s v="Task"/>
    <s v="QA-196"/>
    <s v="work log 2015"/>
    <s v="Task"/>
    <x v="0"/>
    <d v="2015-11-13T18:42:00"/>
    <x v="8"/>
    <x v="0"/>
    <x v="8"/>
    <n v="3.5"/>
    <s v="1. per talk with Allen 2. farewell party 3. other things"/>
    <n v="147.9"/>
    <n v="26.100000000000005"/>
  </r>
  <r>
    <s v="SBG Quality Assurance"/>
    <x v="1"/>
    <s v="Task"/>
    <s v="QA-196"/>
    <s v="work log 2015"/>
    <s v="Task"/>
    <x v="0"/>
    <d v="2015-11-16T18:45:00"/>
    <x v="8"/>
    <x v="0"/>
    <x v="8"/>
    <n v="1.5"/>
    <s v="1. meeting 2. other things"/>
    <n v="147.9"/>
    <n v="26.100000000000005"/>
  </r>
  <r>
    <s v="SBG Quality Assurance"/>
    <x v="1"/>
    <s v="Task"/>
    <s v="QA-196"/>
    <s v="work log 2015"/>
    <s v="Task"/>
    <x v="0"/>
    <d v="2015-11-17T18:54:00"/>
    <x v="8"/>
    <x v="0"/>
    <x v="8"/>
    <n v="2"/>
    <s v="1. discuss with SC and PM on discontinued jira 2. other things"/>
    <n v="147.9"/>
    <n v="26.100000000000005"/>
  </r>
  <r>
    <s v="SBG Quality Assurance"/>
    <x v="1"/>
    <s v="Task"/>
    <s v="QA-196"/>
    <s v="work log 2015"/>
    <s v="Task"/>
    <x v="0"/>
    <d v="2015-11-19T18:34:00"/>
    <x v="8"/>
    <x v="0"/>
    <x v="8"/>
    <n v="2.5"/>
    <s v="1. requirement discussion 2. meeting"/>
    <n v="147.9"/>
    <n v="26.100000000000005"/>
  </r>
  <r>
    <s v="SBG Quality Assurance"/>
    <x v="1"/>
    <s v="Task"/>
    <s v="QA-196"/>
    <s v="work log 2015"/>
    <s v="Task"/>
    <x v="0"/>
    <d v="2015-11-20T18:49:00"/>
    <x v="8"/>
    <x v="0"/>
    <x v="8"/>
    <n v="1"/>
    <s v="1.meeting 2.other things"/>
    <n v="147.9"/>
    <n v="26.100000000000005"/>
  </r>
  <r>
    <s v="SBG Quality Assurance"/>
    <x v="1"/>
    <s v="Task"/>
    <s v="QA-196"/>
    <s v="work log 2015"/>
    <s v="Task"/>
    <x v="0"/>
    <d v="2015-11-24T19:03:00"/>
    <x v="8"/>
    <x v="0"/>
    <x v="8"/>
    <n v="2"/>
    <s v="1. IT meeting 2. QA meeting 3. other things"/>
    <n v="147.9"/>
    <n v="26.100000000000005"/>
  </r>
  <r>
    <s v="SBG Quality Assurance"/>
    <x v="1"/>
    <s v="Task"/>
    <s v="QA-196"/>
    <s v="work log 2015"/>
    <s v="Task"/>
    <x v="0"/>
    <d v="2015-11-25T18:00:00"/>
    <x v="8"/>
    <x v="0"/>
    <x v="8"/>
    <n v="3"/>
    <s v="1. QA meeting 2. help Italy fix scan issue online"/>
    <n v="147.9"/>
    <n v="26.100000000000005"/>
  </r>
  <r>
    <s v="SBG Quality Assurance"/>
    <x v="1"/>
    <s v="Task"/>
    <s v="QA-196"/>
    <s v="work log 2015"/>
    <s v="Task"/>
    <x v="0"/>
    <d v="2015-11-26T18:36:00"/>
    <x v="8"/>
    <x v="0"/>
    <x v="8"/>
    <n v="1"/>
    <s v="1. farewell 2. other thing"/>
    <n v="147.9"/>
    <n v="26.100000000000005"/>
  </r>
  <r>
    <s v="SBG Quality Assurance"/>
    <x v="1"/>
    <s v="Task"/>
    <s v="QA-196"/>
    <s v="work log 2015"/>
    <s v="Task"/>
    <x v="0"/>
    <d v="2015-11-27T18:36:00"/>
    <x v="8"/>
    <x v="0"/>
    <x v="8"/>
    <n v="2"/>
    <s v="1. help other define the requirement 2. help to check live server 3. other thing"/>
    <n v="147.9"/>
    <n v="26.100000000000005"/>
  </r>
  <r>
    <s v="SBG Quality Assurance"/>
    <x v="1"/>
    <s v="Task"/>
    <s v="QA-196"/>
    <s v="work log 2015"/>
    <s v="Task"/>
    <x v="0"/>
    <d v="2015-11-30T22:05:00"/>
    <x v="8"/>
    <x v="0"/>
    <x v="8"/>
    <n v="2"/>
    <s v="1. meeting 2. other thing"/>
    <n v="147.9"/>
    <n v="26.100000000000005"/>
  </r>
  <r>
    <s v="SBG Quality Assurance"/>
    <x v="1"/>
    <s v="Task"/>
    <s v="QA-213"/>
    <s v="Work log 2015 Oct. to Dec. Candy Gan"/>
    <s v="Task"/>
    <x v="0"/>
    <d v="2015-10-12T10:37:00"/>
    <x v="5"/>
    <x v="0"/>
    <x v="1"/>
    <n v="1"/>
    <m/>
    <n v="127.5"/>
    <n v="22.500000000000004"/>
  </r>
  <r>
    <s v="SBG Quality Assurance"/>
    <x v="1"/>
    <s v="Task"/>
    <s v="QA-213"/>
    <s v="Work log 2015 Oct. to Dec. Candy Gan"/>
    <s v="Task"/>
    <x v="0"/>
    <d v="2015-10-13T18:37:00"/>
    <x v="5"/>
    <x v="0"/>
    <x v="1"/>
    <n v="0.5"/>
    <m/>
    <n v="127.5"/>
    <n v="22.500000000000004"/>
  </r>
  <r>
    <s v="SBG Quality Assurance"/>
    <x v="1"/>
    <s v="Task"/>
    <s v="QA-213"/>
    <s v="Work log 2015 Oct. to Dec. Candy Gan"/>
    <s v="Task"/>
    <x v="0"/>
    <d v="2015-10-14T10:23:00"/>
    <x v="5"/>
    <x v="0"/>
    <x v="1"/>
    <n v="0.5"/>
    <m/>
    <n v="127.5"/>
    <n v="22.500000000000004"/>
  </r>
  <r>
    <s v="SBG Quality Assurance"/>
    <x v="1"/>
    <s v="Task"/>
    <s v="QA-213"/>
    <s v="Work log 2015 Oct. to Dec. Candy Gan"/>
    <s v="Task"/>
    <x v="0"/>
    <d v="2015-10-19T18:38:00"/>
    <x v="5"/>
    <x v="0"/>
    <x v="1"/>
    <n v="1"/>
    <m/>
    <n v="127.5"/>
    <n v="22.500000000000004"/>
  </r>
  <r>
    <s v="SBG Quality Assurance"/>
    <x v="1"/>
    <s v="Task"/>
    <s v="QA-220"/>
    <s v="Test new SSL against production"/>
    <s v="Task"/>
    <x v="0"/>
    <d v="2015-11-16T17:30:00"/>
    <x v="8"/>
    <x v="0"/>
    <x v="8"/>
    <n v="2.5"/>
    <m/>
    <n v="147.9"/>
    <n v="26.100000000000005"/>
  </r>
  <r>
    <s v="SBG Quality Assurance"/>
    <x v="1"/>
    <s v="Task"/>
    <s v="QA-221"/>
    <s v="1124release"/>
    <s v="Task"/>
    <x v="0"/>
    <d v="2015-11-24T15:01:00"/>
    <x v="8"/>
    <x v="0"/>
    <x v="26"/>
    <n v="3"/>
    <m/>
    <n v="147.9"/>
    <n v="26.100000000000005"/>
  </r>
  <r>
    <s v="SBG Quality Assurance"/>
    <x v="1"/>
    <s v="Improvement"/>
    <s v="QA-222"/>
    <s v="End to end test case regular execution on aws."/>
    <s v="Improvement"/>
    <x v="0"/>
    <d v="2015-11-24T10:21:00"/>
    <x v="8"/>
    <x v="0"/>
    <x v="26"/>
    <n v="8"/>
    <m/>
    <n v="147.9"/>
    <n v="26.100000000000005"/>
  </r>
  <r>
    <s v="SBG Quality Assurance"/>
    <x v="1"/>
    <s v="Task"/>
    <s v="QA-224"/>
    <s v="1126Relase"/>
    <s v="Task"/>
    <x v="0"/>
    <d v="2015-11-20T08:09:00"/>
    <x v="8"/>
    <x v="0"/>
    <x v="21"/>
    <n v="8"/>
    <m/>
    <n v="147.9"/>
    <n v="26.100000000000005"/>
  </r>
  <r>
    <s v="SBG Quality Assurance"/>
    <x v="1"/>
    <s v="Task"/>
    <s v="QA-224"/>
    <s v="1126Relase"/>
    <s v="Task"/>
    <x v="0"/>
    <d v="2015-11-26T12:29:00"/>
    <x v="8"/>
    <x v="0"/>
    <x v="21"/>
    <n v="5"/>
    <m/>
    <n v="147.9"/>
    <n v="26.100000000000005"/>
  </r>
  <r>
    <s v="SBG Quality Assurance"/>
    <x v="1"/>
    <s v="Sub-task"/>
    <s v="QA-226"/>
    <s v="QA-224&gt; Prod testing"/>
    <s v="Sub-task"/>
    <x v="0"/>
    <d v="2015-11-26T12:32:00"/>
    <x v="8"/>
    <x v="0"/>
    <x v="21"/>
    <n v="3"/>
    <m/>
    <n v="147.9"/>
    <n v="26.100000000000005"/>
  </r>
  <r>
    <s v="SBG Quality Assurance"/>
    <x v="1"/>
    <s v="Sub-task"/>
    <s v="QA-231"/>
    <s v="QA-224&gt; Prod testing"/>
    <s v="Sub-task"/>
    <x v="0"/>
    <d v="2015-11-26T12:33:00"/>
    <x v="8"/>
    <x v="0"/>
    <x v="1"/>
    <n v="3"/>
    <m/>
    <n v="147.9"/>
    <n v="26.100000000000005"/>
  </r>
  <r>
    <s v="SBG Quality Assurance"/>
    <x v="1"/>
    <s v="Sub-task"/>
    <s v="QA-232"/>
    <s v="QA-224&gt; Prod testing"/>
    <s v="Sub-task"/>
    <x v="0"/>
    <d v="2015-11-26T11:20:00"/>
    <x v="8"/>
    <x v="0"/>
    <x v="26"/>
    <n v="1"/>
    <m/>
    <n v="147.9"/>
    <n v="26.100000000000005"/>
  </r>
  <r>
    <s v="SBG Quality Assurance"/>
    <x v="1"/>
    <s v="Sub-task"/>
    <s v="QA-232"/>
    <s v="QA-224&gt; Prod testing"/>
    <s v="Sub-task"/>
    <x v="0"/>
    <d v="2015-11-27T13:10:00"/>
    <x v="8"/>
    <x v="0"/>
    <x v="26"/>
    <n v="3"/>
    <m/>
    <n v="147.9"/>
    <n v="26.100000000000005"/>
  </r>
  <r>
    <s v="Backend - Scan"/>
    <x v="2"/>
    <s v="New Feature"/>
    <s v="SCAN-416"/>
    <s v="Fedex's shipment - Digital invoice (paperless)"/>
    <s v="New Feature"/>
    <x v="0"/>
    <d v="2015-10-29T17:10:00"/>
    <x v="5"/>
    <x v="0"/>
    <x v="16"/>
    <n v="8"/>
    <m/>
    <n v="127.5"/>
    <n v="22.500000000000004"/>
  </r>
  <r>
    <s v="Backend - Scan"/>
    <x v="2"/>
    <s v="New Feature"/>
    <s v="SCAN-416"/>
    <s v="Fedex's shipment - Digital invoice (paperless)"/>
    <s v="New Feature"/>
    <x v="0"/>
    <d v="2015-10-30T17:12:00"/>
    <x v="5"/>
    <x v="0"/>
    <x v="16"/>
    <n v="8"/>
    <m/>
    <n v="127.5"/>
    <n v="22.500000000000004"/>
  </r>
  <r>
    <s v="Backend - Scan"/>
    <x v="2"/>
    <s v="New Feature"/>
    <s v="SCAN-416"/>
    <s v="Fedex's shipment - Digital invoice (paperless)"/>
    <s v="New Feature"/>
    <x v="0"/>
    <d v="2015-11-02T18:22:00"/>
    <x v="8"/>
    <x v="0"/>
    <x v="16"/>
    <n v="8"/>
    <m/>
    <n v="147.9"/>
    <n v="26.100000000000005"/>
  </r>
  <r>
    <s v="Backend - Scan"/>
    <x v="2"/>
    <s v="New Feature"/>
    <s v="SCAN-416"/>
    <s v="Fedex's shipment - Digital invoice (paperless)"/>
    <s v="New Feature"/>
    <x v="0"/>
    <d v="2015-11-03T16:25:00"/>
    <x v="8"/>
    <x v="0"/>
    <x v="16"/>
    <n v="8"/>
    <m/>
    <n v="147.9"/>
    <n v="26.100000000000005"/>
  </r>
  <r>
    <s v="Backend - Scan"/>
    <x v="2"/>
    <s v="New Feature"/>
    <s v="SCAN-416"/>
    <s v="Fedex's shipment - Digital invoice (paperless)"/>
    <s v="New Feature"/>
    <x v="0"/>
    <d v="2015-11-04T09:53:00"/>
    <x v="8"/>
    <x v="0"/>
    <x v="16"/>
    <n v="8"/>
    <m/>
    <n v="147.9"/>
    <n v="26.100000000000005"/>
  </r>
  <r>
    <s v="Backend - Scan"/>
    <x v="2"/>
    <s v="New Feature"/>
    <s v="SCAN-416"/>
    <s v="Fedex's shipment - Digital invoice (paperless)"/>
    <s v="New Feature"/>
    <x v="0"/>
    <d v="2015-11-06T10:06:00"/>
    <x v="8"/>
    <x v="0"/>
    <x v="16"/>
    <n v="4"/>
    <m/>
    <n v="147.9"/>
    <n v="26.100000000000005"/>
  </r>
  <r>
    <s v="Backend - Scan"/>
    <x v="2"/>
    <s v="New Feature"/>
    <s v="SCAN-416"/>
    <s v="Fedex's shipment - Digital invoice (paperless)"/>
    <s v="New Feature"/>
    <x v="0"/>
    <d v="2015-11-09T09:58:00"/>
    <x v="8"/>
    <x v="0"/>
    <x v="16"/>
    <n v="4"/>
    <m/>
    <n v="147.9"/>
    <n v="26.100000000000005"/>
  </r>
  <r>
    <s v="Backend - Scan"/>
    <x v="2"/>
    <s v="New Feature"/>
    <s v="SCAN-416"/>
    <s v="Fedex's shipment - Digital invoice (paperless)"/>
    <s v="New Feature"/>
    <x v="0"/>
    <d v="2015-11-26T14:46:00"/>
    <x v="8"/>
    <x v="0"/>
    <x v="16"/>
    <n v="5"/>
    <m/>
    <n v="147.9"/>
    <n v="26.100000000000005"/>
  </r>
  <r>
    <s v="Backend - Scan"/>
    <x v="2"/>
    <s v="New Feature"/>
    <s v="SCAN-416"/>
    <s v="Fedex's shipment - Digital invoice (paperless)"/>
    <s v="New Feature"/>
    <x v="0"/>
    <d v="2015-11-27T09:46:00"/>
    <x v="8"/>
    <x v="0"/>
    <x v="16"/>
    <n v="7.5"/>
    <m/>
    <n v="147.9"/>
    <n v="26.100000000000005"/>
  </r>
  <r>
    <s v="Backend - Scan"/>
    <x v="2"/>
    <s v="Improvement"/>
    <s v="SCAN-432"/>
    <s v="Create Rewards"/>
    <s v="Improvement"/>
    <x v="0"/>
    <d v="2015-10-09T15:28:00"/>
    <x v="5"/>
    <x v="0"/>
    <x v="12"/>
    <n v="24"/>
    <m/>
    <n v="127.5"/>
    <n v="22.500000000000004"/>
  </r>
  <r>
    <s v="Backend - Scan"/>
    <x v="2"/>
    <s v="New Feature"/>
    <s v="SCAN-438"/>
    <s v="CL Italy launch process"/>
    <s v="New Feature"/>
    <x v="0"/>
    <d v="2015-10-09T15:26:00"/>
    <x v="5"/>
    <x v="0"/>
    <x v="12"/>
    <n v="120"/>
    <m/>
    <n v="127.5"/>
    <n v="22.500000000000004"/>
  </r>
  <r>
    <s v="Backend - Scan"/>
    <x v="2"/>
    <s v="New Feature"/>
    <s v="SCAN-438"/>
    <s v="CL Italy launch process"/>
    <s v="New Feature"/>
    <x v="0"/>
    <d v="2015-10-13T19:01:00"/>
    <x v="5"/>
    <x v="0"/>
    <x v="9"/>
    <n v="1"/>
    <s v="check ScanIT questions ."/>
    <n v="127.5"/>
    <n v="22.500000000000004"/>
  </r>
  <r>
    <s v="Backend - Scan"/>
    <x v="1"/>
    <s v="Sub-task"/>
    <s v="SCAN-440"/>
    <s v="SCAN-438&gt; WHPO item slip issue"/>
    <s v="Sub-task"/>
    <x v="0"/>
    <d v="2015-10-15T17:39:00"/>
    <x v="5"/>
    <x v="0"/>
    <x v="8"/>
    <n v="0.5"/>
    <m/>
    <n v="127.5"/>
    <n v="22.500000000000004"/>
  </r>
  <r>
    <s v="Backend - Scan"/>
    <x v="1"/>
    <s v="Technical task"/>
    <s v="SCAN-452"/>
    <s v="SCAN-438&gt; JIT cancelled item should stock in or trfhk"/>
    <s v="Technical task"/>
    <x v="0"/>
    <d v="2015-11-02T15:04:00"/>
    <x v="8"/>
    <x v="0"/>
    <x v="8"/>
    <n v="2"/>
    <m/>
    <n v="147.9"/>
    <n v="26.100000000000005"/>
  </r>
  <r>
    <s v="Backend - Scan"/>
    <x v="2"/>
    <s v="New Feature"/>
    <s v="SCAN-473"/>
    <s v="SS-438 CL Italy launch process (Partial)"/>
    <s v="New Feature"/>
    <x v="0"/>
    <d v="2015-10-15T18:00:00"/>
    <x v="5"/>
    <x v="0"/>
    <x v="9"/>
    <n v="3"/>
    <m/>
    <n v="127.5"/>
    <n v="22.500000000000004"/>
  </r>
  <r>
    <s v="Backend - Scan"/>
    <x v="2"/>
    <s v="New Feature"/>
    <s v="SCAN-473"/>
    <s v="SS-438 CL Italy launch process (Partial)"/>
    <s v="New Feature"/>
    <x v="0"/>
    <d v="2015-10-16T18:00:00"/>
    <x v="5"/>
    <x v="0"/>
    <x v="9"/>
    <n v="3"/>
    <m/>
    <n v="127.5"/>
    <n v="22.500000000000004"/>
  </r>
  <r>
    <s v="Backend - Scan"/>
    <x v="1"/>
    <s v="New Feature"/>
    <s v="SCAN-473"/>
    <s v="SS-438 CL Italy launch process (Partial)"/>
    <s v="New Feature"/>
    <x v="0"/>
    <d v="2015-10-21T16:43:00"/>
    <x v="5"/>
    <x v="0"/>
    <x v="8"/>
    <n v="5"/>
    <m/>
    <n v="127.5"/>
    <n v="22.500000000000004"/>
  </r>
  <r>
    <s v="Backend - Scan"/>
    <x v="1"/>
    <s v="New Feature"/>
    <s v="SCAN-473"/>
    <s v="SS-438 CL Italy launch process (Partial)"/>
    <s v="New Feature"/>
    <x v="0"/>
    <d v="2015-10-22T13:30:00"/>
    <x v="5"/>
    <x v="0"/>
    <x v="8"/>
    <n v="2"/>
    <m/>
    <n v="127.5"/>
    <n v="22.500000000000004"/>
  </r>
  <r>
    <s v="Backend - Scan"/>
    <x v="1"/>
    <s v="Improvement"/>
    <s v="SCAN-479"/>
    <s v="Add TRFHK rule on WHIT Contact Lens Scan"/>
    <s v="Improvement"/>
    <x v="0"/>
    <d v="2015-10-08T09:56:00"/>
    <x v="5"/>
    <x v="0"/>
    <x v="8"/>
    <n v="2"/>
    <m/>
    <n v="127.5"/>
    <n v="22.500000000000004"/>
  </r>
  <r>
    <s v="Backend - Scan"/>
    <x v="1"/>
    <s v="Task"/>
    <s v="SCAN-481"/>
    <s v="Stock In Reason"/>
    <s v="Task"/>
    <x v="0"/>
    <d v="2015-11-04T14:48:00"/>
    <x v="8"/>
    <x v="0"/>
    <x v="8"/>
    <n v="2"/>
    <m/>
    <n v="147.9"/>
    <n v="26.100000000000005"/>
  </r>
  <r>
    <s v="Backend - Scan"/>
    <x v="2"/>
    <s v="Task"/>
    <s v="SCAN-481"/>
    <s v="Stock In Reason"/>
    <s v="Task"/>
    <x v="0"/>
    <d v="2015-11-04T14:53:00"/>
    <x v="8"/>
    <x v="0"/>
    <x v="9"/>
    <n v="0.5"/>
    <m/>
    <n v="147.9"/>
    <n v="26.100000000000005"/>
  </r>
  <r>
    <s v="Backend - Scan"/>
    <x v="1"/>
    <s v="Task"/>
    <s v="SCAN-481"/>
    <s v="Stock In Reason"/>
    <s v="Task"/>
    <x v="0"/>
    <d v="2015-11-10T12:48:00"/>
    <x v="8"/>
    <x v="0"/>
    <x v="8"/>
    <n v="0.5"/>
    <m/>
    <n v="147.9"/>
    <n v="26.100000000000005"/>
  </r>
  <r>
    <s v="Backend - Scan"/>
    <x v="2"/>
    <s v="Task"/>
    <s v="SCAN-482"/>
    <s v="Tracking page for RPX - (international)"/>
    <s v="Task"/>
    <x v="0"/>
    <d v="2015-10-09T18:40:00"/>
    <x v="5"/>
    <x v="0"/>
    <x v="9"/>
    <n v="1"/>
    <m/>
    <n v="127.5"/>
    <n v="22.500000000000004"/>
  </r>
  <r>
    <s v="Backend - Scan"/>
    <x v="1"/>
    <s v="Task"/>
    <s v="SCAN-482"/>
    <s v="Tracking page for RPX - (international)"/>
    <s v="Task"/>
    <x v="0"/>
    <d v="2015-10-12T17:18:00"/>
    <x v="5"/>
    <x v="0"/>
    <x v="8"/>
    <n v="3"/>
    <m/>
    <n v="127.5"/>
    <n v="22.500000000000004"/>
  </r>
  <r>
    <s v="Backend - Scan"/>
    <x v="1"/>
    <s v="Task"/>
    <s v="SCAN-482"/>
    <s v="Tracking page for RPX - (international)"/>
    <s v="Task"/>
    <x v="0"/>
    <d v="2015-10-12T18:30:00"/>
    <x v="5"/>
    <x v="0"/>
    <x v="8"/>
    <n v="1"/>
    <s v="check WH"/>
    <n v="127.5"/>
    <n v="22.500000000000004"/>
  </r>
  <r>
    <s v="Backend - Scan"/>
    <x v="1"/>
    <s v="Task"/>
    <s v="SCAN-482"/>
    <s v="Tracking page for RPX - (international)"/>
    <s v="Task"/>
    <x v="0"/>
    <d v="2015-10-15T16:54:00"/>
    <x v="5"/>
    <x v="0"/>
    <x v="8"/>
    <n v="1"/>
    <m/>
    <n v="127.5"/>
    <n v="22.500000000000004"/>
  </r>
  <r>
    <s v="Backend - Scan"/>
    <x v="2"/>
    <s v="Improvement"/>
    <s v="SCAN-485"/>
    <s v="Fulfillment Logic Change for IT Warehouse"/>
    <s v="Improvement"/>
    <x v="0"/>
    <d v="2015-11-05T17:34:00"/>
    <x v="8"/>
    <x v="0"/>
    <x v="9"/>
    <n v="3"/>
    <m/>
    <n v="147.9"/>
    <n v="26.100000000000005"/>
  </r>
  <r>
    <s v="Backend - Scan"/>
    <x v="1"/>
    <s v="Improvement"/>
    <s v="SCAN-485"/>
    <s v="Fulfillment Logic Change for IT Warehouse"/>
    <s v="Improvement"/>
    <x v="0"/>
    <d v="2015-11-06T19:29:00"/>
    <x v="8"/>
    <x v="0"/>
    <x v="8"/>
    <n v="6"/>
    <m/>
    <n v="147.9"/>
    <n v="26.100000000000005"/>
  </r>
  <r>
    <s v="Backend - Scan"/>
    <x v="2"/>
    <s v="Improvement"/>
    <s v="SCAN-485"/>
    <s v="Fulfillment Logic Change for IT Warehouse"/>
    <s v="Improvement"/>
    <x v="0"/>
    <d v="2015-11-09T17:35:00"/>
    <x v="8"/>
    <x v="0"/>
    <x v="9"/>
    <n v="2"/>
    <s v="JIT TRF HK rule adjust"/>
    <n v="147.9"/>
    <n v="26.100000000000005"/>
  </r>
  <r>
    <s v="Backend - Scan"/>
    <x v="1"/>
    <s v="Improvement"/>
    <s v="SCAN-485"/>
    <s v="Fulfillment Logic Change for IT Warehouse"/>
    <s v="Improvement"/>
    <x v="0"/>
    <d v="2015-11-09T18:38:00"/>
    <x v="8"/>
    <x v="0"/>
    <x v="8"/>
    <n v="3"/>
    <m/>
    <n v="147.9"/>
    <n v="26.100000000000005"/>
  </r>
  <r>
    <s v="Backend - Scan"/>
    <x v="2"/>
    <s v="Improvement"/>
    <s v="SCAN-485"/>
    <s v="Fulfillment Logic Change for IT Warehouse"/>
    <s v="Improvement"/>
    <x v="0"/>
    <d v="2015-11-10T16:36:00"/>
    <x v="8"/>
    <x v="0"/>
    <x v="9"/>
    <n v="3"/>
    <m/>
    <n v="147.9"/>
    <n v="26.100000000000005"/>
  </r>
  <r>
    <s v="Backend - Scan"/>
    <x v="1"/>
    <s v="Improvement"/>
    <s v="SCAN-485"/>
    <s v="Fulfillment Logic Change for IT Warehouse"/>
    <s v="Improvement"/>
    <x v="0"/>
    <d v="2015-11-10T18:42:00"/>
    <x v="8"/>
    <x v="0"/>
    <x v="8"/>
    <n v="3"/>
    <m/>
    <n v="147.9"/>
    <n v="26.100000000000005"/>
  </r>
  <r>
    <s v="Backend - Scan"/>
    <x v="1"/>
    <s v="Improvement"/>
    <s v="SCAN-485"/>
    <s v="Fulfillment Logic Change for IT Warehouse"/>
    <s v="Improvement"/>
    <x v="0"/>
    <d v="2015-11-11T19:37:00"/>
    <x v="8"/>
    <x v="0"/>
    <x v="8"/>
    <n v="2"/>
    <m/>
    <n v="147.9"/>
    <n v="26.100000000000005"/>
  </r>
  <r>
    <s v="Backend - Scan"/>
    <x v="1"/>
    <s v="Improvement"/>
    <s v="SCAN-485"/>
    <s v="Fulfillment Logic Change for IT Warehouse"/>
    <s v="Improvement"/>
    <x v="0"/>
    <d v="2015-11-12T17:40:00"/>
    <x v="8"/>
    <x v="0"/>
    <x v="8"/>
    <n v="2"/>
    <m/>
    <n v="147.9"/>
    <n v="26.100000000000005"/>
  </r>
  <r>
    <s v="Backend - Scan"/>
    <x v="2"/>
    <s v="Improvement"/>
    <s v="SCAN-485"/>
    <s v="Fulfillment Logic Change for IT Warehouse"/>
    <s v="Improvement"/>
    <x v="0"/>
    <d v="2015-11-13T16:34:00"/>
    <x v="8"/>
    <x v="0"/>
    <x v="9"/>
    <n v="3"/>
    <m/>
    <n v="147.9"/>
    <n v="26.100000000000005"/>
  </r>
  <r>
    <s v="Backend - Scan"/>
    <x v="2"/>
    <s v="Improvement"/>
    <s v="SCAN-485"/>
    <s v="Fulfillment Logic Change for IT Warehouse"/>
    <s v="Improvement"/>
    <x v="0"/>
    <d v="2015-11-18T16:09:00"/>
    <x v="8"/>
    <x v="0"/>
    <x v="9"/>
    <n v="3"/>
    <m/>
    <n v="147.9"/>
    <n v="26.100000000000005"/>
  </r>
  <r>
    <s v="Backend - Scan"/>
    <x v="1"/>
    <s v="Improvement"/>
    <s v="SCAN-485"/>
    <s v="Fulfillment Logic Change for IT Warehouse"/>
    <s v="Improvement"/>
    <x v="0"/>
    <d v="2015-11-19T18:33:00"/>
    <x v="8"/>
    <x v="0"/>
    <x v="8"/>
    <n v="3"/>
    <m/>
    <n v="147.9"/>
    <n v="26.100000000000005"/>
  </r>
  <r>
    <s v="Backend - Scan"/>
    <x v="2"/>
    <s v="Bug"/>
    <s v="SCAN-487"/>
    <s v="all trfhk order cannot submit in scan"/>
    <s v="Bug"/>
    <x v="1"/>
    <d v="2015-11-10T17:56:00"/>
    <x v="8"/>
    <x v="0"/>
    <x v="9"/>
    <n v="1"/>
    <m/>
    <n v="147.9"/>
    <n v="26.100000000000005"/>
  </r>
  <r>
    <s v="Backend - Scan"/>
    <x v="1"/>
    <s v="Bug"/>
    <s v="SCAN-487"/>
    <s v="all trfhk order cannot submit in scan"/>
    <s v="Bug"/>
    <x v="1"/>
    <d v="2015-11-10T18:42:00"/>
    <x v="8"/>
    <x v="0"/>
    <x v="8"/>
    <n v="1"/>
    <m/>
    <n v="147.9"/>
    <n v="26.100000000000005"/>
  </r>
  <r>
    <s v="Backend - Scan"/>
    <x v="1"/>
    <s v="Bug"/>
    <s v="SCAN-487"/>
    <s v="all trfhk order cannot submit in scan"/>
    <s v="Bug"/>
    <x v="1"/>
    <d v="2015-11-11T17:07:00"/>
    <x v="8"/>
    <x v="0"/>
    <x v="8"/>
    <n v="1"/>
    <m/>
    <n v="147.9"/>
    <n v="26.100000000000005"/>
  </r>
  <r>
    <s v="Backend - Scan"/>
    <x v="1"/>
    <s v="Bug"/>
    <s v="SCAN-487"/>
    <s v="all trfhk order cannot submit in scan"/>
    <s v="Bug"/>
    <x v="1"/>
    <d v="2015-11-12T15:22:00"/>
    <x v="8"/>
    <x v="0"/>
    <x v="8"/>
    <n v="1"/>
    <m/>
    <n v="147.9"/>
    <n v="26.100000000000005"/>
  </r>
  <r>
    <s v="Backend - Scan"/>
    <x v="2"/>
    <s v="Bug"/>
    <s v="SCAN-488"/>
    <s v="trfhk excel category incorrect"/>
    <s v="Bug"/>
    <x v="1"/>
    <d v="2015-11-10T10:55:00"/>
    <x v="8"/>
    <x v="0"/>
    <x v="9"/>
    <n v="0.5"/>
    <m/>
    <n v="147.9"/>
    <n v="26.100000000000005"/>
  </r>
  <r>
    <s v="Backend - Scan"/>
    <x v="2"/>
    <s v="Bug"/>
    <s v="SCAN-488"/>
    <s v="trfhk excel category incorrect"/>
    <s v="Bug"/>
    <x v="1"/>
    <d v="2015-11-11T10:55:00"/>
    <x v="8"/>
    <x v="0"/>
    <x v="9"/>
    <n v="0.5"/>
    <m/>
    <n v="147.9"/>
    <n v="26.100000000000005"/>
  </r>
  <r>
    <s v="Backend - Scan"/>
    <x v="1"/>
    <s v="Bug"/>
    <s v="SCAN-488"/>
    <s v="trfhk excel category incorrect"/>
    <s v="Bug"/>
    <x v="1"/>
    <d v="2015-11-11T17:07:00"/>
    <x v="8"/>
    <x v="0"/>
    <x v="8"/>
    <n v="1"/>
    <m/>
    <n v="147.9"/>
    <n v="26.100000000000005"/>
  </r>
  <r>
    <s v="Backend - Scan"/>
    <x v="1"/>
    <s v="Bug"/>
    <s v="SCAN-488"/>
    <s v="trfhk excel category incorrect"/>
    <s v="Bug"/>
    <x v="1"/>
    <d v="2015-11-12T16:23:00"/>
    <x v="8"/>
    <x v="0"/>
    <x v="8"/>
    <n v="1"/>
    <m/>
    <n v="147.9"/>
    <n v="26.100000000000005"/>
  </r>
  <r>
    <s v="Backend - Scan"/>
    <x v="2"/>
    <s v="Bug"/>
    <s v="SCAN-535"/>
    <s v="API error - Items with API error have status changed to Shipped anyway"/>
    <s v="Bug"/>
    <x v="1"/>
    <d v="2015-10-13T18:53:00"/>
    <x v="5"/>
    <x v="0"/>
    <x v="9"/>
    <n v="1"/>
    <m/>
    <n v="127.5"/>
    <n v="22.500000000000004"/>
  </r>
  <r>
    <s v="Backend - Scan"/>
    <x v="2"/>
    <s v="Bug"/>
    <s v="SCAN-535"/>
    <s v="API error - Items with API error have status changed to Shipped anyway"/>
    <s v="Bug"/>
    <x v="1"/>
    <d v="2015-10-15T12:35:00"/>
    <x v="5"/>
    <x v="0"/>
    <x v="9"/>
    <n v="3"/>
    <m/>
    <n v="127.5"/>
    <n v="22.500000000000004"/>
  </r>
  <r>
    <s v="Backend - Scan"/>
    <x v="1"/>
    <s v="Bug"/>
    <s v="SCAN-535"/>
    <s v="API error - Items with API error have status changed to Shipped anyway"/>
    <s v="Bug"/>
    <x v="1"/>
    <d v="2015-10-19T18:07:00"/>
    <x v="5"/>
    <x v="0"/>
    <x v="8"/>
    <n v="3"/>
    <m/>
    <n v="127.5"/>
    <n v="22.500000000000004"/>
  </r>
  <r>
    <s v="Backend - Scan"/>
    <x v="1"/>
    <s v="Bug"/>
    <s v="SCAN-535"/>
    <s v="API error - Items with API error have status changed to Shipped anyway"/>
    <s v="Bug"/>
    <x v="1"/>
    <d v="2015-10-20T20:08:00"/>
    <x v="5"/>
    <x v="0"/>
    <x v="8"/>
    <n v="1"/>
    <m/>
    <n v="127.5"/>
    <n v="22.500000000000004"/>
  </r>
  <r>
    <s v="Backend - Scan"/>
    <x v="2"/>
    <s v="Bug"/>
    <s v="SCAN-535"/>
    <s v="API error - Items with API error have status changed to Shipped anyway"/>
    <s v="Bug"/>
    <x v="1"/>
    <d v="2015-10-26T17:36:00"/>
    <x v="5"/>
    <x v="0"/>
    <x v="9"/>
    <n v="4"/>
    <m/>
    <n v="127.5"/>
    <n v="22.500000000000004"/>
  </r>
  <r>
    <s v="Backend - Scan"/>
    <x v="1"/>
    <s v="Bug"/>
    <s v="SCAN-535"/>
    <s v="API error - Items with API error have status changed to Shipped anyway"/>
    <s v="Bug"/>
    <x v="1"/>
    <d v="2015-10-28T18:33:00"/>
    <x v="5"/>
    <x v="0"/>
    <x v="8"/>
    <n v="4"/>
    <m/>
    <n v="127.5"/>
    <n v="22.500000000000004"/>
  </r>
  <r>
    <s v="Backend - Scan"/>
    <x v="1"/>
    <s v="Bug"/>
    <s v="SCAN-535"/>
    <s v="API error - Items with API error have status changed to Shipped anyway"/>
    <s v="Bug"/>
    <x v="1"/>
    <d v="2015-10-29T17:39:00"/>
    <x v="5"/>
    <x v="0"/>
    <x v="8"/>
    <n v="3"/>
    <m/>
    <n v="127.5"/>
    <n v="22.500000000000004"/>
  </r>
  <r>
    <s v="Backend - Scan"/>
    <x v="1"/>
    <s v="Bug"/>
    <s v="SCAN-535"/>
    <s v="API error - Items with API error have status changed to Shipped anyway"/>
    <s v="Bug"/>
    <x v="1"/>
    <d v="2015-11-03T14:26:00"/>
    <x v="8"/>
    <x v="0"/>
    <x v="8"/>
    <n v="3"/>
    <m/>
    <n v="147.9"/>
    <n v="26.100000000000005"/>
  </r>
  <r>
    <s v="Backend - Scan"/>
    <x v="2"/>
    <s v="Improvement"/>
    <s v="SCAN-540"/>
    <s v="UPC uploaded in OM but N/A in Scan"/>
    <s v="Improvement"/>
    <x v="0"/>
    <d v="2015-11-18T12:45:00"/>
    <x v="8"/>
    <x v="0"/>
    <x v="27"/>
    <n v="10"/>
    <m/>
    <n v="147.9"/>
    <n v="26.100000000000005"/>
  </r>
  <r>
    <s v="Backend - Scan"/>
    <x v="2"/>
    <s v="Improvement"/>
    <s v="SCAN-540"/>
    <s v="UPC uploaded in OM but N/A in Scan"/>
    <s v="Improvement"/>
    <x v="0"/>
    <d v="2015-11-24T17:40:00"/>
    <x v="8"/>
    <x v="0"/>
    <x v="27"/>
    <n v="4"/>
    <m/>
    <n v="147.9"/>
    <n v="26.100000000000005"/>
  </r>
  <r>
    <s v="Backend - Scan"/>
    <x v="2"/>
    <s v="Improvement"/>
    <s v="SCAN-540"/>
    <s v="UPC uploaded in OM but N/A in Scan"/>
    <s v="Improvement"/>
    <x v="0"/>
    <d v="2015-11-26T18:00:00"/>
    <x v="8"/>
    <x v="0"/>
    <x v="25"/>
    <n v="8"/>
    <s v="Root cause analysis"/>
    <n v="147.9"/>
    <n v="26.100000000000005"/>
  </r>
  <r>
    <s v="Backend - Scan"/>
    <x v="1"/>
    <s v="Bug"/>
    <s v="SCAN-543"/>
    <s v="value doesn't change to 1 when the status of the order is shipped"/>
    <s v="Bug"/>
    <x v="1"/>
    <d v="2015-10-19T18:00:00"/>
    <x v="5"/>
    <x v="0"/>
    <x v="8"/>
    <n v="1"/>
    <m/>
    <n v="127.5"/>
    <n v="22.500000000000004"/>
  </r>
  <r>
    <s v="Backend - Scan"/>
    <x v="2"/>
    <s v="Bug"/>
    <s v="SCAN-548"/>
    <s v="Create warehouse po issue"/>
    <s v="Bug"/>
    <x v="1"/>
    <d v="2015-10-12T19:03:00"/>
    <x v="5"/>
    <x v="0"/>
    <x v="9"/>
    <n v="1"/>
    <m/>
    <n v="127.5"/>
    <n v="22.500000000000004"/>
  </r>
  <r>
    <s v="Backend - Scan"/>
    <x v="1"/>
    <s v="Bug"/>
    <s v="SCAN-556"/>
    <s v="Remove WHPO Eyewear"/>
    <s v="Bug"/>
    <x v="1"/>
    <d v="2015-10-27T18:07:00"/>
    <x v="5"/>
    <x v="0"/>
    <x v="8"/>
    <n v="2"/>
    <m/>
    <n v="127.5"/>
    <n v="22.500000000000004"/>
  </r>
  <r>
    <s v="Backend - Scan"/>
    <x v="1"/>
    <s v="Bug"/>
    <s v="SCAN-556"/>
    <s v="Remove WHPO Eyewear"/>
    <s v="Bug"/>
    <x v="1"/>
    <d v="2015-10-30T18:17:00"/>
    <x v="5"/>
    <x v="0"/>
    <x v="8"/>
    <n v="2"/>
    <m/>
    <n v="127.5"/>
    <n v="22.500000000000004"/>
  </r>
  <r>
    <s v="Backend - Scan"/>
    <x v="1"/>
    <s v="Bug"/>
    <s v="SCAN-556"/>
    <s v="Remove WHPO Eyewear"/>
    <s v="Bug"/>
    <x v="1"/>
    <d v="2015-11-03T14:25:00"/>
    <x v="8"/>
    <x v="0"/>
    <x v="8"/>
    <n v="1"/>
    <m/>
    <n v="147.9"/>
    <n v="26.100000000000005"/>
  </r>
  <r>
    <s v="Backend - Scan"/>
    <x v="1"/>
    <s v="Task"/>
    <s v="SCAN-557"/>
    <s v="Weekly Search update"/>
    <s v="Task"/>
    <x v="0"/>
    <d v="2015-11-24T19:48:00"/>
    <x v="8"/>
    <x v="0"/>
    <x v="1"/>
    <n v="8"/>
    <m/>
    <n v="147.9"/>
    <n v="26.100000000000005"/>
  </r>
  <r>
    <s v="Backend - Scan"/>
    <x v="1"/>
    <s v="Task"/>
    <s v="SCAN-557"/>
    <s v="Weekly Search update"/>
    <s v="Task"/>
    <x v="0"/>
    <d v="2015-11-26T14:21:00"/>
    <x v="8"/>
    <x v="0"/>
    <x v="1"/>
    <n v="2"/>
    <s v="Brand Dirty Dog has something wrong on VD."/>
    <n v="147.9"/>
    <n v="26.100000000000005"/>
  </r>
  <r>
    <s v="Backend - Scan"/>
    <x v="1"/>
    <s v="Task"/>
    <s v="SCAN-557"/>
    <s v="Weekly Search update"/>
    <s v="Task"/>
    <x v="0"/>
    <d v="2015-11-30T17:32:00"/>
    <x v="8"/>
    <x v="0"/>
    <x v="1"/>
    <n v="2"/>
    <m/>
    <n v="147.9"/>
    <n v="26.100000000000005"/>
  </r>
  <r>
    <s v="Backend - Scan"/>
    <x v="2"/>
    <s v="Task"/>
    <s v="SCAN-559"/>
    <s v="Release CL Hold orders"/>
    <s v="Task"/>
    <x v="0"/>
    <d v="2015-10-19T17:58:00"/>
    <x v="5"/>
    <x v="0"/>
    <x v="9"/>
    <n v="0.5"/>
    <m/>
    <n v="127.5"/>
    <n v="22.500000000000004"/>
  </r>
  <r>
    <s v="Backend - Scan"/>
    <x v="2"/>
    <s v="Task"/>
    <s v="SCAN-559"/>
    <s v="Release CL Hold orders"/>
    <s v="Task"/>
    <x v="0"/>
    <d v="2015-10-19T17:58:00"/>
    <x v="5"/>
    <x v="0"/>
    <x v="20"/>
    <n v="1"/>
    <m/>
    <n v="127.5"/>
    <n v="22.500000000000004"/>
  </r>
  <r>
    <s v="Backend - Scan"/>
    <x v="1"/>
    <s v="Task"/>
    <s v="SCAN-559"/>
    <s v="Release CL Hold orders"/>
    <s v="Task"/>
    <x v="0"/>
    <d v="2015-11-02T15:12:00"/>
    <x v="8"/>
    <x v="0"/>
    <x v="8"/>
    <n v="0.5"/>
    <m/>
    <n v="147.9"/>
    <n v="26.100000000000005"/>
  </r>
  <r>
    <s v="Backend - Scan"/>
    <x v="2"/>
    <s v="Task"/>
    <s v="SCAN-559"/>
    <s v="Release CL Hold orders"/>
    <s v="Task"/>
    <x v="0"/>
    <d v="2015-11-19T17:08:00"/>
    <x v="8"/>
    <x v="0"/>
    <x v="20"/>
    <n v="3"/>
    <m/>
    <n v="147.9"/>
    <n v="26.100000000000005"/>
  </r>
  <r>
    <s v="Backend - Scan"/>
    <x v="2"/>
    <s v="Task"/>
    <s v="SCAN-560"/>
    <s v="Data issue happend on CL scan release transitional period"/>
    <s v="Task"/>
    <x v="0"/>
    <d v="2015-10-14T18:03:00"/>
    <x v="5"/>
    <x v="0"/>
    <x v="9"/>
    <n v="2"/>
    <m/>
    <n v="127.5"/>
    <n v="22.500000000000004"/>
  </r>
  <r>
    <s v="Backend - Scan"/>
    <x v="1"/>
    <s v="Task"/>
    <s v="SCAN-560"/>
    <s v="Data issue happend on CL scan release transitional period"/>
    <s v="Task"/>
    <x v="0"/>
    <d v="2015-11-03T18:31:00"/>
    <x v="8"/>
    <x v="0"/>
    <x v="8"/>
    <n v="0.5"/>
    <m/>
    <n v="147.9"/>
    <n v="26.100000000000005"/>
  </r>
  <r>
    <s v="Backend - Scan"/>
    <x v="2"/>
    <s v="Task"/>
    <s v="SCAN-566"/>
    <s v="Scanning - German Shipping Rule Update"/>
    <s v="Task"/>
    <x v="0"/>
    <d v="2015-10-12T15:38:00"/>
    <x v="5"/>
    <x v="0"/>
    <x v="9"/>
    <n v="2"/>
    <m/>
    <n v="127.5"/>
    <n v="22.500000000000004"/>
  </r>
  <r>
    <s v="Backend - Scan"/>
    <x v="1"/>
    <s v="Task"/>
    <s v="SCAN-566"/>
    <s v="Scanning - German Shipping Rule Update"/>
    <s v="Task"/>
    <x v="0"/>
    <d v="2015-10-16T18:40:00"/>
    <x v="5"/>
    <x v="0"/>
    <x v="8"/>
    <n v="3"/>
    <m/>
    <n v="127.5"/>
    <n v="22.500000000000004"/>
  </r>
  <r>
    <s v="Backend - Scan"/>
    <x v="1"/>
    <s v="Task"/>
    <s v="SCAN-566"/>
    <s v="Scanning - German Shipping Rule Update"/>
    <s v="Task"/>
    <x v="0"/>
    <d v="2015-10-19T19:05:00"/>
    <x v="5"/>
    <x v="0"/>
    <x v="8"/>
    <n v="4"/>
    <m/>
    <n v="127.5"/>
    <n v="22.500000000000004"/>
  </r>
  <r>
    <s v="Backend - Scan"/>
    <x v="2"/>
    <s v="Task"/>
    <s v="SCAN-566"/>
    <s v="Scanning - German Shipping Rule Update"/>
    <s v="Task"/>
    <x v="0"/>
    <d v="2015-10-19T20:57:00"/>
    <x v="5"/>
    <x v="0"/>
    <x v="9"/>
    <n v="2"/>
    <m/>
    <n v="127.5"/>
    <n v="22.500000000000004"/>
  </r>
  <r>
    <s v="Backend - Scan"/>
    <x v="1"/>
    <s v="Task"/>
    <s v="SCAN-566"/>
    <s v="Scanning - German Shipping Rule Update"/>
    <s v="Task"/>
    <x v="0"/>
    <d v="2015-10-20T19:51:00"/>
    <x v="5"/>
    <x v="0"/>
    <x v="8"/>
    <n v="2"/>
    <m/>
    <n v="127.5"/>
    <n v="22.500000000000004"/>
  </r>
  <r>
    <s v="Backend - Scan"/>
    <x v="2"/>
    <s v="Task"/>
    <s v="SCAN-569"/>
    <s v="adjust the frequency of the release function"/>
    <s v="Task"/>
    <x v="0"/>
    <d v="2015-11-28T16:13:00"/>
    <x v="8"/>
    <x v="0"/>
    <x v="9"/>
    <n v="1"/>
    <m/>
    <n v="147.9"/>
    <n v="26.100000000000005"/>
  </r>
  <r>
    <s v="Backend - Scan"/>
    <x v="2"/>
    <s v="Task"/>
    <s v="SCAN-576"/>
    <s v="Missing shipment numbers from Italy scan david file"/>
    <s v="Task"/>
    <x v="0"/>
    <d v="2015-10-07T18:02:00"/>
    <x v="5"/>
    <x v="0"/>
    <x v="9"/>
    <n v="3"/>
    <m/>
    <n v="127.5"/>
    <n v="22.500000000000004"/>
  </r>
  <r>
    <s v="Backend - Scan"/>
    <x v="2"/>
    <s v="Task"/>
    <s v="SCAN-576"/>
    <s v="Missing shipment numbers from Italy scan david file"/>
    <s v="Task"/>
    <x v="0"/>
    <d v="2015-10-08T18:02:00"/>
    <x v="5"/>
    <x v="0"/>
    <x v="9"/>
    <n v="2"/>
    <m/>
    <n v="127.5"/>
    <n v="22.500000000000004"/>
  </r>
  <r>
    <s v="Backend - Scan"/>
    <x v="1"/>
    <s v="Task"/>
    <s v="SCAN-576"/>
    <s v="Missing shipment numbers from Italy scan david file"/>
    <s v="Task"/>
    <x v="0"/>
    <d v="2015-11-05T18:31:00"/>
    <x v="8"/>
    <x v="0"/>
    <x v="8"/>
    <n v="4"/>
    <m/>
    <n v="147.9"/>
    <n v="26.100000000000005"/>
  </r>
  <r>
    <s v="Backend - Scan"/>
    <x v="1"/>
    <s v="Task"/>
    <s v="SCAN-576"/>
    <s v="Missing shipment numbers from Italy scan david file"/>
    <s v="Task"/>
    <x v="0"/>
    <d v="2015-11-10T12:30:00"/>
    <x v="8"/>
    <x v="0"/>
    <x v="8"/>
    <n v="2"/>
    <m/>
    <n v="147.9"/>
    <n v="26.100000000000005"/>
  </r>
  <r>
    <s v="Backend - Scan"/>
    <x v="2"/>
    <s v="Improvement"/>
    <s v="SCAN-578"/>
    <s v="Contact Lens - Duplicate UPCs found on Scan System - Clean Up"/>
    <s v="Improvement"/>
    <x v="0"/>
    <d v="2015-11-18T16:11:00"/>
    <x v="8"/>
    <x v="0"/>
    <x v="9"/>
    <n v="4"/>
    <m/>
    <n v="147.9"/>
    <n v="26.100000000000005"/>
  </r>
  <r>
    <s v="Backend - Scan"/>
    <x v="2"/>
    <s v="Improvement"/>
    <s v="SCAN-585"/>
    <s v="Add Plano Lens for Frame Only Product for EURO Orders"/>
    <s v="Improvement"/>
    <x v="0"/>
    <d v="2015-11-25T18:38:00"/>
    <x v="8"/>
    <x v="0"/>
    <x v="9"/>
    <n v="2"/>
    <s v="requirement confirm"/>
    <n v="147.9"/>
    <n v="26.100000000000005"/>
  </r>
  <r>
    <s v="Backend - Scan"/>
    <x v="2"/>
    <s v="Improvement"/>
    <s v="SCAN-585"/>
    <s v="Add Plano Lens for Frame Only Product for EURO Orders"/>
    <s v="Improvement"/>
    <x v="0"/>
    <d v="2015-11-26T17:57:00"/>
    <x v="8"/>
    <x v="0"/>
    <x v="25"/>
    <n v="8"/>
    <s v="Requirement Analysis"/>
    <n v="147.9"/>
    <n v="26.100000000000005"/>
  </r>
  <r>
    <s v="Backend - Scan"/>
    <x v="2"/>
    <s v="Improvement"/>
    <s v="SCAN-585"/>
    <s v="Add Plano Lens for Frame Only Product for EURO Orders"/>
    <s v="Improvement"/>
    <x v="0"/>
    <d v="2015-11-26T18:38:00"/>
    <x v="8"/>
    <x v="0"/>
    <x v="9"/>
    <n v="5"/>
    <m/>
    <n v="147.9"/>
    <n v="26.100000000000005"/>
  </r>
  <r>
    <s v="Backend - Scan"/>
    <x v="2"/>
    <s v="Improvement"/>
    <s v="SCAN-585"/>
    <s v="Add Plano Lens for Frame Only Product for EURO Orders"/>
    <s v="Improvement"/>
    <x v="0"/>
    <d v="2015-11-27T16:02:00"/>
    <x v="8"/>
    <x v="0"/>
    <x v="9"/>
    <n v="4"/>
    <s v="submit data to OM"/>
    <n v="147.9"/>
    <n v="26.100000000000005"/>
  </r>
  <r>
    <s v="Backend - Scan"/>
    <x v="2"/>
    <s v="Improvement"/>
    <s v="SCAN-585"/>
    <s v="Add Plano Lens for Frame Only Product for EURO Orders"/>
    <s v="Improvement"/>
    <x v="0"/>
    <d v="2015-11-28T15:59:00"/>
    <x v="8"/>
    <x v="0"/>
    <x v="9"/>
    <n v="5"/>
    <s v="JIT frame only function complete the pack&amp;ship function when add this function submit data to OM complete test"/>
    <n v="147.9"/>
    <n v="26.100000000000005"/>
  </r>
  <r>
    <s v="Backend - Scan"/>
    <x v="2"/>
    <s v="Improvement"/>
    <s v="SCAN-585"/>
    <s v="Add Plano Lens for Frame Only Product for EURO Orders"/>
    <s v="Improvement"/>
    <x v="0"/>
    <d v="2015-11-30T19:07:00"/>
    <x v="8"/>
    <x v="0"/>
    <x v="9"/>
    <n v="3"/>
    <m/>
    <n v="147.9"/>
    <n v="26.100000000000005"/>
  </r>
  <r>
    <s v="Backend - Scan"/>
    <x v="2"/>
    <s v="Improvement"/>
    <s v="SCAN-585"/>
    <s v="Add Plano Lens for Frame Only Product for EURO Orders"/>
    <s v="Improvement"/>
    <x v="0"/>
    <d v="2015-11-30T22:05:00"/>
    <x v="8"/>
    <x v="0"/>
    <x v="9"/>
    <n v="3"/>
    <s v="test"/>
    <n v="147.9"/>
    <n v="26.100000000000005"/>
  </r>
  <r>
    <s v="Backend - Scan"/>
    <x v="1"/>
    <s v="Improvement"/>
    <s v="SCAN-585"/>
    <s v="Add Plano Lens for Frame Only Product for EURO Orders"/>
    <s v="Improvement"/>
    <x v="0"/>
    <d v="2015-11-30T22:08:00"/>
    <x v="8"/>
    <x v="0"/>
    <x v="8"/>
    <n v="9.5"/>
    <m/>
    <n v="147.9"/>
    <n v="26.100000000000005"/>
  </r>
  <r>
    <s v="Backend - Scan"/>
    <x v="2"/>
    <s v="Improvement"/>
    <s v="SCAN-590"/>
    <s v="Move Non-EU RX Orders to HK"/>
    <s v="Improvement"/>
    <x v="0"/>
    <d v="2015-11-20T18:05:00"/>
    <x v="8"/>
    <x v="0"/>
    <x v="9"/>
    <n v="3"/>
    <m/>
    <n v="147.9"/>
    <n v="26.100000000000005"/>
  </r>
  <r>
    <s v="Backend - Scan"/>
    <x v="1"/>
    <s v="Improvement"/>
    <s v="SCAN-590"/>
    <s v="Move Non-EU RX Orders to HK"/>
    <s v="Improvement"/>
    <x v="0"/>
    <d v="2015-11-25T18:01:00"/>
    <x v="8"/>
    <x v="0"/>
    <x v="8"/>
    <n v="5"/>
    <m/>
    <n v="147.9"/>
    <n v="26.100000000000005"/>
  </r>
  <r>
    <s v="Backend - Scan"/>
    <x v="1"/>
    <s v="Improvement"/>
    <s v="SCAN-590"/>
    <s v="Move Non-EU RX Orders to HK"/>
    <s v="Improvement"/>
    <x v="0"/>
    <d v="2015-11-26T14:34:00"/>
    <x v="8"/>
    <x v="0"/>
    <x v="8"/>
    <n v="3"/>
    <m/>
    <n v="147.9"/>
    <n v="26.100000000000005"/>
  </r>
  <r>
    <s v="Backend - Scan"/>
    <x v="2"/>
    <s v="Improvement"/>
    <s v="SCAN-590"/>
    <s v="Move Non-EU RX Orders to HK"/>
    <s v="Improvement"/>
    <x v="0"/>
    <d v="2015-11-27T17:12:00"/>
    <x v="8"/>
    <x v="0"/>
    <x v="25"/>
    <n v="8"/>
    <m/>
    <n v="147.9"/>
    <n v="26.100000000000005"/>
  </r>
  <r>
    <s v="Backend - Scan"/>
    <x v="2"/>
    <s v="Sub-task"/>
    <s v="SCAN-600"/>
    <s v="SCAN-578&gt; Contact Lens - Review Current UPC tables on DB"/>
    <s v="Sub-task"/>
    <x v="0"/>
    <d v="2015-11-19T16:26:00"/>
    <x v="8"/>
    <x v="0"/>
    <x v="9"/>
    <n v="2"/>
    <m/>
    <n v="147.9"/>
    <n v="26.100000000000005"/>
  </r>
  <r>
    <s v="Backend - Scan"/>
    <x v="2"/>
    <s v="Sub-task"/>
    <s v="SCAN-600"/>
    <s v="SCAN-578&gt; Contact Lens - Review Current UPC tables on DB"/>
    <s v="Sub-task"/>
    <x v="0"/>
    <d v="2015-11-20T18:04:00"/>
    <x v="8"/>
    <x v="0"/>
    <x v="9"/>
    <n v="2"/>
    <m/>
    <n v="147.9"/>
    <n v="26.100000000000005"/>
  </r>
  <r>
    <s v="Backend - Scan"/>
    <x v="1"/>
    <s v="Technical task"/>
    <s v="SCAN-603"/>
    <s v="SCAN-590&gt; Test case design and execution"/>
    <s v="Technical task"/>
    <x v="0"/>
    <d v="2015-10-09T08:15:00"/>
    <x v="5"/>
    <x v="0"/>
    <x v="26"/>
    <n v="8"/>
    <m/>
    <n v="127.5"/>
    <n v="22.500000000000004"/>
  </r>
  <r>
    <s v="Backend - Scan"/>
    <x v="1"/>
    <s v="Technical task"/>
    <s v="SCAN-603"/>
    <s v="SCAN-590&gt; Test case design and execution"/>
    <s v="Technical task"/>
    <x v="0"/>
    <d v="2015-10-12T08:15:00"/>
    <x v="5"/>
    <x v="0"/>
    <x v="26"/>
    <n v="8"/>
    <m/>
    <n v="127.5"/>
    <n v="22.500000000000004"/>
  </r>
  <r>
    <s v="Backend - Scan"/>
    <x v="1"/>
    <s v="Technical task"/>
    <s v="SCAN-603"/>
    <s v="SCAN-590&gt; Test case design and execution"/>
    <s v="Technical task"/>
    <x v="0"/>
    <d v="2015-10-16T08:15:00"/>
    <x v="5"/>
    <x v="0"/>
    <x v="26"/>
    <n v="8"/>
    <m/>
    <n v="127.5"/>
    <n v="22.500000000000004"/>
  </r>
  <r>
    <s v="Backend - Scan"/>
    <x v="1"/>
    <s v="Technical task"/>
    <s v="SCAN-603"/>
    <s v="SCAN-590&gt; Test case design and execution"/>
    <s v="Technical task"/>
    <x v="0"/>
    <d v="2015-10-19T08:14:00"/>
    <x v="5"/>
    <x v="0"/>
    <x v="26"/>
    <n v="8"/>
    <m/>
    <n v="127.5"/>
    <n v="22.500000000000004"/>
  </r>
  <r>
    <s v="Backend - Scan"/>
    <x v="1"/>
    <s v="Technical task"/>
    <s v="SCAN-603"/>
    <s v="SCAN-590&gt; Test case design and execution"/>
    <s v="Technical task"/>
    <x v="0"/>
    <d v="2015-10-22T08:14:00"/>
    <x v="5"/>
    <x v="0"/>
    <x v="26"/>
    <n v="8"/>
    <m/>
    <n v="127.5"/>
    <n v="22.500000000000004"/>
  </r>
  <r>
    <s v="Backend - Scan"/>
    <x v="1"/>
    <s v="Technical task"/>
    <s v="SCAN-603"/>
    <s v="SCAN-590&gt; Test case design and execution"/>
    <s v="Technical task"/>
    <x v="0"/>
    <d v="2015-10-27T08:14:00"/>
    <x v="5"/>
    <x v="0"/>
    <x v="26"/>
    <n v="8"/>
    <m/>
    <n v="127.5"/>
    <n v="22.500000000000004"/>
  </r>
  <r>
    <s v="Backend - Scan"/>
    <x v="1"/>
    <s v="Technical task"/>
    <s v="SCAN-603"/>
    <s v="SCAN-590&gt; Test case design and execution"/>
    <s v="Technical task"/>
    <x v="0"/>
    <d v="2015-10-28T08:14:00"/>
    <x v="5"/>
    <x v="0"/>
    <x v="26"/>
    <n v="8"/>
    <m/>
    <n v="127.5"/>
    <n v="22.500000000000004"/>
  </r>
  <r>
    <s v="Backend - Scan"/>
    <x v="1"/>
    <s v="Technical task"/>
    <s v="SCAN-603"/>
    <s v="SCAN-590&gt; Test case design and execution"/>
    <s v="Technical task"/>
    <x v="0"/>
    <d v="2015-11-03T08:12:00"/>
    <x v="8"/>
    <x v="0"/>
    <x v="26"/>
    <n v="8"/>
    <m/>
    <n v="147.9"/>
    <n v="26.100000000000005"/>
  </r>
  <r>
    <s v="Backend - Scan"/>
    <x v="1"/>
    <s v="Technical task"/>
    <s v="SCAN-603"/>
    <s v="SCAN-590&gt; Test case design and execution"/>
    <s v="Technical task"/>
    <x v="0"/>
    <d v="2015-11-04T08:12:00"/>
    <x v="8"/>
    <x v="0"/>
    <x v="26"/>
    <n v="8"/>
    <m/>
    <n v="147.9"/>
    <n v="26.100000000000005"/>
  </r>
  <r>
    <s v="Backend - Scan"/>
    <x v="1"/>
    <s v="Technical task"/>
    <s v="SCAN-603"/>
    <s v="SCAN-590&gt; Test case design and execution"/>
    <s v="Technical task"/>
    <x v="0"/>
    <d v="2015-11-09T08:12:00"/>
    <x v="8"/>
    <x v="0"/>
    <x v="26"/>
    <n v="8"/>
    <m/>
    <n v="147.9"/>
    <n v="26.100000000000005"/>
  </r>
  <r>
    <s v="Backend - Scan"/>
    <x v="1"/>
    <s v="Technical task"/>
    <s v="SCAN-603"/>
    <s v="SCAN-590&gt; Test case design and execution"/>
    <s v="Technical task"/>
    <x v="0"/>
    <d v="2015-11-11T08:12:00"/>
    <x v="8"/>
    <x v="0"/>
    <x v="26"/>
    <n v="8"/>
    <m/>
    <n v="147.9"/>
    <n v="26.100000000000005"/>
  </r>
  <r>
    <s v="Backend - Scan"/>
    <x v="1"/>
    <s v="Technical task"/>
    <s v="SCAN-603"/>
    <s v="SCAN-590&gt; Test case design and execution"/>
    <s v="Technical task"/>
    <x v="0"/>
    <d v="2015-11-13T08:12:00"/>
    <x v="8"/>
    <x v="0"/>
    <x v="26"/>
    <n v="8"/>
    <m/>
    <n v="147.9"/>
    <n v="26.100000000000005"/>
  </r>
  <r>
    <s v="Backend - Scan"/>
    <x v="1"/>
    <s v="Technical task"/>
    <s v="SCAN-603"/>
    <s v="SCAN-590&gt; Test case design and execution"/>
    <s v="Technical task"/>
    <x v="0"/>
    <d v="2015-11-17T08:11:00"/>
    <x v="8"/>
    <x v="0"/>
    <x v="26"/>
    <n v="8"/>
    <m/>
    <n v="147.9"/>
    <n v="26.100000000000005"/>
  </r>
  <r>
    <s v="Backend - Scan"/>
    <x v="1"/>
    <s v="Technical task"/>
    <s v="SCAN-603"/>
    <s v="SCAN-590&gt; Test case design and execution"/>
    <s v="Technical task"/>
    <x v="0"/>
    <d v="2015-11-18T09:11:00"/>
    <x v="8"/>
    <x v="0"/>
    <x v="26"/>
    <n v="7"/>
    <m/>
    <n v="147.9"/>
    <n v="26.100000000000005"/>
  </r>
  <r>
    <s v="Backend - Scan"/>
    <x v="1"/>
    <s v="Technical task"/>
    <s v="SCAN-603"/>
    <s v="SCAN-590&gt; Test case design and execution"/>
    <s v="Technical task"/>
    <x v="0"/>
    <d v="2015-11-19T08:11:00"/>
    <x v="8"/>
    <x v="0"/>
    <x v="26"/>
    <n v="8"/>
    <m/>
    <n v="147.9"/>
    <n v="26.100000000000005"/>
  </r>
  <r>
    <s v="Backend - Scan"/>
    <x v="1"/>
    <s v="Technical task"/>
    <s v="SCAN-603"/>
    <s v="SCAN-590&gt; Test case design and execution"/>
    <s v="Technical task"/>
    <x v="0"/>
    <d v="2015-11-20T08:11:00"/>
    <x v="8"/>
    <x v="0"/>
    <x v="26"/>
    <n v="8"/>
    <m/>
    <n v="147.9"/>
    <n v="26.100000000000005"/>
  </r>
  <r>
    <s v="Backend - Scan"/>
    <x v="1"/>
    <s v="Technical task"/>
    <s v="SCAN-603"/>
    <s v="SCAN-590&gt; Test case design and execution"/>
    <s v="Technical task"/>
    <x v="0"/>
    <d v="2015-11-23T08:11:00"/>
    <x v="8"/>
    <x v="0"/>
    <x v="26"/>
    <n v="8"/>
    <m/>
    <n v="147.9"/>
    <n v="26.100000000000005"/>
  </r>
  <r>
    <s v="Backend - Scan"/>
    <x v="1"/>
    <s v="Technical task"/>
    <s v="SCAN-603"/>
    <s v="SCAN-590&gt; Test case design and execution"/>
    <s v="Technical task"/>
    <x v="0"/>
    <d v="2015-11-25T08:11:00"/>
    <x v="8"/>
    <x v="0"/>
    <x v="26"/>
    <n v="8"/>
    <m/>
    <n v="147.9"/>
    <n v="26.100000000000005"/>
  </r>
  <r>
    <s v="Backend - Scan"/>
    <x v="1"/>
    <s v="Technical task"/>
    <s v="SCAN-603"/>
    <s v="SCAN-590&gt; Test case design and execution"/>
    <s v="Technical task"/>
    <x v="0"/>
    <d v="2015-11-26T09:59:00"/>
    <x v="8"/>
    <x v="0"/>
    <x v="26"/>
    <n v="0.1"/>
    <m/>
    <n v="147.9"/>
    <n v="26.100000000000005"/>
  </r>
  <r>
    <s v="Operation Team Task"/>
    <x v="3"/>
    <s v="Maintenance"/>
    <s v="TASK-2"/>
    <s v="upgrade to php5.3 for HK Web server"/>
    <s v="Maintenance"/>
    <x v="1"/>
    <d v="2015-11-20T09:30:00"/>
    <x v="8"/>
    <x v="0"/>
    <x v="28"/>
    <n v="3"/>
    <m/>
    <n v="87"/>
    <n v="87"/>
  </r>
  <r>
    <s v="Operation Team Task"/>
    <x v="3"/>
    <s v="Develop"/>
    <s v="TASK-27"/>
    <s v="Cx requesting that he will nto receive any more emails from smartbuyglasses"/>
    <s v="Develop"/>
    <x v="0"/>
    <d v="2015-11-26T17:06:00"/>
    <x v="8"/>
    <x v="0"/>
    <x v="28"/>
    <n v="4"/>
    <m/>
    <n v="87"/>
    <n v="87"/>
  </r>
  <r>
    <s v="Operation Team Task"/>
    <x v="3"/>
    <s v="Develop"/>
    <s v="TASK-28"/>
    <s v="improve production server"/>
    <s v="Develop"/>
    <x v="0"/>
    <d v="2015-10-24T16:20:00"/>
    <x v="5"/>
    <x v="0"/>
    <x v="28"/>
    <n v="1"/>
    <s v="optimize the apache and mysql config file. Write the script for apache and mysql auto restart."/>
    <n v="75"/>
    <n v="75"/>
  </r>
  <r>
    <s v="Operation Team Task"/>
    <x v="3"/>
    <s v="Develop"/>
    <s v="TASK-49"/>
    <s v="Image flag &amp; Rxable"/>
    <s v="Develop"/>
    <x v="0"/>
    <d v="2015-11-25T17:04:00"/>
    <x v="8"/>
    <x v="0"/>
    <x v="28"/>
    <n v="3"/>
    <m/>
    <n v="87"/>
    <n v="87"/>
  </r>
  <r>
    <s v="Operation Team Task"/>
    <x v="3"/>
    <s v="Develop"/>
    <s v="TASK-52"/>
    <s v="Image Flag"/>
    <s v="Develop"/>
    <x v="0"/>
    <d v="2015-11-27T17:05:00"/>
    <x v="8"/>
    <x v="0"/>
    <x v="28"/>
    <n v="4"/>
    <m/>
    <n v="87"/>
    <n v="87"/>
  </r>
  <r>
    <s v="Operation Team Task"/>
    <x v="1"/>
    <s v="Develop"/>
    <s v="TASK-53"/>
    <s v="CN domain switch to AWS testing"/>
    <s v="Develop"/>
    <x v="0"/>
    <d v="2015-10-08T11:53:00"/>
    <x v="5"/>
    <x v="0"/>
    <x v="8"/>
    <n v="1"/>
    <m/>
    <n v="127.5"/>
    <n v="22.500000000000004"/>
  </r>
  <r>
    <s v="Operation Team Task"/>
    <x v="3"/>
    <s v="Maintenance"/>
    <s v="TASK-302"/>
    <s v="Contact Lens New supplier and Logo"/>
    <s v="Maintenance"/>
    <x v="1"/>
    <d v="2015-10-16T08:58:00"/>
    <x v="5"/>
    <x v="0"/>
    <x v="17"/>
    <n v="4"/>
    <m/>
    <n v="75"/>
    <n v="75"/>
  </r>
  <r>
    <s v="Operation Team Task"/>
    <x v="3"/>
    <s v="Maintenance"/>
    <s v="TASK-302"/>
    <s v="Contact Lens New supplier and Logo"/>
    <s v="Maintenance"/>
    <x v="1"/>
    <d v="2015-10-19T17:24:00"/>
    <x v="5"/>
    <x v="0"/>
    <x v="17"/>
    <n v="8"/>
    <m/>
    <n v="75"/>
    <n v="75"/>
  </r>
  <r>
    <s v="Operation Team Task"/>
    <x v="3"/>
    <s v="Maintenance"/>
    <s v="TASK-302"/>
    <s v="Contact Lens New supplier and Logo"/>
    <s v="Maintenance"/>
    <x v="1"/>
    <d v="2015-10-20T17:25:00"/>
    <x v="5"/>
    <x v="0"/>
    <x v="17"/>
    <n v="8"/>
    <m/>
    <n v="75"/>
    <n v="75"/>
  </r>
  <r>
    <s v="Operation Team Task"/>
    <x v="3"/>
    <s v="Maintenance"/>
    <s v="TASK-302"/>
    <s v="Contact Lens New supplier and Logo"/>
    <s v="Maintenance"/>
    <x v="1"/>
    <d v="2015-10-21T17:26:00"/>
    <x v="5"/>
    <x v="0"/>
    <x v="17"/>
    <n v="8"/>
    <m/>
    <n v="75"/>
    <n v="75"/>
  </r>
  <r>
    <s v="Operation Team Task"/>
    <x v="3"/>
    <s v="Maintenance"/>
    <s v="TASK-302"/>
    <s v="Contact Lens New supplier and Logo"/>
    <s v="Maintenance"/>
    <x v="1"/>
    <d v="2015-10-22T17:27:00"/>
    <x v="5"/>
    <x v="0"/>
    <x v="17"/>
    <n v="8"/>
    <m/>
    <n v="75"/>
    <n v="75"/>
  </r>
  <r>
    <s v="Operation Team Task"/>
    <x v="3"/>
    <s v="Maintenance"/>
    <s v="TASK-302"/>
    <s v="Contact Lens New supplier and Logo"/>
    <s v="Maintenance"/>
    <x v="1"/>
    <d v="2015-10-23T17:28:00"/>
    <x v="5"/>
    <x v="0"/>
    <x v="17"/>
    <n v="8"/>
    <m/>
    <n v="75"/>
    <n v="75"/>
  </r>
  <r>
    <s v="Operation Team Task"/>
    <x v="3"/>
    <s v="Maintenance"/>
    <s v="TASK-302"/>
    <s v="Contact Lens New supplier and Logo"/>
    <s v="Maintenance"/>
    <x v="1"/>
    <d v="2015-10-26T17:28:00"/>
    <x v="5"/>
    <x v="0"/>
    <x v="17"/>
    <n v="8"/>
    <m/>
    <n v="75"/>
    <n v="75"/>
  </r>
  <r>
    <s v="Operation Team Task"/>
    <x v="3"/>
    <s v="Maintenance"/>
    <s v="TASK-302"/>
    <s v="Contact Lens New supplier and Logo"/>
    <s v="Maintenance"/>
    <x v="1"/>
    <d v="2015-10-27T17:28:00"/>
    <x v="5"/>
    <x v="0"/>
    <x v="17"/>
    <n v="8"/>
    <m/>
    <n v="75"/>
    <n v="75"/>
  </r>
  <r>
    <s v="Operation Team Task"/>
    <x v="3"/>
    <s v="Maintenance"/>
    <s v="TASK-302"/>
    <s v="Contact Lens New supplier and Logo"/>
    <s v="Maintenance"/>
    <x v="1"/>
    <d v="2015-10-28T17:29:00"/>
    <x v="5"/>
    <x v="0"/>
    <x v="17"/>
    <n v="8"/>
    <m/>
    <n v="75"/>
    <n v="75"/>
  </r>
  <r>
    <s v="Operation Team Task"/>
    <x v="3"/>
    <s v="Maintenance"/>
    <s v="TASK-302"/>
    <s v="Contact Lens New supplier and Logo"/>
    <s v="Maintenance"/>
    <x v="1"/>
    <d v="2015-10-29T17:29:00"/>
    <x v="5"/>
    <x v="0"/>
    <x v="17"/>
    <n v="8"/>
    <m/>
    <n v="75"/>
    <n v="75"/>
  </r>
  <r>
    <s v="Operation Team Task"/>
    <x v="3"/>
    <s v="Maintenance"/>
    <s v="TASK-302"/>
    <s v="Contact Lens New supplier and Logo"/>
    <s v="Maintenance"/>
    <x v="1"/>
    <d v="2015-10-30T17:29:00"/>
    <x v="5"/>
    <x v="0"/>
    <x v="17"/>
    <n v="8"/>
    <m/>
    <n v="75"/>
    <n v="75"/>
  </r>
  <r>
    <s v="Operation Team Task"/>
    <x v="3"/>
    <s v="Maintenance"/>
    <s v="TASK-302"/>
    <s v="Contact Lens New supplier and Logo"/>
    <s v="Maintenance"/>
    <x v="1"/>
    <d v="2015-11-24T17:58:00"/>
    <x v="8"/>
    <x v="0"/>
    <x v="17"/>
    <n v="8"/>
    <m/>
    <n v="87"/>
    <n v="87"/>
  </r>
  <r>
    <s v="Operation Team Task"/>
    <x v="3"/>
    <s v="Maintenance"/>
    <s v="TASK-302"/>
    <s v="Contact Lens New supplier and Logo"/>
    <s v="Maintenance"/>
    <x v="1"/>
    <d v="2015-11-25T17:59:00"/>
    <x v="8"/>
    <x v="0"/>
    <x v="17"/>
    <n v="8"/>
    <m/>
    <n v="87"/>
    <n v="87"/>
  </r>
  <r>
    <s v="Operation Team Task"/>
    <x v="3"/>
    <s v="Maintenance"/>
    <s v="TASK-302"/>
    <s v="Contact Lens New supplier and Logo"/>
    <s v="Maintenance"/>
    <x v="1"/>
    <d v="2015-11-26T17:59:00"/>
    <x v="8"/>
    <x v="0"/>
    <x v="17"/>
    <n v="8"/>
    <m/>
    <n v="87"/>
    <n v="87"/>
  </r>
  <r>
    <s v="Operation Team Task"/>
    <x v="3"/>
    <s v="Maintenance"/>
    <s v="TASK-302"/>
    <s v="Contact Lens New supplier and Logo"/>
    <s v="Maintenance"/>
    <x v="1"/>
    <d v="2015-11-27T17:59:00"/>
    <x v="8"/>
    <x v="0"/>
    <x v="17"/>
    <n v="8"/>
    <m/>
    <n v="87"/>
    <n v="87"/>
  </r>
  <r>
    <s v="Operation Team Task"/>
    <x v="3"/>
    <s v="Maintenance"/>
    <s v="TASK-302"/>
    <s v="Contact Lens New supplier and Logo"/>
    <s v="Maintenance"/>
    <x v="1"/>
    <d v="2015-11-30T18:06:00"/>
    <x v="8"/>
    <x v="0"/>
    <x v="17"/>
    <n v="8"/>
    <m/>
    <n v="87"/>
    <n v="87"/>
  </r>
  <r>
    <s v="Operation Team Task"/>
    <x v="3"/>
    <s v="Technical task"/>
    <s v="TASK-1541"/>
    <s v="TASK-120&gt; aws project"/>
    <s v="Technical task"/>
    <x v="0"/>
    <d v="2015-11-10T16:33:00"/>
    <x v="8"/>
    <x v="0"/>
    <x v="17"/>
    <n v="8"/>
    <s v="aws ELB"/>
    <n v="87"/>
    <n v="87"/>
  </r>
  <r>
    <s v="Operation Team Task"/>
    <x v="3"/>
    <s v="Technical task"/>
    <s v="TASK-1541"/>
    <s v="TASK-120&gt; aws project"/>
    <s v="Technical task"/>
    <x v="0"/>
    <d v="2015-11-11T16:21:00"/>
    <x v="8"/>
    <x v="0"/>
    <x v="17"/>
    <n v="8"/>
    <s v="pincmore test"/>
    <n v="87"/>
    <n v="87"/>
  </r>
  <r>
    <s v="Operation Team Task"/>
    <x v="3"/>
    <s v="Technical task"/>
    <s v="TASK-1553"/>
    <s v="TASK-120&gt; maintenance support"/>
    <s v="Technical task"/>
    <x v="0"/>
    <d v="2015-11-09T16:20:00"/>
    <x v="8"/>
    <x v="0"/>
    <x v="17"/>
    <n v="8"/>
    <m/>
    <n v="87"/>
    <n v="87"/>
  </r>
  <r>
    <s v="Operation Team Task"/>
    <x v="3"/>
    <s v="Technical task"/>
    <s v="TASK-1553"/>
    <s v="TASK-120&gt; maintenance support"/>
    <s v="Technical task"/>
    <x v="0"/>
    <d v="2015-11-12T16:24:00"/>
    <x v="8"/>
    <x v="0"/>
    <x v="17"/>
    <n v="8"/>
    <m/>
    <n v="87"/>
    <n v="87"/>
  </r>
  <r>
    <s v="Operation Team Task"/>
    <x v="3"/>
    <s v="Technical task"/>
    <s v="TASK-1553"/>
    <s v="TASK-120&gt; maintenance support"/>
    <s v="Technical task"/>
    <x v="0"/>
    <d v="2015-11-13T16:36:00"/>
    <x v="8"/>
    <x v="0"/>
    <x v="17"/>
    <n v="8"/>
    <m/>
    <n v="87"/>
    <n v="87"/>
  </r>
  <r>
    <s v="Operation Team Task"/>
    <x v="3"/>
    <s v="Technical task"/>
    <s v="TASK-1553"/>
    <s v="TASK-120&gt; maintenance support"/>
    <s v="Technical task"/>
    <x v="0"/>
    <d v="2015-11-30T17:04:00"/>
    <x v="8"/>
    <x v="0"/>
    <x v="17"/>
    <n v="8"/>
    <s v="info team daily work"/>
    <n v="87"/>
    <n v="87"/>
  </r>
  <r>
    <s v="Operation Team Task"/>
    <x v="3"/>
    <s v="Develop"/>
    <s v="TASK-1574"/>
    <s v="ScanIT switch to london5 test"/>
    <s v="Develop"/>
    <x v="0"/>
    <d v="2015-10-05T04:55:00"/>
    <x v="5"/>
    <x v="0"/>
    <x v="17"/>
    <n v="8"/>
    <m/>
    <n v="75"/>
    <n v="75"/>
  </r>
  <r>
    <s v="Operation Team Task"/>
    <x v="3"/>
    <s v="Develop"/>
    <s v="TASK-1574"/>
    <s v="ScanIT switch to london5 test"/>
    <s v="Develop"/>
    <x v="0"/>
    <d v="2015-10-06T04:55:00"/>
    <x v="5"/>
    <x v="0"/>
    <x v="17"/>
    <n v="8"/>
    <m/>
    <n v="75"/>
    <n v="75"/>
  </r>
  <r>
    <s v="Operation Team Task"/>
    <x v="3"/>
    <s v="Develop"/>
    <s v="TASK-1574"/>
    <s v="ScanIT switch to london5 test"/>
    <s v="Develop"/>
    <x v="0"/>
    <d v="2015-10-07T04:55:00"/>
    <x v="5"/>
    <x v="0"/>
    <x v="17"/>
    <n v="8"/>
    <m/>
    <n v="75"/>
    <n v="75"/>
  </r>
  <r>
    <s v="Operation Team Task"/>
    <x v="3"/>
    <s v="Develop"/>
    <s v="TASK-1574"/>
    <s v="ScanIT switch to london5 test"/>
    <s v="Develop"/>
    <x v="0"/>
    <d v="2015-10-08T04:55:00"/>
    <x v="5"/>
    <x v="0"/>
    <x v="17"/>
    <n v="8"/>
    <m/>
    <n v="75"/>
    <n v="75"/>
  </r>
  <r>
    <s v="Operation Team Task"/>
    <x v="3"/>
    <s v="Develop"/>
    <s v="TASK-1574"/>
    <s v="ScanIT switch to london5 test"/>
    <s v="Develop"/>
    <x v="0"/>
    <d v="2015-10-09T04:55:00"/>
    <x v="5"/>
    <x v="0"/>
    <x v="17"/>
    <n v="8"/>
    <m/>
    <n v="75"/>
    <n v="75"/>
  </r>
  <r>
    <s v="Operation Team Task"/>
    <x v="3"/>
    <s v="Develop"/>
    <s v="TASK-1574"/>
    <s v="ScanIT switch to london5 test"/>
    <s v="Develop"/>
    <x v="0"/>
    <d v="2015-10-12T04:55:00"/>
    <x v="5"/>
    <x v="0"/>
    <x v="17"/>
    <n v="8"/>
    <m/>
    <n v="75"/>
    <n v="75"/>
  </r>
  <r>
    <s v="Operation Team Task"/>
    <x v="3"/>
    <s v="Develop"/>
    <s v="TASK-1574"/>
    <s v="ScanIT switch to london5 test"/>
    <s v="Develop"/>
    <x v="0"/>
    <d v="2015-10-13T04:56:00"/>
    <x v="5"/>
    <x v="0"/>
    <x v="17"/>
    <n v="8"/>
    <m/>
    <n v="75"/>
    <n v="75"/>
  </r>
  <r>
    <s v="Operation Team Task"/>
    <x v="3"/>
    <s v="Develop"/>
    <s v="TASK-1574"/>
    <s v="ScanIT switch to london5 test"/>
    <s v="Develop"/>
    <x v="0"/>
    <d v="2015-10-14T04:56:00"/>
    <x v="5"/>
    <x v="0"/>
    <x v="17"/>
    <n v="8"/>
    <m/>
    <n v="75"/>
    <n v="75"/>
  </r>
  <r>
    <s v="Operation Team Task"/>
    <x v="3"/>
    <s v="Develop"/>
    <s v="TASK-1574"/>
    <s v="ScanIT switch to london5 test"/>
    <s v="Develop"/>
    <x v="0"/>
    <d v="2015-10-15T04:56:00"/>
    <x v="5"/>
    <x v="0"/>
    <x v="17"/>
    <n v="8"/>
    <m/>
    <n v="75"/>
    <n v="75"/>
  </r>
  <r>
    <s v="Operation Team Task"/>
    <x v="3"/>
    <s v="Develop"/>
    <s v="TASK-1574"/>
    <s v="ScanIT switch to london5 test"/>
    <s v="Develop"/>
    <x v="0"/>
    <d v="2015-10-16T08:58:00"/>
    <x v="5"/>
    <x v="0"/>
    <x v="17"/>
    <n v="4"/>
    <m/>
    <n v="75"/>
    <n v="75"/>
  </r>
  <r>
    <s v="Operation Team Task"/>
    <x v="3"/>
    <s v="Develop"/>
    <s v="TASK-1574"/>
    <s v="ScanIT switch to london5 test"/>
    <s v="Develop"/>
    <x v="0"/>
    <d v="2015-11-02T05:01:00"/>
    <x v="8"/>
    <x v="0"/>
    <x v="17"/>
    <n v="8"/>
    <m/>
    <n v="87"/>
    <n v="87"/>
  </r>
  <r>
    <s v="Operation Team Task"/>
    <x v="3"/>
    <s v="Develop"/>
    <s v="TASK-1574"/>
    <s v="ScanIT switch to london5 test"/>
    <s v="Develop"/>
    <x v="0"/>
    <d v="2015-11-03T05:02:00"/>
    <x v="8"/>
    <x v="0"/>
    <x v="17"/>
    <n v="8"/>
    <m/>
    <n v="87"/>
    <n v="87"/>
  </r>
  <r>
    <s v="Operation Team Task"/>
    <x v="3"/>
    <s v="Develop"/>
    <s v="TASK-1574"/>
    <s v="ScanIT switch to london5 test"/>
    <s v="Develop"/>
    <x v="0"/>
    <d v="2015-11-04T05:02:00"/>
    <x v="8"/>
    <x v="0"/>
    <x v="17"/>
    <n v="8"/>
    <m/>
    <n v="87"/>
    <n v="87"/>
  </r>
  <r>
    <s v="Operation Team Task"/>
    <x v="3"/>
    <s v="Develop"/>
    <s v="TASK-1574"/>
    <s v="ScanIT switch to london5 test"/>
    <s v="Develop"/>
    <x v="0"/>
    <d v="2015-11-05T05:02:00"/>
    <x v="8"/>
    <x v="0"/>
    <x v="17"/>
    <n v="8"/>
    <m/>
    <n v="87"/>
    <n v="87"/>
  </r>
  <r>
    <s v="Operation Team Task"/>
    <x v="3"/>
    <s v="Develop"/>
    <s v="TASK-1574"/>
    <s v="ScanIT switch to london5 test"/>
    <s v="Develop"/>
    <x v="0"/>
    <d v="2015-11-06T05:02:00"/>
    <x v="8"/>
    <x v="0"/>
    <x v="17"/>
    <n v="8"/>
    <m/>
    <n v="87"/>
    <n v="87"/>
  </r>
  <r>
    <s v="Operation Team Task"/>
    <x v="3"/>
    <s v="Develop"/>
    <s v="TASK-1574"/>
    <s v="ScanIT switch to london5 test"/>
    <s v="Develop"/>
    <x v="0"/>
    <d v="2015-11-16T05:02:00"/>
    <x v="8"/>
    <x v="0"/>
    <x v="17"/>
    <n v="8"/>
    <m/>
    <n v="87"/>
    <n v="87"/>
  </r>
  <r>
    <s v="Operation Team Task"/>
    <x v="3"/>
    <s v="Develop"/>
    <s v="TASK-1574"/>
    <s v="ScanIT switch to london5 test"/>
    <s v="Develop"/>
    <x v="0"/>
    <d v="2015-11-17T05:02:00"/>
    <x v="8"/>
    <x v="0"/>
    <x v="17"/>
    <n v="8"/>
    <m/>
    <n v="87"/>
    <n v="87"/>
  </r>
  <r>
    <s v="Operation Team Task"/>
    <x v="3"/>
    <s v="Develop"/>
    <s v="TASK-1574"/>
    <s v="ScanIT switch to london5 test"/>
    <s v="Develop"/>
    <x v="0"/>
    <d v="2015-11-18T05:02:00"/>
    <x v="8"/>
    <x v="0"/>
    <x v="17"/>
    <n v="8"/>
    <m/>
    <n v="87"/>
    <n v="87"/>
  </r>
  <r>
    <s v="Operation Team Task"/>
    <x v="3"/>
    <s v="Develop"/>
    <s v="TASK-1574"/>
    <s v="ScanIT switch to london5 test"/>
    <s v="Develop"/>
    <x v="0"/>
    <d v="2015-11-19T05:02:00"/>
    <x v="8"/>
    <x v="0"/>
    <x v="17"/>
    <n v="8"/>
    <m/>
    <n v="87"/>
    <n v="87"/>
  </r>
  <r>
    <s v="Operation Team Task"/>
    <x v="3"/>
    <s v="Develop"/>
    <s v="TASK-1574"/>
    <s v="ScanIT switch to london5 test"/>
    <s v="Develop"/>
    <x v="0"/>
    <d v="2015-11-20T05:02:00"/>
    <x v="8"/>
    <x v="0"/>
    <x v="17"/>
    <n v="8"/>
    <m/>
    <n v="87"/>
    <n v="87"/>
  </r>
  <r>
    <s v="Operation Team Task"/>
    <x v="3"/>
    <s v="Develop"/>
    <s v="TASK-1574"/>
    <s v="ScanIT switch to london5 test"/>
    <s v="Develop"/>
    <x v="0"/>
    <d v="2015-11-23T05:02:00"/>
    <x v="8"/>
    <x v="0"/>
    <x v="17"/>
    <n v="8"/>
    <m/>
    <n v="87"/>
    <n v="87"/>
  </r>
  <r>
    <s v="Operation Team Task"/>
    <x v="3"/>
    <s v="Develop"/>
    <s v="TASK-1676"/>
    <s v="AWS ELB investigate"/>
    <s v="Develop"/>
    <x v="0"/>
    <d v="2015-10-08T14:00:00"/>
    <x v="5"/>
    <x v="0"/>
    <x v="28"/>
    <n v="4"/>
    <m/>
    <n v="75"/>
    <n v="75"/>
  </r>
  <r>
    <s v="Operation Team Task"/>
    <x v="3"/>
    <s v="Develop"/>
    <s v="TASK-1676"/>
    <s v="AWS ELB investigate"/>
    <s v="Develop"/>
    <x v="0"/>
    <d v="2015-10-09T14:00:00"/>
    <x v="5"/>
    <x v="0"/>
    <x v="28"/>
    <n v="4"/>
    <m/>
    <n v="75"/>
    <n v="75"/>
  </r>
  <r>
    <s v="Operation Team Task"/>
    <x v="3"/>
    <s v="Develop"/>
    <s v="TASK-1676"/>
    <s v="AWS ELB investigate"/>
    <s v="Develop"/>
    <x v="0"/>
    <d v="2015-10-12T14:00:00"/>
    <x v="5"/>
    <x v="0"/>
    <x v="28"/>
    <n v="3"/>
    <m/>
    <n v="75"/>
    <n v="75"/>
  </r>
  <r>
    <s v="Operation Team Task"/>
    <x v="3"/>
    <s v="Develop"/>
    <s v="TASK-1676"/>
    <s v="AWS ELB investigate"/>
    <s v="Develop"/>
    <x v="0"/>
    <d v="2015-10-13T14:00:00"/>
    <x v="5"/>
    <x v="0"/>
    <x v="28"/>
    <n v="4"/>
    <m/>
    <n v="75"/>
    <n v="75"/>
  </r>
  <r>
    <s v="Operation Team Task"/>
    <x v="3"/>
    <s v="Develop"/>
    <s v="TASK-1676"/>
    <s v="AWS ELB investigate"/>
    <s v="Develop"/>
    <x v="0"/>
    <d v="2015-10-14T14:00:00"/>
    <x v="5"/>
    <x v="0"/>
    <x v="28"/>
    <n v="4"/>
    <m/>
    <n v="75"/>
    <n v="75"/>
  </r>
  <r>
    <s v="Operation Team Task"/>
    <x v="3"/>
    <s v="Develop"/>
    <s v="TASK-1676"/>
    <s v="AWS ELB investigate"/>
    <s v="Develop"/>
    <x v="0"/>
    <d v="2015-10-15T14:00:00"/>
    <x v="5"/>
    <x v="0"/>
    <x v="28"/>
    <n v="4"/>
    <m/>
    <n v="75"/>
    <n v="75"/>
  </r>
  <r>
    <s v="Operation Team Task"/>
    <x v="3"/>
    <s v="Develop"/>
    <s v="TASK-1676"/>
    <s v="AWS ELB investigate"/>
    <s v="Develop"/>
    <x v="0"/>
    <d v="2015-10-16T14:00:00"/>
    <x v="5"/>
    <x v="0"/>
    <x v="28"/>
    <n v="4"/>
    <m/>
    <n v="75"/>
    <n v="75"/>
  </r>
  <r>
    <s v="Operation Team Task"/>
    <x v="3"/>
    <s v="Develop"/>
    <s v="TASK-1676"/>
    <s v="AWS ELB investigate"/>
    <s v="Develop"/>
    <x v="0"/>
    <d v="2015-10-19T14:00:00"/>
    <x v="5"/>
    <x v="0"/>
    <x v="28"/>
    <n v="4"/>
    <m/>
    <n v="75"/>
    <n v="75"/>
  </r>
  <r>
    <s v="Operation Team Task"/>
    <x v="3"/>
    <s v="Develop"/>
    <s v="TASK-1676"/>
    <s v="AWS ELB investigate"/>
    <s v="Develop"/>
    <x v="0"/>
    <d v="2015-10-20T14:00:00"/>
    <x v="5"/>
    <x v="0"/>
    <x v="28"/>
    <n v="4"/>
    <m/>
    <n v="75"/>
    <n v="75"/>
  </r>
  <r>
    <s v="Operation Team Task"/>
    <x v="3"/>
    <s v="Develop"/>
    <s v="TASK-1676"/>
    <s v="AWS ELB investigate"/>
    <s v="Develop"/>
    <x v="0"/>
    <d v="2015-10-21T14:00:00"/>
    <x v="5"/>
    <x v="0"/>
    <x v="28"/>
    <n v="4"/>
    <m/>
    <n v="75"/>
    <n v="75"/>
  </r>
  <r>
    <s v="Operation Team Task"/>
    <x v="3"/>
    <s v="Develop"/>
    <s v="TASK-1676"/>
    <s v="AWS ELB investigate"/>
    <s v="Develop"/>
    <x v="0"/>
    <d v="2015-10-22T14:00:00"/>
    <x v="5"/>
    <x v="0"/>
    <x v="28"/>
    <n v="4"/>
    <m/>
    <n v="75"/>
    <n v="75"/>
  </r>
  <r>
    <s v="Operation Team Task"/>
    <x v="3"/>
    <s v="Develop"/>
    <s v="TASK-1676"/>
    <s v="AWS ELB investigate"/>
    <s v="Develop"/>
    <x v="0"/>
    <d v="2015-10-23T14:00:00"/>
    <x v="5"/>
    <x v="0"/>
    <x v="28"/>
    <n v="4"/>
    <m/>
    <n v="75"/>
    <n v="75"/>
  </r>
  <r>
    <s v="Operation Team Task"/>
    <x v="3"/>
    <s v="Develop"/>
    <s v="TASK-1676"/>
    <s v="AWS ELB investigate"/>
    <s v="Develop"/>
    <x v="0"/>
    <d v="2015-10-26T14:00:00"/>
    <x v="5"/>
    <x v="0"/>
    <x v="28"/>
    <n v="4"/>
    <m/>
    <n v="75"/>
    <n v="75"/>
  </r>
  <r>
    <s v="Operation Team Task"/>
    <x v="3"/>
    <s v="Develop"/>
    <s v="TASK-1676"/>
    <s v="AWS ELB investigate"/>
    <s v="Develop"/>
    <x v="0"/>
    <d v="2015-10-27T14:00:00"/>
    <x v="5"/>
    <x v="0"/>
    <x v="28"/>
    <n v="4"/>
    <m/>
    <n v="75"/>
    <n v="75"/>
  </r>
  <r>
    <s v="Operation Team Task"/>
    <x v="3"/>
    <s v="Develop"/>
    <s v="TASK-1676"/>
    <s v="AWS ELB investigate"/>
    <s v="Develop"/>
    <x v="0"/>
    <d v="2015-10-28T14:00:00"/>
    <x v="5"/>
    <x v="0"/>
    <x v="28"/>
    <n v="4"/>
    <m/>
    <n v="75"/>
    <n v="75"/>
  </r>
  <r>
    <s v="Operation Team Task"/>
    <x v="3"/>
    <s v="Develop"/>
    <s v="TASK-1676"/>
    <s v="AWS ELB investigate"/>
    <s v="Develop"/>
    <x v="0"/>
    <d v="2015-10-29T14:00:00"/>
    <x v="5"/>
    <x v="0"/>
    <x v="28"/>
    <n v="4"/>
    <m/>
    <n v="75"/>
    <n v="75"/>
  </r>
  <r>
    <s v="Operation Team Task"/>
    <x v="3"/>
    <s v="Develop"/>
    <s v="TASK-1676"/>
    <s v="AWS ELB investigate"/>
    <s v="Develop"/>
    <x v="0"/>
    <d v="2015-10-30T14:00:00"/>
    <x v="5"/>
    <x v="0"/>
    <x v="28"/>
    <n v="4"/>
    <m/>
    <n v="75"/>
    <n v="75"/>
  </r>
  <r>
    <s v="Operation Team Task"/>
    <x v="3"/>
    <s v="Develop"/>
    <s v="TASK-1676"/>
    <s v="AWS ELB investigate"/>
    <s v="Develop"/>
    <x v="0"/>
    <d v="2015-10-31T14:00:00"/>
    <x v="5"/>
    <x v="0"/>
    <x v="28"/>
    <n v="7"/>
    <m/>
    <n v="75"/>
    <n v="75"/>
  </r>
  <r>
    <s v="Operation Team Task"/>
    <x v="3"/>
    <s v="Maintenance"/>
    <s v="TASK-1677"/>
    <s v="block IP script optimize"/>
    <s v="Maintenance"/>
    <x v="1"/>
    <d v="2015-10-08T09:30:00"/>
    <x v="5"/>
    <x v="0"/>
    <x v="28"/>
    <n v="4"/>
    <m/>
    <n v="75"/>
    <n v="75"/>
  </r>
  <r>
    <s v="Operation Team Task"/>
    <x v="3"/>
    <s v="Maintenance"/>
    <s v="TASK-1677"/>
    <s v="block IP script optimize"/>
    <s v="Maintenance"/>
    <x v="1"/>
    <d v="2015-10-09T09:30:00"/>
    <x v="5"/>
    <x v="0"/>
    <x v="28"/>
    <n v="4"/>
    <m/>
    <n v="75"/>
    <n v="75"/>
  </r>
  <r>
    <s v="Operation Team Task"/>
    <x v="3"/>
    <s v="Maintenance"/>
    <s v="TASK-1677"/>
    <s v="block IP script optimize"/>
    <s v="Maintenance"/>
    <x v="1"/>
    <d v="2015-10-12T09:30:00"/>
    <x v="5"/>
    <x v="0"/>
    <x v="28"/>
    <n v="4"/>
    <m/>
    <n v="75"/>
    <n v="75"/>
  </r>
  <r>
    <s v="Operation Team Task"/>
    <x v="3"/>
    <s v="Maintenance"/>
    <s v="TASK-1677"/>
    <s v="block IP script optimize"/>
    <s v="Maintenance"/>
    <x v="1"/>
    <d v="2015-10-13T09:30:00"/>
    <x v="5"/>
    <x v="0"/>
    <x v="28"/>
    <n v="4"/>
    <m/>
    <n v="75"/>
    <n v="75"/>
  </r>
  <r>
    <s v="Operation Team Task"/>
    <x v="3"/>
    <s v="Maintenance"/>
    <s v="TASK-1677"/>
    <s v="block IP script optimize"/>
    <s v="Maintenance"/>
    <x v="1"/>
    <d v="2015-10-14T09:30:00"/>
    <x v="5"/>
    <x v="0"/>
    <x v="28"/>
    <n v="4"/>
    <m/>
    <n v="75"/>
    <n v="75"/>
  </r>
  <r>
    <s v="Operation Team Task"/>
    <x v="3"/>
    <s v="Maintenance"/>
    <s v="TASK-1677"/>
    <s v="block IP script optimize"/>
    <s v="Maintenance"/>
    <x v="1"/>
    <d v="2015-10-15T09:30:00"/>
    <x v="5"/>
    <x v="0"/>
    <x v="28"/>
    <n v="4"/>
    <m/>
    <n v="75"/>
    <n v="75"/>
  </r>
  <r>
    <s v="Operation Team Task"/>
    <x v="3"/>
    <s v="Maintenance"/>
    <s v="TASK-1677"/>
    <s v="block IP script optimize"/>
    <s v="Maintenance"/>
    <x v="1"/>
    <d v="2015-10-16T09:30:00"/>
    <x v="5"/>
    <x v="0"/>
    <x v="28"/>
    <n v="4"/>
    <m/>
    <n v="75"/>
    <n v="75"/>
  </r>
  <r>
    <s v="Operation Team Task"/>
    <x v="3"/>
    <s v="Maintenance"/>
    <s v="TASK-1677"/>
    <s v="block IP script optimize"/>
    <s v="Maintenance"/>
    <x v="1"/>
    <d v="2015-10-19T09:30:00"/>
    <x v="5"/>
    <x v="0"/>
    <x v="28"/>
    <n v="4"/>
    <m/>
    <n v="75"/>
    <n v="75"/>
  </r>
  <r>
    <s v="Operation Team Task"/>
    <x v="3"/>
    <s v="Maintenance"/>
    <s v="TASK-1677"/>
    <s v="block IP script optimize"/>
    <s v="Maintenance"/>
    <x v="1"/>
    <d v="2015-10-20T09:30:00"/>
    <x v="5"/>
    <x v="0"/>
    <x v="28"/>
    <n v="4"/>
    <m/>
    <n v="75"/>
    <n v="75"/>
  </r>
  <r>
    <s v="Operation Team Task"/>
    <x v="3"/>
    <s v="Maintenance"/>
    <s v="TASK-1677"/>
    <s v="block IP script optimize"/>
    <s v="Maintenance"/>
    <x v="1"/>
    <d v="2015-10-21T09:30:00"/>
    <x v="5"/>
    <x v="0"/>
    <x v="28"/>
    <n v="4"/>
    <m/>
    <n v="75"/>
    <n v="75"/>
  </r>
  <r>
    <s v="Operation Team Task"/>
    <x v="3"/>
    <s v="Maintenance"/>
    <s v="TASK-1677"/>
    <s v="block IP script optimize"/>
    <s v="Maintenance"/>
    <x v="1"/>
    <d v="2015-10-22T09:30:00"/>
    <x v="5"/>
    <x v="0"/>
    <x v="28"/>
    <n v="4"/>
    <m/>
    <n v="75"/>
    <n v="75"/>
  </r>
  <r>
    <s v="Operation Team Task"/>
    <x v="3"/>
    <s v="Maintenance"/>
    <s v="TASK-1677"/>
    <s v="block IP script optimize"/>
    <s v="Maintenance"/>
    <x v="1"/>
    <d v="2015-10-23T09:30:00"/>
    <x v="5"/>
    <x v="0"/>
    <x v="28"/>
    <n v="4"/>
    <m/>
    <n v="75"/>
    <n v="75"/>
  </r>
  <r>
    <s v="Operation Team Task"/>
    <x v="3"/>
    <s v="Maintenance"/>
    <s v="TASK-1677"/>
    <s v="block IP script optimize"/>
    <s v="Maintenance"/>
    <x v="1"/>
    <d v="2015-10-24T14:00:00"/>
    <x v="5"/>
    <x v="0"/>
    <x v="28"/>
    <n v="7"/>
    <m/>
    <n v="75"/>
    <n v="75"/>
  </r>
  <r>
    <s v="Operation Team Task"/>
    <x v="3"/>
    <s v="Maintenance"/>
    <s v="TASK-1677"/>
    <s v="block IP script optimize"/>
    <s v="Maintenance"/>
    <x v="1"/>
    <d v="2015-10-26T09:30:00"/>
    <x v="5"/>
    <x v="0"/>
    <x v="28"/>
    <n v="4"/>
    <m/>
    <n v="75"/>
    <n v="75"/>
  </r>
  <r>
    <s v="Operation Team Task"/>
    <x v="3"/>
    <s v="Maintenance"/>
    <s v="TASK-1677"/>
    <s v="block IP script optimize"/>
    <s v="Maintenance"/>
    <x v="1"/>
    <d v="2015-10-27T09:30:00"/>
    <x v="5"/>
    <x v="0"/>
    <x v="28"/>
    <n v="4"/>
    <m/>
    <n v="75"/>
    <n v="75"/>
  </r>
  <r>
    <s v="Operation Team Task"/>
    <x v="3"/>
    <s v="Maintenance"/>
    <s v="TASK-1677"/>
    <s v="block IP script optimize"/>
    <s v="Maintenance"/>
    <x v="1"/>
    <d v="2015-10-28T09:30:00"/>
    <x v="5"/>
    <x v="0"/>
    <x v="28"/>
    <n v="4"/>
    <m/>
    <n v="75"/>
    <n v="75"/>
  </r>
  <r>
    <s v="Operation Team Task"/>
    <x v="3"/>
    <s v="Maintenance"/>
    <s v="TASK-1677"/>
    <s v="block IP script optimize"/>
    <s v="Maintenance"/>
    <x v="1"/>
    <d v="2015-10-29T09:30:00"/>
    <x v="5"/>
    <x v="0"/>
    <x v="28"/>
    <n v="4"/>
    <m/>
    <n v="75"/>
    <n v="75"/>
  </r>
  <r>
    <s v="Operation Team Task"/>
    <x v="3"/>
    <s v="Maintenance"/>
    <s v="TASK-1677"/>
    <s v="block IP script optimize"/>
    <s v="Maintenance"/>
    <x v="1"/>
    <d v="2015-10-30T09:30:00"/>
    <x v="5"/>
    <x v="0"/>
    <x v="28"/>
    <n v="4"/>
    <m/>
    <n v="75"/>
    <n v="75"/>
  </r>
  <r>
    <s v="Operation Team Task"/>
    <x v="3"/>
    <s v="Develop"/>
    <s v="TASK-1682"/>
    <s v="PImcore environment set up"/>
    <s v="Develop"/>
    <x v="0"/>
    <d v="2015-11-02T14:00:00"/>
    <x v="8"/>
    <x v="0"/>
    <x v="28"/>
    <n v="4"/>
    <m/>
    <n v="87"/>
    <n v="87"/>
  </r>
  <r>
    <s v="Operation Team Task"/>
    <x v="3"/>
    <s v="Develop"/>
    <s v="TASK-1682"/>
    <s v="PImcore environment set up"/>
    <s v="Develop"/>
    <x v="0"/>
    <d v="2015-11-03T14:00:00"/>
    <x v="8"/>
    <x v="0"/>
    <x v="28"/>
    <n v="4"/>
    <m/>
    <n v="87"/>
    <n v="87"/>
  </r>
  <r>
    <s v="Operation Team Task"/>
    <x v="3"/>
    <s v="Develop"/>
    <s v="TASK-1682"/>
    <s v="PImcore environment set up"/>
    <s v="Develop"/>
    <x v="0"/>
    <d v="2015-11-04T14:00:00"/>
    <x v="8"/>
    <x v="0"/>
    <x v="28"/>
    <n v="4"/>
    <m/>
    <n v="87"/>
    <n v="87"/>
  </r>
  <r>
    <s v="Operation Team Task"/>
    <x v="3"/>
    <s v="Develop"/>
    <s v="TASK-1682"/>
    <s v="PImcore environment set up"/>
    <s v="Develop"/>
    <x v="0"/>
    <d v="2015-11-05T14:00:00"/>
    <x v="8"/>
    <x v="0"/>
    <x v="28"/>
    <n v="4"/>
    <m/>
    <n v="87"/>
    <n v="87"/>
  </r>
  <r>
    <s v="Operation Team Task"/>
    <x v="3"/>
    <s v="Develop"/>
    <s v="TASK-1682"/>
    <s v="PImcore environment set up"/>
    <s v="Develop"/>
    <x v="0"/>
    <d v="2015-11-06T14:00:00"/>
    <x v="8"/>
    <x v="0"/>
    <x v="28"/>
    <n v="4"/>
    <m/>
    <n v="87"/>
    <n v="87"/>
  </r>
  <r>
    <s v="Operation Team Task"/>
    <x v="3"/>
    <s v="Develop"/>
    <s v="TASK-1682"/>
    <s v="PImcore environment set up"/>
    <s v="Develop"/>
    <x v="0"/>
    <d v="2015-11-09T14:00:00"/>
    <x v="8"/>
    <x v="0"/>
    <x v="28"/>
    <n v="4"/>
    <m/>
    <n v="87"/>
    <n v="87"/>
  </r>
  <r>
    <s v="Operation Team Task"/>
    <x v="3"/>
    <s v="Develop"/>
    <s v="TASK-1682"/>
    <s v="PImcore environment set up"/>
    <s v="Develop"/>
    <x v="0"/>
    <d v="2015-11-10T14:00:00"/>
    <x v="8"/>
    <x v="0"/>
    <x v="28"/>
    <n v="4"/>
    <m/>
    <n v="87"/>
    <n v="87"/>
  </r>
  <r>
    <s v="Operation Team Task"/>
    <x v="3"/>
    <s v="Develop"/>
    <s v="TASK-1682"/>
    <s v="PImcore environment set up"/>
    <s v="Develop"/>
    <x v="0"/>
    <d v="2015-11-11T14:00:00"/>
    <x v="8"/>
    <x v="0"/>
    <x v="28"/>
    <n v="4"/>
    <m/>
    <n v="87"/>
    <n v="87"/>
  </r>
  <r>
    <s v="Operation Team Task"/>
    <x v="3"/>
    <s v="Develop"/>
    <s v="TASK-1682"/>
    <s v="PImcore environment set up"/>
    <s v="Develop"/>
    <x v="0"/>
    <d v="2015-11-12T14:00:00"/>
    <x v="8"/>
    <x v="0"/>
    <x v="28"/>
    <n v="4"/>
    <m/>
    <n v="87"/>
    <n v="87"/>
  </r>
  <r>
    <s v="Operation Team Task"/>
    <x v="3"/>
    <s v="Develop"/>
    <s v="TASK-1682"/>
    <s v="PImcore environment set up"/>
    <s v="Develop"/>
    <x v="0"/>
    <d v="2015-11-13T14:00:00"/>
    <x v="8"/>
    <x v="0"/>
    <x v="28"/>
    <n v="4"/>
    <m/>
    <n v="87"/>
    <n v="87"/>
  </r>
  <r>
    <s v="Operation Team Task"/>
    <x v="3"/>
    <s v="Develop"/>
    <s v="TASK-1682"/>
    <s v="PImcore environment set up"/>
    <s v="Develop"/>
    <x v="0"/>
    <d v="2015-11-16T14:00:00"/>
    <x v="8"/>
    <x v="0"/>
    <x v="28"/>
    <n v="4"/>
    <m/>
    <n v="87"/>
    <n v="87"/>
  </r>
  <r>
    <s v="Operation Team Task"/>
    <x v="3"/>
    <s v="Develop"/>
    <s v="TASK-1682"/>
    <s v="PImcore environment set up"/>
    <s v="Develop"/>
    <x v="0"/>
    <d v="2015-11-17T14:00:00"/>
    <x v="8"/>
    <x v="0"/>
    <x v="28"/>
    <n v="4"/>
    <m/>
    <n v="87"/>
    <n v="87"/>
  </r>
  <r>
    <s v="Operation Team Task"/>
    <x v="3"/>
    <s v="Develop"/>
    <s v="TASK-1682"/>
    <s v="PImcore environment set up"/>
    <s v="Develop"/>
    <x v="0"/>
    <d v="2015-11-18T14:00:00"/>
    <x v="8"/>
    <x v="0"/>
    <x v="28"/>
    <n v="4"/>
    <m/>
    <n v="87"/>
    <n v="87"/>
  </r>
  <r>
    <s v="Operation Team Task"/>
    <x v="3"/>
    <s v="Develop"/>
    <s v="TASK-1682"/>
    <s v="PImcore environment set up"/>
    <s v="Develop"/>
    <x v="0"/>
    <d v="2015-11-19T14:00:00"/>
    <x v="8"/>
    <x v="0"/>
    <x v="28"/>
    <n v="4"/>
    <m/>
    <n v="87"/>
    <n v="87"/>
  </r>
  <r>
    <s v="Operation Team Task"/>
    <x v="3"/>
    <s v="Develop"/>
    <s v="TASK-1682"/>
    <s v="PImcore environment set up"/>
    <s v="Develop"/>
    <x v="0"/>
    <d v="2015-11-20T14:00:00"/>
    <x v="8"/>
    <x v="0"/>
    <x v="28"/>
    <n v="4"/>
    <m/>
    <n v="87"/>
    <n v="87"/>
  </r>
  <r>
    <s v="Operation Team Task"/>
    <x v="3"/>
    <s v="Develop"/>
    <s v="TASK-1682"/>
    <s v="PImcore environment set up"/>
    <s v="Develop"/>
    <x v="0"/>
    <d v="2015-11-21T14:00:00"/>
    <x v="8"/>
    <x v="0"/>
    <x v="28"/>
    <n v="4"/>
    <m/>
    <n v="87"/>
    <n v="87"/>
  </r>
  <r>
    <s v="Operation Team Task"/>
    <x v="3"/>
    <s v="Develop"/>
    <s v="TASK-1682"/>
    <s v="PImcore environment set up"/>
    <s v="Develop"/>
    <x v="0"/>
    <d v="2015-11-23T14:00:00"/>
    <x v="8"/>
    <x v="0"/>
    <x v="28"/>
    <n v="4"/>
    <m/>
    <n v="87"/>
    <n v="87"/>
  </r>
  <r>
    <s v="Operation Team Task"/>
    <x v="3"/>
    <s v="Develop"/>
    <s v="TASK-1682"/>
    <s v="PImcore environment set up"/>
    <s v="Develop"/>
    <x v="0"/>
    <d v="2015-11-24T14:00:00"/>
    <x v="8"/>
    <x v="0"/>
    <x v="28"/>
    <n v="4"/>
    <m/>
    <n v="87"/>
    <n v="87"/>
  </r>
  <r>
    <s v="Operation Team Task"/>
    <x v="3"/>
    <s v="Develop"/>
    <s v="TASK-1682"/>
    <s v="PImcore environment set up"/>
    <s v="Develop"/>
    <x v="0"/>
    <d v="2015-11-30T14:00:00"/>
    <x v="8"/>
    <x v="0"/>
    <x v="28"/>
    <n v="4"/>
    <m/>
    <n v="87"/>
    <n v="87"/>
  </r>
  <r>
    <s v="Operation Team Task"/>
    <x v="3"/>
    <s v="Maintenance"/>
    <s v="TASK-1683"/>
    <s v="telecom 2M leased line remove"/>
    <s v="Maintenance"/>
    <x v="1"/>
    <d v="2015-11-02T09:30:00"/>
    <x v="8"/>
    <x v="0"/>
    <x v="28"/>
    <n v="4"/>
    <m/>
    <n v="87"/>
    <n v="87"/>
  </r>
  <r>
    <s v="Operation Team Task"/>
    <x v="3"/>
    <s v="Maintenance"/>
    <s v="TASK-1683"/>
    <s v="telecom 2M leased line remove"/>
    <s v="Maintenance"/>
    <x v="1"/>
    <d v="2015-11-03T09:30:00"/>
    <x v="8"/>
    <x v="0"/>
    <x v="28"/>
    <n v="4"/>
    <m/>
    <n v="87"/>
    <n v="87"/>
  </r>
  <r>
    <s v="Operation Team Task"/>
    <x v="3"/>
    <s v="Maintenance"/>
    <s v="TASK-1683"/>
    <s v="telecom 2M leased line remove"/>
    <s v="Maintenance"/>
    <x v="1"/>
    <d v="2015-11-04T09:30:00"/>
    <x v="8"/>
    <x v="0"/>
    <x v="28"/>
    <n v="4"/>
    <m/>
    <n v="87"/>
    <n v="87"/>
  </r>
  <r>
    <s v="Operation Team Task"/>
    <x v="3"/>
    <s v="Maintenance"/>
    <s v="TASK-1683"/>
    <s v="telecom 2M leased line remove"/>
    <s v="Maintenance"/>
    <x v="1"/>
    <d v="2015-11-05T09:30:00"/>
    <x v="8"/>
    <x v="0"/>
    <x v="28"/>
    <n v="4"/>
    <m/>
    <n v="87"/>
    <n v="87"/>
  </r>
  <r>
    <s v="Operation Team Task"/>
    <x v="3"/>
    <s v="Maintenance"/>
    <s v="TASK-1683"/>
    <s v="telecom 2M leased line remove"/>
    <s v="Maintenance"/>
    <x v="1"/>
    <d v="2015-11-06T09:30:00"/>
    <x v="8"/>
    <x v="0"/>
    <x v="28"/>
    <n v="4"/>
    <m/>
    <n v="87"/>
    <n v="87"/>
  </r>
  <r>
    <s v="Operation Team Task"/>
    <x v="3"/>
    <s v="Maintenance"/>
    <s v="TASK-1683"/>
    <s v="telecom 2M leased line remove"/>
    <s v="Maintenance"/>
    <x v="1"/>
    <d v="2015-11-09T09:30:00"/>
    <x v="8"/>
    <x v="0"/>
    <x v="28"/>
    <n v="4"/>
    <m/>
    <n v="87"/>
    <n v="87"/>
  </r>
  <r>
    <s v="Operation Team Task"/>
    <x v="3"/>
    <s v="Maintenance"/>
    <s v="TASK-1683"/>
    <s v="telecom 2M leased line remove"/>
    <s v="Maintenance"/>
    <x v="1"/>
    <d v="2015-11-10T09:30:00"/>
    <x v="8"/>
    <x v="0"/>
    <x v="28"/>
    <n v="4"/>
    <m/>
    <n v="87"/>
    <n v="87"/>
  </r>
  <r>
    <s v="Operation Team Task"/>
    <x v="3"/>
    <s v="Maintenance"/>
    <s v="TASK-1683"/>
    <s v="telecom 2M leased line remove"/>
    <s v="Maintenance"/>
    <x v="1"/>
    <d v="2015-11-11T09:30:00"/>
    <x v="8"/>
    <x v="0"/>
    <x v="28"/>
    <n v="4"/>
    <m/>
    <n v="87"/>
    <n v="87"/>
  </r>
  <r>
    <s v="Operation Team Task"/>
    <x v="3"/>
    <s v="Maintenance"/>
    <s v="TASK-1683"/>
    <s v="telecom 2M leased line remove"/>
    <s v="Maintenance"/>
    <x v="1"/>
    <d v="2015-11-12T09:30:00"/>
    <x v="8"/>
    <x v="0"/>
    <x v="28"/>
    <n v="4"/>
    <m/>
    <n v="87"/>
    <n v="87"/>
  </r>
  <r>
    <s v="Operation Team Task"/>
    <x v="3"/>
    <s v="Maintenance"/>
    <s v="TASK-1683"/>
    <s v="telecom 2M leased line remove"/>
    <s v="Maintenance"/>
    <x v="1"/>
    <d v="2015-11-13T09:30:00"/>
    <x v="8"/>
    <x v="0"/>
    <x v="28"/>
    <n v="4"/>
    <m/>
    <n v="87"/>
    <n v="87"/>
  </r>
  <r>
    <s v="Operation Team Task"/>
    <x v="3"/>
    <s v="Maintenance"/>
    <s v="TASK-1683"/>
    <s v="telecom 2M leased line remove"/>
    <s v="Maintenance"/>
    <x v="1"/>
    <d v="2015-11-16T09:30:00"/>
    <x v="8"/>
    <x v="0"/>
    <x v="28"/>
    <n v="4"/>
    <m/>
    <n v="87"/>
    <n v="87"/>
  </r>
  <r>
    <s v="Operation Team Task"/>
    <x v="3"/>
    <s v="Maintenance"/>
    <s v="TASK-1683"/>
    <s v="telecom 2M leased line remove"/>
    <s v="Maintenance"/>
    <x v="1"/>
    <d v="2015-11-17T09:30:00"/>
    <x v="8"/>
    <x v="0"/>
    <x v="28"/>
    <n v="4"/>
    <m/>
    <n v="87"/>
    <n v="87"/>
  </r>
  <r>
    <s v="Operation Team Task"/>
    <x v="3"/>
    <s v="Maintenance"/>
    <s v="TASK-1683"/>
    <s v="telecom 2M leased line remove"/>
    <s v="Maintenance"/>
    <x v="1"/>
    <d v="2015-11-18T09:30:00"/>
    <x v="8"/>
    <x v="0"/>
    <x v="28"/>
    <n v="4"/>
    <m/>
    <n v="87"/>
    <n v="87"/>
  </r>
  <r>
    <s v="Operation Team Task"/>
    <x v="3"/>
    <s v="Maintenance"/>
    <s v="TASK-1683"/>
    <s v="telecom 2M leased line remove"/>
    <s v="Maintenance"/>
    <x v="1"/>
    <d v="2015-11-19T09:30:00"/>
    <x v="8"/>
    <x v="0"/>
    <x v="28"/>
    <n v="4"/>
    <m/>
    <n v="87"/>
    <n v="87"/>
  </r>
  <r>
    <s v="Operation Team Task"/>
    <x v="3"/>
    <s v="Maintenance"/>
    <s v="TASK-1683"/>
    <s v="telecom 2M leased line remove"/>
    <s v="Maintenance"/>
    <x v="1"/>
    <d v="2015-11-21T09:30:00"/>
    <x v="8"/>
    <x v="0"/>
    <x v="28"/>
    <n v="4"/>
    <m/>
    <n v="87"/>
    <n v="87"/>
  </r>
  <r>
    <s v="Operation Team Task"/>
    <x v="3"/>
    <s v="Maintenance"/>
    <s v="TASK-1683"/>
    <s v="telecom 2M leased line remove"/>
    <s v="Maintenance"/>
    <x v="1"/>
    <d v="2015-11-23T09:30:00"/>
    <x v="8"/>
    <x v="0"/>
    <x v="28"/>
    <n v="4"/>
    <m/>
    <n v="87"/>
    <n v="87"/>
  </r>
  <r>
    <s v="Operation Team Task"/>
    <x v="3"/>
    <s v="Maintenance"/>
    <s v="TASK-1683"/>
    <s v="telecom 2M leased line remove"/>
    <s v="Maintenance"/>
    <x v="1"/>
    <d v="2015-11-24T09:30:00"/>
    <x v="8"/>
    <x v="0"/>
    <x v="28"/>
    <n v="4"/>
    <m/>
    <n v="87"/>
    <n v="87"/>
  </r>
  <r>
    <s v="Operation Team Task"/>
    <x v="3"/>
    <s v="Maintenance"/>
    <s v="TASK-1683"/>
    <s v="telecom 2M leased line remove"/>
    <s v="Maintenance"/>
    <x v="1"/>
    <d v="2015-11-25T09:30:00"/>
    <x v="8"/>
    <x v="0"/>
    <x v="28"/>
    <n v="4"/>
    <m/>
    <n v="87"/>
    <n v="87"/>
  </r>
  <r>
    <s v="Operation Team Task"/>
    <x v="3"/>
    <s v="Maintenance"/>
    <s v="TASK-1683"/>
    <s v="telecom 2M leased line remove"/>
    <s v="Maintenance"/>
    <x v="1"/>
    <d v="2015-11-26T09:30:00"/>
    <x v="8"/>
    <x v="0"/>
    <x v="28"/>
    <n v="4"/>
    <m/>
    <n v="87"/>
    <n v="87"/>
  </r>
  <r>
    <s v="Operation Team Task"/>
    <x v="3"/>
    <s v="Maintenance"/>
    <s v="TASK-1683"/>
    <s v="telecom 2M leased line remove"/>
    <s v="Maintenance"/>
    <x v="1"/>
    <d v="2015-11-27T09:30:00"/>
    <x v="8"/>
    <x v="0"/>
    <x v="28"/>
    <n v="4"/>
    <m/>
    <n v="87"/>
    <n v="87"/>
  </r>
  <r>
    <s v="Operation Team Task"/>
    <x v="3"/>
    <s v="Maintenance"/>
    <s v="TASK-1683"/>
    <s v="telecom 2M leased line remove"/>
    <s v="Maintenance"/>
    <x v="1"/>
    <d v="2015-11-30T09:30:00"/>
    <x v="8"/>
    <x v="0"/>
    <x v="28"/>
    <n v="4"/>
    <m/>
    <n v="87"/>
    <n v="87"/>
  </r>
  <r>
    <s v="WTI integration"/>
    <x v="2"/>
    <s v="Task"/>
    <s v="WTI-1"/>
    <s v="Full CVS export functions using sync.php"/>
    <s v="Task"/>
    <x v="0"/>
    <d v="2015-10-16T18:32:00"/>
    <x v="5"/>
    <x v="0"/>
    <x v="22"/>
    <n v="4"/>
    <m/>
    <n v="127.5"/>
    <n v="22.500000000000004"/>
  </r>
  <r>
    <s v="WTI integration"/>
    <x v="2"/>
    <s v="Task"/>
    <s v="WTI-2"/>
    <s v="Separate the current sync function into two."/>
    <s v="Task"/>
    <x v="0"/>
    <d v="2015-10-19T18:32:00"/>
    <x v="5"/>
    <x v="0"/>
    <x v="22"/>
    <n v="6"/>
    <m/>
    <n v="127.5"/>
    <n v="22.500000000000004"/>
  </r>
  <r>
    <s v="WTI integration"/>
    <x v="2"/>
    <s v="Task"/>
    <s v="WTI-2"/>
    <s v="Separate the current sync function into two."/>
    <s v="Task"/>
    <x v="0"/>
    <d v="2015-11-03T10:41:00"/>
    <x v="8"/>
    <x v="0"/>
    <x v="22"/>
    <n v="7"/>
    <m/>
    <n v="147.9"/>
    <n v="26.100000000000005"/>
  </r>
  <r>
    <s v="WTI integration"/>
    <x v="2"/>
    <s v="Bug"/>
    <s v="WTI-3"/>
    <s v="Fix the existing bugs that makes the 2 last modified date the same after each data CVS export"/>
    <s v="Bug"/>
    <x v="1"/>
    <d v="2015-10-19T18:32:00"/>
    <x v="5"/>
    <x v="0"/>
    <x v="22"/>
    <n v="2"/>
    <m/>
    <n v="127.5"/>
    <n v="22.500000000000004"/>
  </r>
  <r>
    <s v="WTI integration"/>
    <x v="2"/>
    <s v="Bug"/>
    <s v="WTI-3"/>
    <s v="Fix the existing bugs that makes the 2 last modified date the same after each data CVS export"/>
    <s v="Bug"/>
    <x v="1"/>
    <d v="2015-10-28T12:41:00"/>
    <x v="5"/>
    <x v="0"/>
    <x v="22"/>
    <n v="5"/>
    <m/>
    <n v="127.5"/>
    <n v="22.500000000000004"/>
  </r>
  <r>
    <s v="WTI integration"/>
    <x v="2"/>
    <s v="Bug"/>
    <s v="WTI-3"/>
    <s v="Fix the existing bugs that makes the 2 last modified date the same after each data CVS export"/>
    <s v="Bug"/>
    <x v="1"/>
    <d v="2015-11-05T10:41:00"/>
    <x v="8"/>
    <x v="0"/>
    <x v="22"/>
    <n v="7"/>
    <m/>
    <n v="147.9"/>
    <n v="26.100000000000005"/>
  </r>
  <r>
    <s v="WTI integration"/>
    <x v="1"/>
    <s v="Bug"/>
    <s v="WTI-4"/>
    <s v="WIT integration testing bugs"/>
    <s v="Bug"/>
    <x v="1"/>
    <d v="2015-10-13T18:36:00"/>
    <x v="5"/>
    <x v="0"/>
    <x v="1"/>
    <n v="0.5"/>
    <s v="Clarify"/>
    <n v="127.5"/>
    <n v="22.500000000000004"/>
  </r>
  <r>
    <s v="WTI integration"/>
    <x v="1"/>
    <s v="Bug"/>
    <s v="WTI-4"/>
    <s v="WIT integration testing bugs"/>
    <s v="Bug"/>
    <x v="1"/>
    <d v="2015-10-19T18:38:00"/>
    <x v="5"/>
    <x v="0"/>
    <x v="1"/>
    <n v="3"/>
    <s v="Testing Config"/>
    <n v="127.5"/>
    <n v="22.500000000000004"/>
  </r>
  <r>
    <s v="WTI integration"/>
    <x v="1"/>
    <s v="Bug"/>
    <s v="WTI-4"/>
    <s v="WIT integration testing bugs"/>
    <s v="Bug"/>
    <x v="1"/>
    <d v="2015-10-21T09:57:00"/>
    <x v="5"/>
    <x v="0"/>
    <x v="1"/>
    <n v="4"/>
    <m/>
    <n v="127.5"/>
    <n v="22.500000000000004"/>
  </r>
  <r>
    <s v="WTI integration"/>
    <x v="1"/>
    <s v="Bug"/>
    <s v="WTI-4"/>
    <s v="WIT integration testing bugs"/>
    <s v="Bug"/>
    <x v="1"/>
    <d v="2015-10-22T09:57:00"/>
    <x v="5"/>
    <x v="0"/>
    <x v="1"/>
    <n v="8"/>
    <m/>
    <n v="127.5"/>
    <n v="22.500000000000004"/>
  </r>
  <r>
    <s v="WTI integration"/>
    <x v="1"/>
    <s v="Bug"/>
    <s v="WTI-4"/>
    <s v="WIT integration testing bugs"/>
    <s v="Bug"/>
    <x v="1"/>
    <d v="2015-10-29T18:13:00"/>
    <x v="5"/>
    <x v="0"/>
    <x v="1"/>
    <n v="4"/>
    <m/>
    <n v="127.5"/>
    <n v="22.500000000000004"/>
  </r>
  <r>
    <s v="WTI integration"/>
    <x v="2"/>
    <s v="Bug"/>
    <s v="WTI-4"/>
    <s v="WIT integration testing bugs"/>
    <s v="Bug"/>
    <x v="1"/>
    <d v="2015-10-29T18:22:00"/>
    <x v="5"/>
    <x v="0"/>
    <x v="22"/>
    <n v="4"/>
    <m/>
    <n v="127.5"/>
    <n v="22.500000000000004"/>
  </r>
  <r>
    <s v="WTI integration"/>
    <x v="2"/>
    <s v="Bug"/>
    <s v="WTI-4"/>
    <s v="WIT integration testing bugs"/>
    <s v="Bug"/>
    <x v="1"/>
    <d v="2015-10-30T15:44:00"/>
    <x v="5"/>
    <x v="0"/>
    <x v="22"/>
    <n v="2"/>
    <m/>
    <n v="127.5"/>
    <n v="22.500000000000004"/>
  </r>
  <r>
    <s v="WTI integration"/>
    <x v="1"/>
    <s v="Bug"/>
    <s v="WTI-4"/>
    <s v="WIT integration testing bugs"/>
    <s v="Bug"/>
    <x v="1"/>
    <d v="2015-11-02T17:36:00"/>
    <x v="8"/>
    <x v="0"/>
    <x v="1"/>
    <n v="4"/>
    <m/>
    <n v="147.9"/>
    <n v="26.100000000000005"/>
  </r>
  <r>
    <s v="WTI integration"/>
    <x v="1"/>
    <s v="Bug"/>
    <s v="WTI-4"/>
    <s v="WIT integration testing bugs"/>
    <s v="Bug"/>
    <x v="1"/>
    <d v="2015-11-06T19:44:00"/>
    <x v="8"/>
    <x v="0"/>
    <x v="1"/>
    <n v="6"/>
    <m/>
    <n v="147.9"/>
    <n v="26.100000000000005"/>
  </r>
  <r>
    <s v="WTI integration"/>
    <x v="1"/>
    <s v="Bug"/>
    <s v="WTI-4"/>
    <s v="WIT integration testing bugs"/>
    <s v="Bug"/>
    <x v="1"/>
    <d v="2015-11-09T19:45:00"/>
    <x v="8"/>
    <x v="0"/>
    <x v="1"/>
    <n v="6"/>
    <m/>
    <n v="147.9"/>
    <n v="26.100000000000005"/>
  </r>
  <r>
    <s v="WTI integration"/>
    <x v="2"/>
    <s v="Bug"/>
    <s v="WTI-4"/>
    <s v="WIT integration testing bugs"/>
    <s v="Bug"/>
    <x v="1"/>
    <d v="2015-11-11T11:40:00"/>
    <x v="8"/>
    <x v="0"/>
    <x v="22"/>
    <n v="6"/>
    <m/>
    <n v="147.9"/>
    <n v="26.100000000000005"/>
  </r>
  <r>
    <s v="WTI integration"/>
    <x v="2"/>
    <s v="Bug"/>
    <s v="WTI-4"/>
    <s v="WIT integration testing bugs"/>
    <s v="Bug"/>
    <x v="1"/>
    <d v="2015-11-13T13:40:00"/>
    <x v="8"/>
    <x v="0"/>
    <x v="22"/>
    <n v="4"/>
    <m/>
    <n v="147.9"/>
    <n v="26.100000000000005"/>
  </r>
  <r>
    <s v="WTI integration"/>
    <x v="2"/>
    <s v="Bug"/>
    <s v="WTI-4"/>
    <s v="WIT integration testing bugs"/>
    <s v="Bug"/>
    <x v="1"/>
    <d v="2015-11-20T09:42:00"/>
    <x v="8"/>
    <x v="0"/>
    <x v="22"/>
    <n v="8"/>
    <m/>
    <n v="147.9"/>
    <n v="26.100000000000005"/>
  </r>
  <r>
    <s v="WTI integration"/>
    <x v="2"/>
    <s v="Bug"/>
    <s v="WTI-4"/>
    <s v="WIT integration testing bugs"/>
    <s v="Bug"/>
    <x v="1"/>
    <d v="2015-11-24T09:42:00"/>
    <x v="8"/>
    <x v="0"/>
    <x v="22"/>
    <n v="8"/>
    <m/>
    <n v="147.9"/>
    <n v="26.100000000000005"/>
  </r>
  <r>
    <s v="WTI integration"/>
    <x v="2"/>
    <s v="Bug"/>
    <s v="WTI-4"/>
    <s v="WIT integration testing bugs"/>
    <s v="Bug"/>
    <x v="1"/>
    <d v="2015-11-25T09:42:00"/>
    <x v="8"/>
    <x v="0"/>
    <x v="22"/>
    <n v="8"/>
    <m/>
    <n v="147.9"/>
    <n v="26.100000000000005"/>
  </r>
  <r>
    <s v="WTI integration"/>
    <x v="2"/>
    <s v="Bug"/>
    <s v="WTI-4"/>
    <s v="WIT integration testing bugs"/>
    <s v="Bug"/>
    <x v="1"/>
    <d v="2015-11-26T15:44:00"/>
    <x v="8"/>
    <x v="0"/>
    <x v="22"/>
    <n v="2"/>
    <m/>
    <n v="147.9"/>
    <n v="26.100000000000005"/>
  </r>
  <r>
    <s v="WTI integration"/>
    <x v="2"/>
    <s v="Bug"/>
    <s v="WTI-4"/>
    <s v="WIT integration testing bugs"/>
    <s v="Bug"/>
    <x v="1"/>
    <d v="2015-11-30T15:44:00"/>
    <x v="8"/>
    <x v="0"/>
    <x v="22"/>
    <n v="2"/>
    <m/>
    <n v="147.9"/>
    <n v="26.100000000000005"/>
  </r>
  <r>
    <s v="WTI integration"/>
    <x v="2"/>
    <s v="Technical task"/>
    <s v="WTI-17"/>
    <s v="WTI-4&gt; Some files are not the same in the two folders with special symbols"/>
    <s v="Technical task"/>
    <x v="0"/>
    <d v="2015-11-06T09:40:00"/>
    <x v="8"/>
    <x v="0"/>
    <x v="22"/>
    <n v="8"/>
    <m/>
    <n v="147.9"/>
    <n v="26.100000000000005"/>
  </r>
  <r>
    <s v="WTI integration"/>
    <x v="2"/>
    <s v="Technical task"/>
    <s v="WTI-17"/>
    <s v="WTI-4&gt; Some files are not the same in the two folders with special symbols"/>
    <s v="Technical task"/>
    <x v="0"/>
    <d v="2015-11-12T10:16:00"/>
    <x v="8"/>
    <x v="0"/>
    <x v="22"/>
    <n v="8"/>
    <m/>
    <n v="147.9"/>
    <n v="26.100000000000005"/>
  </r>
  <r>
    <s v="WTI integration"/>
    <x v="2"/>
    <s v="Technical task"/>
    <s v="WTI-17"/>
    <s v="WTI-4&gt; Some files are not the same in the two folders with special symbols"/>
    <s v="Technical task"/>
    <x v="0"/>
    <d v="2015-11-13T10:17:00"/>
    <x v="8"/>
    <x v="0"/>
    <x v="22"/>
    <n v="2"/>
    <m/>
    <n v="147.9"/>
    <n v="26.100000000000005"/>
  </r>
  <r>
    <s v="WTI integration"/>
    <x v="2"/>
    <s v="Technical task"/>
    <s v="WTI-17"/>
    <s v="WTI-4&gt; Some files are not the same in the two folders with special symbols"/>
    <s v="Technical task"/>
    <x v="0"/>
    <d v="2015-11-19T09:40:00"/>
    <x v="8"/>
    <x v="0"/>
    <x v="22"/>
    <n v="8"/>
    <m/>
    <n v="147.9"/>
    <n v="26.100000000000005"/>
  </r>
  <r>
    <s v="SBG - Desktop"/>
    <x v="1"/>
    <s v="New Feature"/>
    <s v="DESK-1801"/>
    <s v="New cart - DIA for contact lenses unit error"/>
    <s v="New Feature"/>
    <x v="0"/>
    <d v="2015-12-22T11:02:00"/>
    <x v="9"/>
    <x v="0"/>
    <x v="8"/>
    <n v="0.5"/>
    <m/>
    <n v="147.9"/>
    <n v="26.100000000000005"/>
  </r>
  <r>
    <s v="SBG - Desktop"/>
    <x v="2"/>
    <s v="New Feature"/>
    <s v="DESK-2123"/>
    <s v="Product Page - Layout tweaks"/>
    <s v="New Feature"/>
    <x v="0"/>
    <d v="2015-12-03T09:33:00"/>
    <x v="9"/>
    <x v="0"/>
    <x v="11"/>
    <n v="8"/>
    <m/>
    <n v="147.9"/>
    <n v="26.100000000000005"/>
  </r>
  <r>
    <s v="SBG - Desktop"/>
    <x v="2"/>
    <s v="New Feature"/>
    <s v="DESK-2123"/>
    <s v="Product Page - Layout tweaks"/>
    <s v="New Feature"/>
    <x v="0"/>
    <d v="2015-12-04T09:30:00"/>
    <x v="9"/>
    <x v="0"/>
    <x v="11"/>
    <n v="6"/>
    <m/>
    <n v="147.9"/>
    <n v="26.100000000000005"/>
  </r>
  <r>
    <s v="SBG - Desktop"/>
    <x v="0"/>
    <s v="New Feature"/>
    <s v="DESK-2123"/>
    <s v="Product Page - Layout tweaks"/>
    <s v="New Feature"/>
    <x v="0"/>
    <d v="2016-01-21T09:33:00"/>
    <x v="10"/>
    <x v="1"/>
    <x v="19"/>
    <n v="8"/>
    <m/>
    <n v="83"/>
    <n v="83"/>
  </r>
  <r>
    <s v="SBG - Desktop"/>
    <x v="0"/>
    <s v="New Feature"/>
    <s v="DESK-2123"/>
    <s v="Product Page - Layout tweaks"/>
    <s v="New Feature"/>
    <x v="0"/>
    <d v="2016-01-25T09:38:00"/>
    <x v="10"/>
    <x v="1"/>
    <x v="19"/>
    <n v="8"/>
    <m/>
    <n v="83"/>
    <n v="83"/>
  </r>
  <r>
    <s v="SBG - Desktop"/>
    <x v="2"/>
    <s v="New Feature"/>
    <s v="DESK-2137"/>
    <s v="Contact lenses landing pages crawlable content"/>
    <s v="New Feature"/>
    <x v="0"/>
    <d v="2016-01-22T21:30:00"/>
    <x v="10"/>
    <x v="1"/>
    <x v="11"/>
    <n v="6"/>
    <m/>
    <n v="141.1"/>
    <n v="24.900000000000002"/>
  </r>
  <r>
    <s v="SBG - Desktop"/>
    <x v="2"/>
    <s v="New Feature"/>
    <s v="DESK-2276"/>
    <s v="New Payment partner - Go Interpay"/>
    <s v="New Feature"/>
    <x v="0"/>
    <d v="2016-01-20T18:25:00"/>
    <x v="10"/>
    <x v="1"/>
    <x v="22"/>
    <n v="6"/>
    <m/>
    <n v="141.1"/>
    <n v="24.900000000000002"/>
  </r>
  <r>
    <s v="SBG - Desktop"/>
    <x v="2"/>
    <s v="New Feature"/>
    <s v="DESK-2276"/>
    <s v="New Payment partner - Go Interpay"/>
    <s v="New Feature"/>
    <x v="0"/>
    <d v="2016-01-21T17:33:00"/>
    <x v="10"/>
    <x v="1"/>
    <x v="22"/>
    <n v="2"/>
    <m/>
    <n v="141.1"/>
    <n v="24.900000000000002"/>
  </r>
  <r>
    <s v="SBG - Desktop"/>
    <x v="2"/>
    <s v="New Feature"/>
    <s v="DESK-2276"/>
    <s v="New Payment partner - Go Interpay"/>
    <s v="New Feature"/>
    <x v="0"/>
    <d v="2016-01-25T17:34:00"/>
    <x v="10"/>
    <x v="1"/>
    <x v="22"/>
    <n v="6"/>
    <m/>
    <n v="141.1"/>
    <n v="24.900000000000002"/>
  </r>
  <r>
    <s v="SBG - Desktop"/>
    <x v="2"/>
    <s v="New Feature"/>
    <s v="DESK-2276"/>
    <s v="New Payment partner - Go Interpay"/>
    <s v="New Feature"/>
    <x v="0"/>
    <d v="2016-01-26T17:34:00"/>
    <x v="10"/>
    <x v="1"/>
    <x v="22"/>
    <n v="8"/>
    <m/>
    <n v="141.1"/>
    <n v="24.900000000000002"/>
  </r>
  <r>
    <s v="SBG - Desktop"/>
    <x v="2"/>
    <s v="New Feature"/>
    <s v="DESK-2276"/>
    <s v="New Payment partner - Go Interpay"/>
    <s v="New Feature"/>
    <x v="0"/>
    <d v="2016-01-28T09:51:00"/>
    <x v="10"/>
    <x v="1"/>
    <x v="22"/>
    <n v="8"/>
    <m/>
    <n v="141.1"/>
    <n v="24.900000000000002"/>
  </r>
  <r>
    <s v="SBG - Desktop"/>
    <x v="2"/>
    <s v="New Feature"/>
    <s v="DESK-2276"/>
    <s v="New Payment partner - Go Interpay"/>
    <s v="New Feature"/>
    <x v="0"/>
    <d v="2016-01-29T09:51:00"/>
    <x v="10"/>
    <x v="1"/>
    <x v="22"/>
    <n v="8"/>
    <m/>
    <n v="141.1"/>
    <n v="24.900000000000002"/>
  </r>
  <r>
    <s v="SBG - Desktop"/>
    <x v="1"/>
    <s v="New Feature"/>
    <s v="DESK-2565"/>
    <s v="UX issue - Mega menu &gt; Transitions"/>
    <s v="New Feature"/>
    <x v="0"/>
    <d v="2015-12-07T12:25:00"/>
    <x v="9"/>
    <x v="0"/>
    <x v="21"/>
    <n v="4"/>
    <m/>
    <n v="147.9"/>
    <n v="26.100000000000005"/>
  </r>
  <r>
    <s v="SBG - Desktop"/>
    <x v="0"/>
    <s v="New Feature"/>
    <s v="DESK-2565"/>
    <s v="UX issue - Mega menu &gt; Transitions"/>
    <s v="New Feature"/>
    <x v="0"/>
    <d v="2015-12-10T13:35:00"/>
    <x v="9"/>
    <x v="0"/>
    <x v="19"/>
    <n v="4"/>
    <m/>
    <n v="87"/>
    <n v="87"/>
  </r>
  <r>
    <s v="SBG - Desktop"/>
    <x v="1"/>
    <s v="New Feature"/>
    <s v="DESK-2565"/>
    <s v="UX issue - Mega menu &gt; Transitions"/>
    <s v="New Feature"/>
    <x v="0"/>
    <d v="2015-12-10T15:15:00"/>
    <x v="9"/>
    <x v="0"/>
    <x v="21"/>
    <n v="1"/>
    <m/>
    <n v="147.9"/>
    <n v="26.100000000000005"/>
  </r>
  <r>
    <s v="SBG - Desktop"/>
    <x v="1"/>
    <s v="New Feature"/>
    <s v="DESK-2565"/>
    <s v="UX issue - Mega menu &gt; Transitions"/>
    <s v="New Feature"/>
    <x v="0"/>
    <d v="2015-12-10T16:40:00"/>
    <x v="9"/>
    <x v="0"/>
    <x v="21"/>
    <n v="2"/>
    <m/>
    <n v="147.9"/>
    <n v="26.100000000000005"/>
  </r>
  <r>
    <s v="SBG - Desktop"/>
    <x v="0"/>
    <s v="New Feature"/>
    <s v="DESK-2565"/>
    <s v="UX issue - Mega menu &gt; Transitions"/>
    <s v="New Feature"/>
    <x v="0"/>
    <d v="2015-12-11T09:30:00"/>
    <x v="9"/>
    <x v="0"/>
    <x v="19"/>
    <n v="5"/>
    <m/>
    <n v="87"/>
    <n v="87"/>
  </r>
  <r>
    <s v="SBG - Desktop"/>
    <x v="0"/>
    <s v="New Feature"/>
    <s v="DESK-2565"/>
    <s v="UX issue - Mega menu &gt; Transitions"/>
    <s v="New Feature"/>
    <x v="0"/>
    <d v="2015-12-14T09:49:00"/>
    <x v="9"/>
    <x v="0"/>
    <x v="19"/>
    <n v="2"/>
    <m/>
    <n v="87"/>
    <n v="87"/>
  </r>
  <r>
    <s v="SBG - Desktop"/>
    <x v="1"/>
    <s v="Improvement"/>
    <s v="DESK-2570"/>
    <s v="UX Grid page &gt; Update to SEARCH style for filter"/>
    <s v="Improvement"/>
    <x v="0"/>
    <d v="2015-12-02T18:35:00"/>
    <x v="9"/>
    <x v="0"/>
    <x v="23"/>
    <n v="3"/>
    <m/>
    <n v="147.9"/>
    <n v="26.100000000000005"/>
  </r>
  <r>
    <s v="SBG - Desktop"/>
    <x v="2"/>
    <s v="Improvement"/>
    <s v="DESK-2570"/>
    <s v="UX Grid page &gt; Update to SEARCH style for filter"/>
    <s v="Improvement"/>
    <x v="0"/>
    <d v="2015-12-04T14:00:00"/>
    <x v="9"/>
    <x v="0"/>
    <x v="11"/>
    <n v="3"/>
    <m/>
    <n v="147.9"/>
    <n v="26.100000000000005"/>
  </r>
  <r>
    <s v="SBG - Desktop"/>
    <x v="2"/>
    <s v="Improvement"/>
    <s v="DESK-2570"/>
    <s v="UX Grid page &gt; Update to SEARCH style for filter"/>
    <s v="Improvement"/>
    <x v="0"/>
    <d v="2015-12-07T09:30:00"/>
    <x v="9"/>
    <x v="0"/>
    <x v="11"/>
    <n v="4"/>
    <m/>
    <n v="147.9"/>
    <n v="26.100000000000005"/>
  </r>
  <r>
    <s v="SBG - Desktop"/>
    <x v="0"/>
    <s v="Improvement"/>
    <s v="DESK-2570"/>
    <s v="UX Grid page &gt; Update to SEARCH style for filter"/>
    <s v="Improvement"/>
    <x v="0"/>
    <d v="2015-12-07T11:47:00"/>
    <x v="9"/>
    <x v="0"/>
    <x v="19"/>
    <n v="2"/>
    <m/>
    <n v="87"/>
    <n v="87"/>
  </r>
  <r>
    <s v="SBG - Desktop"/>
    <x v="0"/>
    <s v="Improvement"/>
    <s v="DESK-2570"/>
    <s v="UX Grid page &gt; Update to SEARCH style for filter"/>
    <s v="Improvement"/>
    <x v="0"/>
    <d v="2015-12-08T10:49:00"/>
    <x v="9"/>
    <x v="0"/>
    <x v="19"/>
    <n v="1"/>
    <m/>
    <n v="87"/>
    <n v="87"/>
  </r>
  <r>
    <s v="SBG - Desktop"/>
    <x v="1"/>
    <s v="Improvement"/>
    <s v="DESK-2570"/>
    <s v="UX Grid page &gt; Update to SEARCH style for filter"/>
    <s v="Improvement"/>
    <x v="0"/>
    <d v="2015-12-09T13:51:00"/>
    <x v="9"/>
    <x v="0"/>
    <x v="23"/>
    <n v="2"/>
    <m/>
    <n v="147.9"/>
    <n v="26.100000000000005"/>
  </r>
  <r>
    <s v="SBG - Desktop"/>
    <x v="2"/>
    <s v="New Feature"/>
    <s v="DESK-2595"/>
    <s v="Universal analytics implementation"/>
    <s v="New Feature"/>
    <x v="0"/>
    <d v="2015-12-14T17:15:00"/>
    <x v="9"/>
    <x v="0"/>
    <x v="10"/>
    <n v="8"/>
    <m/>
    <n v="147.9"/>
    <n v="26.100000000000005"/>
  </r>
  <r>
    <s v="SBG - Desktop"/>
    <x v="2"/>
    <s v="New Feature"/>
    <s v="DESK-2595"/>
    <s v="Universal analytics implementation"/>
    <s v="New Feature"/>
    <x v="0"/>
    <d v="2015-12-15T17:15:00"/>
    <x v="9"/>
    <x v="0"/>
    <x v="10"/>
    <n v="6"/>
    <m/>
    <n v="147.9"/>
    <n v="26.100000000000005"/>
  </r>
  <r>
    <s v="SBG - Desktop"/>
    <x v="0"/>
    <s v="New Feature"/>
    <s v="DESK-2595"/>
    <s v="Universal analytics implementation"/>
    <s v="New Feature"/>
    <x v="0"/>
    <d v="2015-12-16T15:13:00"/>
    <x v="9"/>
    <x v="0"/>
    <x v="19"/>
    <n v="2"/>
    <m/>
    <n v="87"/>
    <n v="87"/>
  </r>
  <r>
    <s v="SBG - Desktop"/>
    <x v="2"/>
    <s v="New Feature"/>
    <s v="DESK-2595"/>
    <s v="Universal analytics implementation"/>
    <s v="New Feature"/>
    <x v="0"/>
    <d v="2015-12-16T17:15:00"/>
    <x v="9"/>
    <x v="0"/>
    <x v="10"/>
    <n v="8"/>
    <m/>
    <n v="147.9"/>
    <n v="26.100000000000005"/>
  </r>
  <r>
    <s v="SBG - Desktop"/>
    <x v="0"/>
    <s v="New Feature"/>
    <s v="DESK-2595"/>
    <s v="Universal analytics implementation"/>
    <s v="New Feature"/>
    <x v="0"/>
    <d v="2015-12-16T23:04:00"/>
    <x v="9"/>
    <x v="0"/>
    <x v="19"/>
    <n v="2"/>
    <m/>
    <n v="87"/>
    <n v="87"/>
  </r>
  <r>
    <s v="SBG - Desktop"/>
    <x v="0"/>
    <s v="New Feature"/>
    <s v="DESK-2595"/>
    <s v="Universal analytics implementation"/>
    <s v="New Feature"/>
    <x v="0"/>
    <d v="2015-12-17T09:46:00"/>
    <x v="9"/>
    <x v="0"/>
    <x v="19"/>
    <n v="2"/>
    <m/>
    <n v="87"/>
    <n v="87"/>
  </r>
  <r>
    <s v="SBG - Desktop"/>
    <x v="0"/>
    <s v="New Feature"/>
    <s v="DESK-2595"/>
    <s v="Universal analytics implementation"/>
    <s v="New Feature"/>
    <x v="0"/>
    <d v="2015-12-17T14:00:00"/>
    <x v="9"/>
    <x v="0"/>
    <x v="19"/>
    <n v="2"/>
    <m/>
    <n v="87"/>
    <n v="87"/>
  </r>
  <r>
    <s v="SBG - Desktop"/>
    <x v="2"/>
    <s v="New Feature"/>
    <s v="DESK-2595"/>
    <s v="Universal analytics implementation"/>
    <s v="New Feature"/>
    <x v="0"/>
    <d v="2015-12-18T09:46:00"/>
    <x v="9"/>
    <x v="0"/>
    <x v="10"/>
    <n v="5"/>
    <m/>
    <n v="147.9"/>
    <n v="26.100000000000005"/>
  </r>
  <r>
    <s v="SBG - Desktop"/>
    <x v="2"/>
    <s v="New Feature"/>
    <s v="DESK-2595"/>
    <s v="Universal analytics implementation"/>
    <s v="New Feature"/>
    <x v="0"/>
    <d v="2015-12-21T09:36:00"/>
    <x v="9"/>
    <x v="0"/>
    <x v="10"/>
    <n v="2"/>
    <m/>
    <n v="147.9"/>
    <n v="26.100000000000005"/>
  </r>
  <r>
    <s v="SBG - Desktop"/>
    <x v="0"/>
    <s v="New Feature"/>
    <s v="DESK-2595"/>
    <s v="Universal analytics implementation"/>
    <s v="New Feature"/>
    <x v="0"/>
    <d v="2015-12-21T14:41:00"/>
    <x v="9"/>
    <x v="0"/>
    <x v="19"/>
    <n v="2"/>
    <m/>
    <n v="87"/>
    <n v="87"/>
  </r>
  <r>
    <s v="SBG - Desktop"/>
    <x v="0"/>
    <s v="New Feature"/>
    <s v="DESK-2595"/>
    <s v="Universal analytics implementation"/>
    <s v="New Feature"/>
    <x v="0"/>
    <d v="2015-12-22T10:59:00"/>
    <x v="9"/>
    <x v="0"/>
    <x v="19"/>
    <n v="6"/>
    <m/>
    <n v="87"/>
    <n v="87"/>
  </r>
  <r>
    <s v="SBG - Desktop"/>
    <x v="2"/>
    <s v="New Feature"/>
    <s v="DESK-2595"/>
    <s v="Universal analytics implementation"/>
    <s v="New Feature"/>
    <x v="0"/>
    <d v="2015-12-22T14:15:00"/>
    <x v="9"/>
    <x v="0"/>
    <x v="10"/>
    <n v="8"/>
    <m/>
    <n v="147.9"/>
    <n v="26.100000000000005"/>
  </r>
  <r>
    <s v="SBG - Desktop"/>
    <x v="0"/>
    <s v="New Feature"/>
    <s v="DESK-2595"/>
    <s v="Universal analytics implementation"/>
    <s v="New Feature"/>
    <x v="0"/>
    <d v="2015-12-23T10:06:00"/>
    <x v="9"/>
    <x v="0"/>
    <x v="19"/>
    <n v="6"/>
    <m/>
    <n v="87"/>
    <n v="87"/>
  </r>
  <r>
    <s v="SBG - Desktop"/>
    <x v="2"/>
    <s v="New Feature"/>
    <s v="DESK-2595"/>
    <s v="Universal analytics implementation"/>
    <s v="New Feature"/>
    <x v="0"/>
    <d v="2015-12-23T18:21:00"/>
    <x v="9"/>
    <x v="0"/>
    <x v="10"/>
    <n v="4"/>
    <m/>
    <n v="147.9"/>
    <n v="26.100000000000005"/>
  </r>
  <r>
    <s v="SBG - Desktop"/>
    <x v="2"/>
    <s v="New Feature"/>
    <s v="DESK-2595"/>
    <s v="Universal analytics implementation"/>
    <s v="New Feature"/>
    <x v="0"/>
    <d v="2015-12-24T14:15:00"/>
    <x v="9"/>
    <x v="0"/>
    <x v="10"/>
    <n v="4"/>
    <m/>
    <n v="147.9"/>
    <n v="26.100000000000005"/>
  </r>
  <r>
    <s v="SBG - Desktop"/>
    <x v="2"/>
    <s v="New Feature"/>
    <s v="DESK-2595"/>
    <s v="Universal analytics implementation"/>
    <s v="New Feature"/>
    <x v="0"/>
    <d v="2015-12-28T09:27:00"/>
    <x v="9"/>
    <x v="0"/>
    <x v="10"/>
    <n v="4"/>
    <m/>
    <n v="147.9"/>
    <n v="26.100000000000005"/>
  </r>
  <r>
    <s v="SBG - Desktop"/>
    <x v="2"/>
    <s v="New Feature"/>
    <s v="DESK-2595"/>
    <s v="Universal analytics implementation"/>
    <s v="New Feature"/>
    <x v="0"/>
    <d v="2015-12-29T18:36:00"/>
    <x v="9"/>
    <x v="0"/>
    <x v="10"/>
    <n v="3"/>
    <m/>
    <n v="147.9"/>
    <n v="26.100000000000005"/>
  </r>
  <r>
    <s v="SBG - Desktop"/>
    <x v="2"/>
    <s v="New Feature"/>
    <s v="DESK-2595"/>
    <s v="Universal analytics implementation"/>
    <s v="New Feature"/>
    <x v="0"/>
    <d v="2015-12-30T18:34:00"/>
    <x v="9"/>
    <x v="0"/>
    <x v="10"/>
    <n v="8"/>
    <m/>
    <n v="147.9"/>
    <n v="26.100000000000005"/>
  </r>
  <r>
    <s v="SBG - Desktop"/>
    <x v="2"/>
    <s v="New Feature"/>
    <s v="DESK-2595"/>
    <s v="Universal analytics implementation"/>
    <s v="New Feature"/>
    <x v="0"/>
    <d v="2015-12-31T14:18:00"/>
    <x v="9"/>
    <x v="0"/>
    <x v="10"/>
    <n v="2"/>
    <m/>
    <n v="147.9"/>
    <n v="26.100000000000005"/>
  </r>
  <r>
    <s v="SBG - Desktop"/>
    <x v="2"/>
    <s v="New Feature"/>
    <s v="DESK-2595"/>
    <s v="Universal analytics implementation"/>
    <s v="New Feature"/>
    <x v="0"/>
    <d v="2016-01-04T14:57:00"/>
    <x v="10"/>
    <x v="1"/>
    <x v="10"/>
    <n v="8"/>
    <m/>
    <n v="141.1"/>
    <n v="24.900000000000002"/>
  </r>
  <r>
    <s v="SBG - Desktop"/>
    <x v="0"/>
    <s v="New Feature"/>
    <s v="DESK-2595"/>
    <s v="Universal analytics implementation"/>
    <s v="New Feature"/>
    <x v="0"/>
    <d v="2016-01-05T09:30:00"/>
    <x v="10"/>
    <x v="1"/>
    <x v="19"/>
    <n v="8"/>
    <m/>
    <n v="83"/>
    <n v="83"/>
  </r>
  <r>
    <s v="SBG - Desktop"/>
    <x v="0"/>
    <s v="New Feature"/>
    <s v="DESK-2595"/>
    <s v="Universal analytics implementation"/>
    <s v="New Feature"/>
    <x v="0"/>
    <d v="2016-01-06T09:44:00"/>
    <x v="10"/>
    <x v="1"/>
    <x v="19"/>
    <n v="8"/>
    <m/>
    <n v="83"/>
    <n v="83"/>
  </r>
  <r>
    <s v="SBG - Desktop"/>
    <x v="1"/>
    <s v="New Feature"/>
    <s v="DESK-2595"/>
    <s v="Universal analytics implementation"/>
    <s v="New Feature"/>
    <x v="0"/>
    <d v="2016-01-07T18:14:00"/>
    <x v="10"/>
    <x v="1"/>
    <x v="23"/>
    <n v="2"/>
    <m/>
    <n v="141.1"/>
    <n v="24.900000000000002"/>
  </r>
  <r>
    <s v="SBG - Desktop"/>
    <x v="2"/>
    <s v="New Feature"/>
    <s v="DESK-2595"/>
    <s v="Universal analytics implementation"/>
    <s v="New Feature"/>
    <x v="0"/>
    <d v="2016-01-08T16:28:00"/>
    <x v="10"/>
    <x v="1"/>
    <x v="10"/>
    <n v="4"/>
    <m/>
    <n v="141.1"/>
    <n v="24.900000000000002"/>
  </r>
  <r>
    <s v="SBG - Desktop"/>
    <x v="1"/>
    <s v="New Feature"/>
    <s v="DESK-2595"/>
    <s v="Universal analytics implementation"/>
    <s v="New Feature"/>
    <x v="0"/>
    <d v="2016-01-11T18:22:00"/>
    <x v="10"/>
    <x v="1"/>
    <x v="23"/>
    <n v="4"/>
    <m/>
    <n v="141.1"/>
    <n v="24.900000000000002"/>
  </r>
  <r>
    <s v="SBG - Desktop"/>
    <x v="2"/>
    <s v="New Feature"/>
    <s v="DESK-2596"/>
    <s v="Konbini payment method"/>
    <s v="New Feature"/>
    <x v="0"/>
    <d v="2015-12-03T17:06:00"/>
    <x v="9"/>
    <x v="0"/>
    <x v="18"/>
    <n v="2"/>
    <m/>
    <n v="147.9"/>
    <n v="26.100000000000005"/>
  </r>
  <r>
    <s v="SBG - Desktop"/>
    <x v="2"/>
    <s v="New Feature"/>
    <s v="DESK-2596"/>
    <s v="Konbini payment method"/>
    <s v="New Feature"/>
    <x v="0"/>
    <d v="2015-12-21T11:07:00"/>
    <x v="9"/>
    <x v="0"/>
    <x v="18"/>
    <n v="8"/>
    <m/>
    <n v="147.9"/>
    <n v="26.100000000000005"/>
  </r>
  <r>
    <s v="SBG - Desktop"/>
    <x v="2"/>
    <s v="New Feature"/>
    <s v="DESK-2596"/>
    <s v="Konbini payment method"/>
    <s v="New Feature"/>
    <x v="0"/>
    <d v="2015-12-22T11:07:00"/>
    <x v="9"/>
    <x v="0"/>
    <x v="18"/>
    <n v="8"/>
    <m/>
    <n v="147.9"/>
    <n v="26.100000000000005"/>
  </r>
  <r>
    <s v="SBG - Desktop"/>
    <x v="2"/>
    <s v="New Feature"/>
    <s v="DESK-2596"/>
    <s v="Konbini payment method"/>
    <s v="New Feature"/>
    <x v="0"/>
    <d v="2015-12-23T11:07:00"/>
    <x v="9"/>
    <x v="0"/>
    <x v="18"/>
    <n v="8"/>
    <m/>
    <n v="147.9"/>
    <n v="26.100000000000005"/>
  </r>
  <r>
    <s v="SBG - Desktop"/>
    <x v="2"/>
    <s v="New Feature"/>
    <s v="DESK-2596"/>
    <s v="Konbini payment method"/>
    <s v="New Feature"/>
    <x v="0"/>
    <d v="2016-01-27T17:21:00"/>
    <x v="10"/>
    <x v="1"/>
    <x v="18"/>
    <n v="8"/>
    <m/>
    <n v="141.1"/>
    <n v="24.900000000000002"/>
  </r>
  <r>
    <s v="SBG - Desktop"/>
    <x v="2"/>
    <s v="New Feature"/>
    <s v="DESK-2596"/>
    <s v="Konbini payment method"/>
    <s v="New Feature"/>
    <x v="0"/>
    <d v="2016-01-27T17:25:00"/>
    <x v="10"/>
    <x v="1"/>
    <x v="18"/>
    <n v="8"/>
    <m/>
    <n v="141.1"/>
    <n v="24.900000000000002"/>
  </r>
  <r>
    <s v="SBG - Desktop"/>
    <x v="1"/>
    <s v="New Feature"/>
    <s v="DESK-2597"/>
    <s v="Nordea Finland new payment method (GC)"/>
    <s v="New Feature"/>
    <x v="0"/>
    <d v="2016-01-25T17:25:00"/>
    <x v="10"/>
    <x v="1"/>
    <x v="23"/>
    <n v="4"/>
    <m/>
    <n v="141.1"/>
    <n v="24.900000000000002"/>
  </r>
  <r>
    <s v="SBG - Desktop"/>
    <x v="1"/>
    <s v="New Feature"/>
    <s v="DESK-2597"/>
    <s v="Nordea Finland new payment method (GC)"/>
    <s v="New Feature"/>
    <x v="0"/>
    <d v="2016-01-29T13:57:00"/>
    <x v="10"/>
    <x v="1"/>
    <x v="23"/>
    <n v="2"/>
    <m/>
    <n v="141.1"/>
    <n v="24.900000000000002"/>
  </r>
  <r>
    <s v="SBG - Desktop"/>
    <x v="1"/>
    <s v="Sub-task"/>
    <s v="DESK-2607"/>
    <s v="DESK-2610&gt; RX process - update ADD values"/>
    <s v="Sub-task"/>
    <x v="0"/>
    <d v="2015-12-10T17:14:00"/>
    <x v="9"/>
    <x v="0"/>
    <x v="23"/>
    <n v="1"/>
    <m/>
    <n v="147.9"/>
    <n v="26.100000000000005"/>
  </r>
  <r>
    <s v="SBG - Desktop"/>
    <x v="1"/>
    <s v="Sub-task"/>
    <s v="DESK-2607"/>
    <s v="DESK-2610&gt; RX process - update ADD values"/>
    <s v="Sub-task"/>
    <x v="0"/>
    <d v="2015-12-11T17:26:00"/>
    <x v="9"/>
    <x v="0"/>
    <x v="23"/>
    <n v="1"/>
    <m/>
    <n v="147.9"/>
    <n v="26.100000000000005"/>
  </r>
  <r>
    <s v="SBG - Desktop"/>
    <x v="1"/>
    <s v="Sub-task"/>
    <s v="DESK-2609"/>
    <s v="DESK-2610&gt; SPH dropdown values range on RX process"/>
    <s v="Sub-task"/>
    <x v="0"/>
    <d v="2015-12-10T13:50:00"/>
    <x v="9"/>
    <x v="0"/>
    <x v="23"/>
    <n v="2"/>
    <m/>
    <n v="147.9"/>
    <n v="26.100000000000005"/>
  </r>
  <r>
    <s v="SBG - Desktop"/>
    <x v="1"/>
    <s v="Sub-task"/>
    <s v="DESK-2609"/>
    <s v="DESK-2610&gt; SPH dropdown values range on RX process"/>
    <s v="Sub-task"/>
    <x v="0"/>
    <d v="2015-12-11T17:27:00"/>
    <x v="9"/>
    <x v="0"/>
    <x v="23"/>
    <n v="1"/>
    <m/>
    <n v="147.9"/>
    <n v="26.100000000000005"/>
  </r>
  <r>
    <s v="SBG - Desktop"/>
    <x v="1"/>
    <s v="Sub-task"/>
    <s v="DESK-2611"/>
    <s v="DESK-2610&gt; Cylinder power should be up to + / - 6.00"/>
    <s v="Sub-task"/>
    <x v="0"/>
    <d v="2015-12-10T17:12:00"/>
    <x v="9"/>
    <x v="0"/>
    <x v="23"/>
    <n v="1"/>
    <m/>
    <n v="147.9"/>
    <n v="26.100000000000005"/>
  </r>
  <r>
    <s v="SBG - Desktop"/>
    <x v="1"/>
    <s v="Sub-task"/>
    <s v="DESK-2611"/>
    <s v="DESK-2610&gt; Cylinder power should be up to + / - 6.00"/>
    <s v="Sub-task"/>
    <x v="0"/>
    <d v="2015-12-11T17:27:00"/>
    <x v="9"/>
    <x v="0"/>
    <x v="23"/>
    <n v="1"/>
    <m/>
    <n v="147.9"/>
    <n v="26.100000000000005"/>
  </r>
  <r>
    <s v="SBG - Desktop"/>
    <x v="1"/>
    <s v="Sub-task"/>
    <s v="DESK-2612"/>
    <s v="DESK-2610&gt; Semi-rimless and Rimless cannot be processed with polarized lenses"/>
    <s v="Sub-task"/>
    <x v="0"/>
    <d v="2015-12-10T17:13:00"/>
    <x v="9"/>
    <x v="0"/>
    <x v="23"/>
    <n v="1"/>
    <m/>
    <n v="147.9"/>
    <n v="26.100000000000005"/>
  </r>
  <r>
    <s v="SBG - Desktop"/>
    <x v="1"/>
    <s v="Sub-task"/>
    <s v="DESK-2612"/>
    <s v="DESK-2610&gt; Semi-rimless and Rimless cannot be processed with polarized lenses"/>
    <s v="Sub-task"/>
    <x v="0"/>
    <d v="2015-12-15T16:14:00"/>
    <x v="9"/>
    <x v="0"/>
    <x v="23"/>
    <n v="1"/>
    <m/>
    <n v="147.9"/>
    <n v="26.100000000000005"/>
  </r>
  <r>
    <s v="SBG - Desktop"/>
    <x v="1"/>
    <s v="Sub-task"/>
    <s v="DESK-2613"/>
    <s v="DESK-2610&gt; Frame size 62mm or higher --&gt; not Rx-able "/>
    <s v="Sub-task"/>
    <x v="0"/>
    <d v="2015-12-15T16:15:00"/>
    <x v="9"/>
    <x v="0"/>
    <x v="23"/>
    <n v="1"/>
    <m/>
    <n v="147.9"/>
    <n v="26.100000000000005"/>
  </r>
  <r>
    <s v="SBG - Desktop"/>
    <x v="0"/>
    <s v="Sub-task"/>
    <s v="DESK-2613"/>
    <s v="DESK-2610&gt; Frame size 62mm or higher --&gt; not Rx-able "/>
    <s v="Sub-task"/>
    <x v="0"/>
    <d v="2015-12-16T09:59:00"/>
    <x v="9"/>
    <x v="0"/>
    <x v="19"/>
    <n v="2"/>
    <m/>
    <n v="87"/>
    <n v="87"/>
  </r>
  <r>
    <s v="SBG - Desktop"/>
    <x v="0"/>
    <s v="Sub-task"/>
    <s v="DESK-2613"/>
    <s v="DESK-2610&gt; Frame size 62mm or higher --&gt; not Rx-able "/>
    <s v="Sub-task"/>
    <x v="0"/>
    <d v="2015-12-23T15:20:00"/>
    <x v="9"/>
    <x v="0"/>
    <x v="19"/>
    <n v="2"/>
    <m/>
    <n v="87"/>
    <n v="87"/>
  </r>
  <r>
    <s v="SBG - Desktop"/>
    <x v="0"/>
    <s v="Sub-task"/>
    <s v="DESK-2613"/>
    <s v="DESK-2610&gt; Frame size 62mm or higher --&gt; not Rx-able "/>
    <s v="Sub-task"/>
    <x v="0"/>
    <d v="2015-12-28T10:19:00"/>
    <x v="9"/>
    <x v="0"/>
    <x v="19"/>
    <n v="7"/>
    <m/>
    <n v="87"/>
    <n v="87"/>
  </r>
  <r>
    <s v="SBG - Desktop"/>
    <x v="1"/>
    <s v="Sub-task"/>
    <s v="DESK-2614"/>
    <s v="DESK-2610&gt; Gradient tint on RX lenses only available when lens dept is 28mm or more"/>
    <s v="Sub-task"/>
    <x v="0"/>
    <d v="2015-12-09T13:51:00"/>
    <x v="9"/>
    <x v="0"/>
    <x v="23"/>
    <n v="2"/>
    <m/>
    <n v="147.9"/>
    <n v="26.100000000000005"/>
  </r>
  <r>
    <s v="SBG - Desktop"/>
    <x v="0"/>
    <s v="Sub-task"/>
    <s v="DESK-2614"/>
    <s v="DESK-2610&gt; Gradient tint on RX lenses only available when lens dept is 28mm or more"/>
    <s v="Sub-task"/>
    <x v="0"/>
    <d v="2015-12-10T18:00:00"/>
    <x v="9"/>
    <x v="0"/>
    <x v="7"/>
    <n v="0.5"/>
    <m/>
    <n v="87"/>
    <n v="87"/>
  </r>
  <r>
    <s v="SBG - Desktop"/>
    <x v="1"/>
    <s v="Sub-task"/>
    <s v="DESK-2614"/>
    <s v="DESK-2610&gt; Gradient tint on RX lenses only available when lens dept is 28mm or more"/>
    <s v="Sub-task"/>
    <x v="0"/>
    <d v="2015-12-11T15:20:00"/>
    <x v="9"/>
    <x v="0"/>
    <x v="23"/>
    <n v="0.5"/>
    <m/>
    <n v="147.9"/>
    <n v="26.100000000000005"/>
  </r>
  <r>
    <s v="SBG - Desktop"/>
    <x v="1"/>
    <s v="Sub-task"/>
    <s v="DESK-2614"/>
    <s v="DESK-2610&gt; Gradient tint on RX lenses only available when lens dept is 28mm or more"/>
    <s v="Sub-task"/>
    <x v="0"/>
    <d v="2015-12-11T17:27:00"/>
    <x v="9"/>
    <x v="0"/>
    <x v="23"/>
    <n v="1.5"/>
    <m/>
    <n v="147.9"/>
    <n v="26.100000000000005"/>
  </r>
  <r>
    <s v="SBG - Desktop"/>
    <x v="0"/>
    <s v="Sub-task"/>
    <s v="DESK-2614"/>
    <s v="DESK-2610&gt; Gradient tint on RX lenses only available when lens dept is 28mm or more"/>
    <s v="Sub-task"/>
    <x v="0"/>
    <d v="2015-12-15T11:24:00"/>
    <x v="9"/>
    <x v="0"/>
    <x v="7"/>
    <n v="0.5"/>
    <m/>
    <n v="87"/>
    <n v="87"/>
  </r>
  <r>
    <s v="SBG - Desktop"/>
    <x v="1"/>
    <s v="Sub-task"/>
    <s v="DESK-2619"/>
    <s v="DESK-2610&gt; AX Range"/>
    <s v="Sub-task"/>
    <x v="0"/>
    <d v="2015-12-10T17:13:00"/>
    <x v="9"/>
    <x v="0"/>
    <x v="23"/>
    <n v="1"/>
    <m/>
    <n v="147.9"/>
    <n v="26.100000000000005"/>
  </r>
  <r>
    <s v="SBG - Desktop"/>
    <x v="1"/>
    <s v="Sub-task"/>
    <s v="DESK-2619"/>
    <s v="DESK-2610&gt; AX Range"/>
    <s v="Sub-task"/>
    <x v="0"/>
    <d v="2015-12-11T17:27:00"/>
    <x v="9"/>
    <x v="0"/>
    <x v="23"/>
    <n v="1"/>
    <m/>
    <n v="147.9"/>
    <n v="26.100000000000005"/>
  </r>
  <r>
    <s v="SBG - Desktop"/>
    <x v="1"/>
    <s v="Sub-task"/>
    <s v="DESK-2619"/>
    <s v="DESK-2610&gt; AX Range"/>
    <s v="Sub-task"/>
    <x v="0"/>
    <d v="2015-12-14T11:51:00"/>
    <x v="9"/>
    <x v="0"/>
    <x v="23"/>
    <n v="4"/>
    <m/>
    <n v="147.9"/>
    <n v="26.100000000000005"/>
  </r>
  <r>
    <s v="SBG - Desktop"/>
    <x v="2"/>
    <s v="Task"/>
    <s v="DESK-2774"/>
    <s v="Asian Fit Filter"/>
    <s v="Task"/>
    <x v="0"/>
    <d v="2015-12-01T14:01:00"/>
    <x v="9"/>
    <x v="0"/>
    <x v="22"/>
    <n v="8"/>
    <m/>
    <n v="147.9"/>
    <n v="26.100000000000005"/>
  </r>
  <r>
    <s v="SBG - Desktop"/>
    <x v="2"/>
    <s v="Task"/>
    <s v="DESK-2774"/>
    <s v="Asian Fit Filter"/>
    <s v="Task"/>
    <x v="0"/>
    <d v="2015-12-02T14:02:00"/>
    <x v="9"/>
    <x v="0"/>
    <x v="22"/>
    <n v="3"/>
    <m/>
    <n v="147.9"/>
    <n v="26.100000000000005"/>
  </r>
  <r>
    <s v="SBG - Desktop"/>
    <x v="1"/>
    <s v="Task"/>
    <s v="DESK-2774"/>
    <s v="Asian Fit Filter"/>
    <s v="Task"/>
    <x v="0"/>
    <d v="2015-12-21T10:52:00"/>
    <x v="9"/>
    <x v="0"/>
    <x v="23"/>
    <n v="5"/>
    <m/>
    <n v="147.9"/>
    <n v="26.100000000000005"/>
  </r>
  <r>
    <s v="SBG - Desktop"/>
    <x v="2"/>
    <s v="Task"/>
    <s v="DESK-2774"/>
    <s v="Asian Fit Filter"/>
    <s v="Task"/>
    <x v="0"/>
    <d v="2015-12-24T09:46:00"/>
    <x v="9"/>
    <x v="0"/>
    <x v="22"/>
    <n v="8"/>
    <m/>
    <n v="147.9"/>
    <n v="26.100000000000005"/>
  </r>
  <r>
    <s v="SBG - Desktop"/>
    <x v="2"/>
    <s v="Task"/>
    <s v="DESK-2774"/>
    <s v="Asian Fit Filter"/>
    <s v="Task"/>
    <x v="0"/>
    <d v="2015-12-25T09:46:00"/>
    <x v="9"/>
    <x v="0"/>
    <x v="22"/>
    <n v="8"/>
    <m/>
    <n v="147.9"/>
    <n v="26.100000000000005"/>
  </r>
  <r>
    <s v="SBG - Desktop"/>
    <x v="1"/>
    <s v="Task"/>
    <s v="DESK-2774"/>
    <s v="Asian Fit Filter"/>
    <s v="Task"/>
    <x v="0"/>
    <d v="2015-12-25T17:22:00"/>
    <x v="9"/>
    <x v="0"/>
    <x v="23"/>
    <n v="2"/>
    <m/>
    <n v="147.9"/>
    <n v="26.100000000000005"/>
  </r>
  <r>
    <s v="SBG - Desktop"/>
    <x v="2"/>
    <s v="Task"/>
    <s v="DESK-2774"/>
    <s v="Asian Fit Filter"/>
    <s v="Task"/>
    <x v="0"/>
    <d v="2015-12-28T09:46:00"/>
    <x v="9"/>
    <x v="0"/>
    <x v="22"/>
    <n v="8"/>
    <m/>
    <n v="147.9"/>
    <n v="26.100000000000005"/>
  </r>
  <r>
    <s v="SBG - Desktop"/>
    <x v="1"/>
    <s v="Task"/>
    <s v="DESK-2774"/>
    <s v="Asian Fit Filter"/>
    <s v="Task"/>
    <x v="0"/>
    <d v="2015-12-28T16:41:00"/>
    <x v="9"/>
    <x v="0"/>
    <x v="23"/>
    <n v="2"/>
    <m/>
    <n v="147.9"/>
    <n v="26.100000000000005"/>
  </r>
  <r>
    <s v="SBG - Desktop"/>
    <x v="2"/>
    <s v="Task"/>
    <s v="DESK-2774"/>
    <s v="Asian Fit Filter"/>
    <s v="Task"/>
    <x v="0"/>
    <d v="2015-12-29T16:12:00"/>
    <x v="9"/>
    <x v="0"/>
    <x v="22"/>
    <n v="2"/>
    <m/>
    <n v="147.9"/>
    <n v="26.100000000000005"/>
  </r>
  <r>
    <s v="SBG - Desktop"/>
    <x v="2"/>
    <s v="Task"/>
    <s v="DESK-2774"/>
    <s v="Asian Fit Filter"/>
    <s v="Task"/>
    <x v="0"/>
    <d v="2015-12-30T13:45:00"/>
    <x v="9"/>
    <x v="0"/>
    <x v="22"/>
    <n v="4"/>
    <m/>
    <n v="147.9"/>
    <n v="26.100000000000005"/>
  </r>
  <r>
    <s v="SBG - Desktop"/>
    <x v="2"/>
    <s v="Task"/>
    <s v="DESK-2774"/>
    <s v="Asian Fit Filter"/>
    <s v="Task"/>
    <x v="0"/>
    <d v="2015-12-31T09:45:00"/>
    <x v="9"/>
    <x v="0"/>
    <x v="22"/>
    <n v="8"/>
    <m/>
    <n v="147.9"/>
    <n v="26.100000000000005"/>
  </r>
  <r>
    <s v="SBG - Desktop"/>
    <x v="2"/>
    <s v="Task"/>
    <s v="DESK-2774"/>
    <s v="Asian Fit Filter"/>
    <s v="Task"/>
    <x v="0"/>
    <d v="2016-01-01T17:44:00"/>
    <x v="10"/>
    <x v="1"/>
    <x v="22"/>
    <n v="8"/>
    <m/>
    <n v="141.1"/>
    <n v="24.900000000000002"/>
  </r>
  <r>
    <s v="SBG - Desktop"/>
    <x v="2"/>
    <s v="Task"/>
    <s v="DESK-2774"/>
    <s v="Asian Fit Filter"/>
    <s v="Task"/>
    <x v="0"/>
    <d v="2016-01-04T10:52:00"/>
    <x v="10"/>
    <x v="1"/>
    <x v="22"/>
    <n v="7"/>
    <m/>
    <n v="141.1"/>
    <n v="24.900000000000002"/>
  </r>
  <r>
    <s v="SBG - Desktop"/>
    <x v="1"/>
    <s v="Task"/>
    <s v="DESK-2774"/>
    <s v="Asian Fit Filter"/>
    <s v="Task"/>
    <x v="0"/>
    <d v="2016-01-08T11:55:00"/>
    <x v="10"/>
    <x v="1"/>
    <x v="23"/>
    <n v="4"/>
    <m/>
    <n v="141.1"/>
    <n v="24.900000000000002"/>
  </r>
  <r>
    <s v="SBG - Desktop"/>
    <x v="2"/>
    <s v="Task"/>
    <s v="DESK-2774"/>
    <s v="Asian Fit Filter"/>
    <s v="Task"/>
    <x v="0"/>
    <d v="2016-01-12T09:51:00"/>
    <x v="10"/>
    <x v="1"/>
    <x v="22"/>
    <n v="8"/>
    <m/>
    <n v="141.1"/>
    <n v="24.900000000000002"/>
  </r>
  <r>
    <s v="SBG - Desktop"/>
    <x v="4"/>
    <s v="New Feature"/>
    <s v="DESK-2779"/>
    <s v="RX PHASE 3 - DESKTOP"/>
    <s v="New Feature"/>
    <x v="0"/>
    <d v="2016-01-26T14:27:00"/>
    <x v="10"/>
    <x v="1"/>
    <x v="13"/>
    <n v="1"/>
    <m/>
    <n v="141.1"/>
    <n v="24.900000000000002"/>
  </r>
  <r>
    <s v="SBG - Desktop"/>
    <x v="4"/>
    <s v="New Feature"/>
    <s v="DESK-2779"/>
    <s v="RX PHASE 3 - DESKTOP"/>
    <s v="New Feature"/>
    <x v="0"/>
    <d v="2016-01-27T14:27:00"/>
    <x v="10"/>
    <x v="1"/>
    <x v="13"/>
    <n v="1"/>
    <m/>
    <n v="141.1"/>
    <n v="24.900000000000002"/>
  </r>
  <r>
    <s v="SBG - Desktop"/>
    <x v="4"/>
    <s v="New Feature"/>
    <s v="DESK-2779"/>
    <s v="RX PHASE 3 - DESKTOP"/>
    <s v="New Feature"/>
    <x v="0"/>
    <d v="2016-01-27T14:27:00"/>
    <x v="10"/>
    <x v="1"/>
    <x v="13"/>
    <n v="1"/>
    <m/>
    <n v="141.1"/>
    <n v="24.900000000000002"/>
  </r>
  <r>
    <s v="SBG - Desktop"/>
    <x v="4"/>
    <s v="New Feature"/>
    <s v="DESK-2779"/>
    <s v="RX PHASE 3 - DESKTOP"/>
    <s v="New Feature"/>
    <x v="0"/>
    <d v="2016-01-28T14:27:00"/>
    <x v="10"/>
    <x v="1"/>
    <x v="13"/>
    <n v="3"/>
    <m/>
    <n v="141.1"/>
    <n v="24.900000000000002"/>
  </r>
  <r>
    <s v="SBG - Desktop"/>
    <x v="4"/>
    <s v="New Feature"/>
    <s v="DESK-2779"/>
    <s v="RX PHASE 3 - DESKTOP"/>
    <s v="New Feature"/>
    <x v="0"/>
    <d v="2016-01-29T14:27:00"/>
    <x v="10"/>
    <x v="1"/>
    <x v="13"/>
    <n v="3"/>
    <m/>
    <n v="141.1"/>
    <n v="24.900000000000002"/>
  </r>
  <r>
    <s v="SBG - Desktop"/>
    <x v="4"/>
    <s v="New Feature"/>
    <s v="DESK-2809"/>
    <s v="New Desktop UI"/>
    <s v="New Feature"/>
    <x v="0"/>
    <d v="2015-12-07T11:43:00"/>
    <x v="9"/>
    <x v="0"/>
    <x v="13"/>
    <n v="3"/>
    <m/>
    <n v="147.9"/>
    <n v="26.100000000000005"/>
  </r>
  <r>
    <s v="SBG - Desktop"/>
    <x v="4"/>
    <s v="New Feature"/>
    <s v="DESK-2809"/>
    <s v="New Desktop UI"/>
    <s v="New Feature"/>
    <x v="0"/>
    <d v="2015-12-08T11:43:00"/>
    <x v="9"/>
    <x v="0"/>
    <x v="13"/>
    <n v="3"/>
    <m/>
    <n v="147.9"/>
    <n v="26.100000000000005"/>
  </r>
  <r>
    <s v="SBG - Desktop"/>
    <x v="4"/>
    <s v="New Feature"/>
    <s v="DESK-2809"/>
    <s v="New Desktop UI"/>
    <s v="New Feature"/>
    <x v="0"/>
    <d v="2015-12-09T11:43:00"/>
    <x v="9"/>
    <x v="0"/>
    <x v="13"/>
    <n v="3"/>
    <m/>
    <n v="147.9"/>
    <n v="26.100000000000005"/>
  </r>
  <r>
    <s v="SBG - Desktop"/>
    <x v="4"/>
    <s v="New Feature"/>
    <s v="DESK-2809"/>
    <s v="New Desktop UI"/>
    <s v="New Feature"/>
    <x v="0"/>
    <d v="2015-12-10T11:43:00"/>
    <x v="9"/>
    <x v="0"/>
    <x v="13"/>
    <n v="3"/>
    <m/>
    <n v="147.9"/>
    <n v="26.100000000000005"/>
  </r>
  <r>
    <s v="SBG - Desktop"/>
    <x v="4"/>
    <s v="New Feature"/>
    <s v="DESK-2809"/>
    <s v="New Desktop UI"/>
    <s v="New Feature"/>
    <x v="0"/>
    <d v="2015-12-11T11:43:00"/>
    <x v="9"/>
    <x v="0"/>
    <x v="13"/>
    <n v="3"/>
    <m/>
    <n v="147.9"/>
    <n v="26.100000000000005"/>
  </r>
  <r>
    <s v="SBG - Desktop"/>
    <x v="4"/>
    <s v="New Feature"/>
    <s v="DESK-2809"/>
    <s v="New Desktop UI"/>
    <s v="New Feature"/>
    <x v="0"/>
    <d v="2015-12-21T11:15:00"/>
    <x v="9"/>
    <x v="0"/>
    <x v="13"/>
    <n v="3"/>
    <m/>
    <n v="147.9"/>
    <n v="26.100000000000005"/>
  </r>
  <r>
    <s v="SBG - Desktop"/>
    <x v="4"/>
    <s v="New Feature"/>
    <s v="DESK-2809"/>
    <s v="New Desktop UI"/>
    <s v="New Feature"/>
    <x v="0"/>
    <d v="2015-12-22T11:15:00"/>
    <x v="9"/>
    <x v="0"/>
    <x v="13"/>
    <n v="3"/>
    <m/>
    <n v="147.9"/>
    <n v="26.100000000000005"/>
  </r>
  <r>
    <s v="SBG - Desktop"/>
    <x v="4"/>
    <s v="New Feature"/>
    <s v="DESK-2809"/>
    <s v="New Desktop UI"/>
    <s v="New Feature"/>
    <x v="0"/>
    <d v="2015-12-23T11:15:00"/>
    <x v="9"/>
    <x v="0"/>
    <x v="13"/>
    <n v="4"/>
    <m/>
    <n v="147.9"/>
    <n v="26.100000000000005"/>
  </r>
  <r>
    <s v="SBG - Desktop"/>
    <x v="4"/>
    <s v="New Feature"/>
    <s v="DESK-2809"/>
    <s v="New Desktop UI"/>
    <s v="New Feature"/>
    <x v="0"/>
    <d v="2016-01-04T14:20:00"/>
    <x v="10"/>
    <x v="1"/>
    <x v="13"/>
    <n v="3"/>
    <m/>
    <n v="141.1"/>
    <n v="24.900000000000002"/>
  </r>
  <r>
    <s v="SBG - Desktop"/>
    <x v="4"/>
    <s v="New Feature"/>
    <s v="DESK-2809"/>
    <s v="New Desktop UI"/>
    <s v="New Feature"/>
    <x v="0"/>
    <d v="2016-01-05T14:20:00"/>
    <x v="10"/>
    <x v="1"/>
    <x v="13"/>
    <n v="3"/>
    <m/>
    <n v="141.1"/>
    <n v="24.900000000000002"/>
  </r>
  <r>
    <s v="SBG - Desktop"/>
    <x v="4"/>
    <s v="New Feature"/>
    <s v="DESK-2809"/>
    <s v="New Desktop UI"/>
    <s v="New Feature"/>
    <x v="0"/>
    <d v="2016-01-22T14:20:00"/>
    <x v="10"/>
    <x v="1"/>
    <x v="13"/>
    <n v="3"/>
    <m/>
    <n v="141.1"/>
    <n v="24.900000000000002"/>
  </r>
  <r>
    <s v="SBG - Desktop"/>
    <x v="4"/>
    <s v="New Feature"/>
    <s v="DESK-2809"/>
    <s v="New Desktop UI"/>
    <s v="New Feature"/>
    <x v="0"/>
    <d v="2016-01-25T14:20:00"/>
    <x v="10"/>
    <x v="1"/>
    <x v="13"/>
    <n v="3"/>
    <m/>
    <n v="141.1"/>
    <n v="24.900000000000002"/>
  </r>
  <r>
    <s v="SBG - Desktop"/>
    <x v="2"/>
    <s v="Improvement"/>
    <s v="DESK-2832"/>
    <s v="Enable multi auto-complete function for Algolia search"/>
    <s v="Improvement"/>
    <x v="0"/>
    <d v="2015-12-02T18:33:00"/>
    <x v="9"/>
    <x v="0"/>
    <x v="2"/>
    <n v="5"/>
    <m/>
    <n v="147.9"/>
    <n v="26.100000000000005"/>
  </r>
  <r>
    <s v="SBG - Desktop"/>
    <x v="0"/>
    <s v="Improvement"/>
    <s v="DESK-2832"/>
    <s v="Enable multi auto-complete function for Algolia search"/>
    <s v="Improvement"/>
    <x v="0"/>
    <d v="2015-12-03T15:09:00"/>
    <x v="9"/>
    <x v="0"/>
    <x v="19"/>
    <n v="6"/>
    <m/>
    <n v="87"/>
    <n v="87"/>
  </r>
  <r>
    <s v="SBG - Desktop"/>
    <x v="2"/>
    <s v="Improvement"/>
    <s v="DESK-2832"/>
    <s v="Enable multi auto-complete function for Algolia search"/>
    <s v="Improvement"/>
    <x v="0"/>
    <d v="2015-12-03T17:47:00"/>
    <x v="9"/>
    <x v="0"/>
    <x v="2"/>
    <n v="5"/>
    <m/>
    <n v="147.9"/>
    <n v="26.100000000000005"/>
  </r>
  <r>
    <s v="SBG - Desktop"/>
    <x v="2"/>
    <s v="Improvement"/>
    <s v="DESK-2832"/>
    <s v="Enable multi auto-complete function for Algolia search"/>
    <s v="Improvement"/>
    <x v="0"/>
    <d v="2015-12-04T17:47:00"/>
    <x v="9"/>
    <x v="0"/>
    <x v="2"/>
    <n v="5"/>
    <m/>
    <n v="147.9"/>
    <n v="26.100000000000005"/>
  </r>
  <r>
    <s v="SBG - Desktop"/>
    <x v="0"/>
    <s v="Improvement"/>
    <s v="DESK-2832"/>
    <s v="Enable multi auto-complete function for Algolia search"/>
    <s v="Improvement"/>
    <x v="0"/>
    <d v="2015-12-08T16:33:00"/>
    <x v="9"/>
    <x v="0"/>
    <x v="19"/>
    <n v="2"/>
    <m/>
    <n v="87"/>
    <n v="87"/>
  </r>
  <r>
    <s v="SBG - Desktop"/>
    <x v="1"/>
    <s v="Improvement"/>
    <s v="DESK-2832"/>
    <s v="Enable multi auto-complete function for Algolia search"/>
    <s v="Improvement"/>
    <x v="0"/>
    <d v="2015-12-14T12:23:00"/>
    <x v="9"/>
    <x v="0"/>
    <x v="21"/>
    <n v="6"/>
    <m/>
    <n v="147.9"/>
    <n v="26.100000000000005"/>
  </r>
  <r>
    <s v="SBG - Desktop"/>
    <x v="2"/>
    <s v="Improvement"/>
    <s v="DESK-2832"/>
    <s v="Enable multi auto-complete function for Algolia search"/>
    <s v="Improvement"/>
    <x v="0"/>
    <d v="2015-12-14T18:28:00"/>
    <x v="9"/>
    <x v="0"/>
    <x v="2"/>
    <n v="1"/>
    <m/>
    <n v="147.9"/>
    <n v="26.100000000000005"/>
  </r>
  <r>
    <s v="SBG - Desktop"/>
    <x v="1"/>
    <s v="Improvement"/>
    <s v="DESK-2832"/>
    <s v="Enable multi auto-complete function for Algolia search"/>
    <s v="Improvement"/>
    <x v="0"/>
    <d v="2015-12-17T15:47:00"/>
    <x v="9"/>
    <x v="0"/>
    <x v="21"/>
    <n v="3"/>
    <m/>
    <n v="147.9"/>
    <n v="26.100000000000005"/>
  </r>
  <r>
    <s v="SBG - Desktop"/>
    <x v="2"/>
    <s v="Improvement"/>
    <s v="DESK-2832"/>
    <s v="Enable multi auto-complete function for Algolia search"/>
    <s v="Improvement"/>
    <x v="0"/>
    <d v="2015-12-17T18:30:00"/>
    <x v="9"/>
    <x v="0"/>
    <x v="2"/>
    <n v="7"/>
    <m/>
    <n v="147.9"/>
    <n v="26.100000000000005"/>
  </r>
  <r>
    <s v="SBG - Desktop"/>
    <x v="1"/>
    <s v="Improvement"/>
    <s v="DESK-2832"/>
    <s v="Enable multi auto-complete function for Algolia search"/>
    <s v="Improvement"/>
    <x v="0"/>
    <d v="2015-12-18T17:38:00"/>
    <x v="9"/>
    <x v="0"/>
    <x v="21"/>
    <n v="3"/>
    <m/>
    <n v="147.9"/>
    <n v="26.100000000000005"/>
  </r>
  <r>
    <s v="SBG - Desktop"/>
    <x v="2"/>
    <s v="Improvement"/>
    <s v="DESK-2832"/>
    <s v="Enable multi auto-complete function for Algolia search"/>
    <s v="Improvement"/>
    <x v="0"/>
    <d v="2015-12-18T18:47:00"/>
    <x v="9"/>
    <x v="0"/>
    <x v="2"/>
    <n v="8"/>
    <m/>
    <n v="147.9"/>
    <n v="26.100000000000005"/>
  </r>
  <r>
    <s v="SBG - Desktop"/>
    <x v="1"/>
    <s v="Improvement"/>
    <s v="DESK-2832"/>
    <s v="Enable multi auto-complete function for Algolia search"/>
    <s v="Improvement"/>
    <x v="0"/>
    <d v="2015-12-21T12:20:00"/>
    <x v="9"/>
    <x v="0"/>
    <x v="21"/>
    <n v="4"/>
    <m/>
    <n v="147.9"/>
    <n v="26.100000000000005"/>
  </r>
  <r>
    <s v="SBG - Desktop"/>
    <x v="1"/>
    <s v="Improvement"/>
    <s v="DESK-2832"/>
    <s v="Enable multi auto-complete function for Algolia search"/>
    <s v="Improvement"/>
    <x v="0"/>
    <d v="2015-12-21T17:36:00"/>
    <x v="9"/>
    <x v="0"/>
    <x v="21"/>
    <n v="1"/>
    <m/>
    <n v="147.9"/>
    <n v="26.100000000000005"/>
  </r>
  <r>
    <s v="SBG - Desktop"/>
    <x v="1"/>
    <s v="Improvement"/>
    <s v="DESK-2832"/>
    <s v="Enable multi auto-complete function for Algolia search"/>
    <s v="Improvement"/>
    <x v="0"/>
    <d v="2015-12-24T12:22:00"/>
    <x v="9"/>
    <x v="0"/>
    <x v="21"/>
    <n v="8"/>
    <m/>
    <n v="147.9"/>
    <n v="26.100000000000005"/>
  </r>
  <r>
    <s v="SBG - Desktop"/>
    <x v="2"/>
    <s v="Improvement"/>
    <s v="DESK-2832"/>
    <s v="Enable multi auto-complete function for Algolia search"/>
    <s v="Improvement"/>
    <x v="0"/>
    <d v="2016-01-11T15:05:00"/>
    <x v="10"/>
    <x v="1"/>
    <x v="2"/>
    <n v="7"/>
    <m/>
    <n v="141.1"/>
    <n v="24.900000000000002"/>
  </r>
  <r>
    <s v="SBG - Desktop"/>
    <x v="2"/>
    <s v="Improvement"/>
    <s v="DESK-2832"/>
    <s v="Enable multi auto-complete function for Algolia search"/>
    <s v="Improvement"/>
    <x v="0"/>
    <d v="2016-01-12T16:25:00"/>
    <x v="10"/>
    <x v="1"/>
    <x v="2"/>
    <n v="7"/>
    <m/>
    <n v="141.1"/>
    <n v="24.900000000000002"/>
  </r>
  <r>
    <s v="SBG - Desktop"/>
    <x v="2"/>
    <s v="Improvement"/>
    <s v="DESK-2832"/>
    <s v="Enable multi auto-complete function for Algolia search"/>
    <s v="Improvement"/>
    <x v="0"/>
    <d v="2016-01-13T16:26:00"/>
    <x v="10"/>
    <x v="1"/>
    <x v="2"/>
    <n v="6"/>
    <m/>
    <n v="141.1"/>
    <n v="24.900000000000002"/>
  </r>
  <r>
    <s v="SBG - Desktop"/>
    <x v="0"/>
    <s v="Improvement"/>
    <s v="DESK-2832"/>
    <s v="Enable multi auto-complete function for Algolia search"/>
    <s v="Improvement"/>
    <x v="0"/>
    <d v="2016-01-15T09:30:00"/>
    <x v="10"/>
    <x v="1"/>
    <x v="19"/>
    <n v="8"/>
    <m/>
    <n v="83"/>
    <n v="83"/>
  </r>
  <r>
    <s v="SBG - Desktop"/>
    <x v="0"/>
    <s v="Improvement"/>
    <s v="DESK-2832"/>
    <s v="Enable multi auto-complete function for Algolia search"/>
    <s v="Improvement"/>
    <x v="0"/>
    <d v="2016-01-18T09:30:00"/>
    <x v="10"/>
    <x v="1"/>
    <x v="19"/>
    <n v="8"/>
    <m/>
    <n v="83"/>
    <n v="83"/>
  </r>
  <r>
    <s v="SBG - Desktop"/>
    <x v="0"/>
    <s v="Improvement"/>
    <s v="DESK-2832"/>
    <s v="Enable multi auto-complete function for Algolia search"/>
    <s v="Improvement"/>
    <x v="0"/>
    <d v="2016-01-19T09:22:00"/>
    <x v="10"/>
    <x v="1"/>
    <x v="19"/>
    <n v="8"/>
    <m/>
    <n v="83"/>
    <n v="83"/>
  </r>
  <r>
    <s v="SBG - Desktop"/>
    <x v="0"/>
    <s v="Improvement"/>
    <s v="DESK-2832"/>
    <s v="Enable multi auto-complete function for Algolia search"/>
    <s v="Improvement"/>
    <x v="0"/>
    <d v="2016-01-21T10:33:00"/>
    <x v="10"/>
    <x v="1"/>
    <x v="19"/>
    <n v="7"/>
    <m/>
    <n v="83"/>
    <n v="83"/>
  </r>
  <r>
    <s v="SBG - Desktop"/>
    <x v="0"/>
    <s v="Improvement"/>
    <s v="DESK-2832"/>
    <s v="Enable multi auto-complete function for Algolia search"/>
    <s v="Improvement"/>
    <x v="0"/>
    <d v="2016-01-22T21:30:00"/>
    <x v="10"/>
    <x v="1"/>
    <x v="19"/>
    <n v="8"/>
    <m/>
    <n v="83"/>
    <n v="83"/>
  </r>
  <r>
    <s v="SBG - Desktop"/>
    <x v="0"/>
    <s v="Improvement"/>
    <s v="DESK-2832"/>
    <s v="Enable multi auto-complete function for Algolia search"/>
    <s v="Improvement"/>
    <x v="0"/>
    <d v="2016-01-28T09:37:00"/>
    <x v="10"/>
    <x v="1"/>
    <x v="19"/>
    <n v="8"/>
    <m/>
    <n v="83"/>
    <n v="83"/>
  </r>
  <r>
    <s v="SBG - Desktop"/>
    <x v="1"/>
    <s v="Bug"/>
    <s v="DESK-2841"/>
    <s v="update om_payment_log table when customer finishes purchasing process to update the currency type and paid_amount"/>
    <s v="Bug"/>
    <x v="1"/>
    <d v="2015-12-02T12:27:00"/>
    <x v="9"/>
    <x v="0"/>
    <x v="21"/>
    <n v="8"/>
    <m/>
    <n v="147.9"/>
    <n v="26.100000000000005"/>
  </r>
  <r>
    <s v="SBG - Desktop"/>
    <x v="2"/>
    <s v="Task"/>
    <s v="DESK-2850"/>
    <s v="Click Frenzy Technical Requirements - AU Domain"/>
    <s v="Task"/>
    <x v="0"/>
    <d v="2015-12-21T12:45:00"/>
    <x v="9"/>
    <x v="0"/>
    <x v="22"/>
    <n v="5"/>
    <m/>
    <n v="147.9"/>
    <n v="26.100000000000005"/>
  </r>
  <r>
    <s v="SBG - Desktop"/>
    <x v="2"/>
    <s v="Task"/>
    <s v="DESK-2850"/>
    <s v="Click Frenzy Technical Requirements - AU Domain"/>
    <s v="Task"/>
    <x v="0"/>
    <d v="2016-01-05T09:52:00"/>
    <x v="10"/>
    <x v="1"/>
    <x v="22"/>
    <n v="8"/>
    <m/>
    <n v="141.1"/>
    <n v="24.900000000000002"/>
  </r>
  <r>
    <s v="SBG - Desktop"/>
    <x v="2"/>
    <s v="Task"/>
    <s v="DESK-2850"/>
    <s v="Click Frenzy Technical Requirements - AU Domain"/>
    <s v="Task"/>
    <x v="0"/>
    <d v="2016-01-06T09:52:00"/>
    <x v="10"/>
    <x v="1"/>
    <x v="22"/>
    <n v="8"/>
    <m/>
    <n v="141.1"/>
    <n v="24.900000000000002"/>
  </r>
  <r>
    <s v="SBG - Desktop"/>
    <x v="2"/>
    <s v="Task"/>
    <s v="DESK-2850"/>
    <s v="Click Frenzy Technical Requirements - AU Domain"/>
    <s v="Task"/>
    <x v="0"/>
    <d v="2016-01-07T09:52:00"/>
    <x v="10"/>
    <x v="1"/>
    <x v="22"/>
    <n v="8"/>
    <m/>
    <n v="141.1"/>
    <n v="24.900000000000002"/>
  </r>
  <r>
    <s v="SBG - Desktop"/>
    <x v="2"/>
    <s v="Task"/>
    <s v="DESK-2850"/>
    <s v="Click Frenzy Technical Requirements - AU Domain"/>
    <s v="Task"/>
    <x v="0"/>
    <d v="2016-01-08T13:53:00"/>
    <x v="10"/>
    <x v="1"/>
    <x v="22"/>
    <n v="4"/>
    <m/>
    <n v="141.1"/>
    <n v="24.900000000000002"/>
  </r>
  <r>
    <s v="SBG - Desktop"/>
    <x v="1"/>
    <s v="Improvement"/>
    <s v="DESK-2855"/>
    <s v="Remove Tracking Pixels - Affiliates"/>
    <s v="Improvement"/>
    <x v="0"/>
    <d v="2015-12-04T17:29:00"/>
    <x v="9"/>
    <x v="0"/>
    <x v="30"/>
    <n v="2"/>
    <m/>
    <n v="147.9"/>
    <n v="26.100000000000005"/>
  </r>
  <r>
    <s v="SBG - Desktop"/>
    <x v="1"/>
    <s v="Improvement"/>
    <s v="DESK-2855"/>
    <s v="Remove Tracking Pixels - Affiliates"/>
    <s v="Improvement"/>
    <x v="0"/>
    <d v="2015-12-04T17:30:00"/>
    <x v="9"/>
    <x v="0"/>
    <x v="30"/>
    <n v="2"/>
    <m/>
    <n v="147.9"/>
    <n v="26.100000000000005"/>
  </r>
  <r>
    <s v="SBG - Desktop"/>
    <x v="2"/>
    <s v="Improvement"/>
    <s v="DESK-2855"/>
    <s v="Remove Tracking Pixels - Affiliates"/>
    <s v="Improvement"/>
    <x v="0"/>
    <d v="2015-12-15T17:16:00"/>
    <x v="9"/>
    <x v="0"/>
    <x v="10"/>
    <n v="2"/>
    <m/>
    <n v="147.9"/>
    <n v="26.100000000000005"/>
  </r>
  <r>
    <s v="SBG - Desktop"/>
    <x v="2"/>
    <s v="Improvement"/>
    <s v="DESK-2855"/>
    <s v="Remove Tracking Pixels - Affiliates"/>
    <s v="Improvement"/>
    <x v="0"/>
    <d v="2015-12-17T14:14:00"/>
    <x v="9"/>
    <x v="0"/>
    <x v="10"/>
    <n v="3"/>
    <m/>
    <n v="147.9"/>
    <n v="26.100000000000005"/>
  </r>
  <r>
    <s v="SBG - Desktop"/>
    <x v="1"/>
    <s v="Improvement"/>
    <s v="DESK-2855"/>
    <s v="Remove Tracking Pixels - Affiliates"/>
    <s v="Improvement"/>
    <x v="0"/>
    <d v="2015-12-17T17:52:00"/>
    <x v="9"/>
    <x v="0"/>
    <x v="30"/>
    <n v="4"/>
    <m/>
    <n v="147.9"/>
    <n v="26.100000000000005"/>
  </r>
  <r>
    <s v="SBG - Desktop"/>
    <x v="1"/>
    <s v="Improvement"/>
    <s v="DESK-2855"/>
    <s v="Remove Tracking Pixels - Affiliates"/>
    <s v="Improvement"/>
    <x v="0"/>
    <d v="2015-12-18T16:42:00"/>
    <x v="9"/>
    <x v="0"/>
    <x v="30"/>
    <n v="1"/>
    <m/>
    <n v="147.9"/>
    <n v="26.100000000000005"/>
  </r>
  <r>
    <s v="SBG - Desktop"/>
    <x v="1"/>
    <s v="Improvement"/>
    <s v="DESK-2855"/>
    <s v="Remove Tracking Pixels - Affiliates"/>
    <s v="Improvement"/>
    <x v="0"/>
    <d v="2015-12-22T17:54:00"/>
    <x v="9"/>
    <x v="0"/>
    <x v="30"/>
    <n v="4"/>
    <m/>
    <n v="147.9"/>
    <n v="26.100000000000005"/>
  </r>
  <r>
    <s v="SBG - Desktop"/>
    <x v="2"/>
    <s v="Improvement"/>
    <s v="DESK-2855"/>
    <s v="Remove Tracking Pixels - Affiliates"/>
    <s v="Improvement"/>
    <x v="0"/>
    <d v="2016-01-01T10:39:00"/>
    <x v="10"/>
    <x v="1"/>
    <x v="10"/>
    <n v="8"/>
    <m/>
    <n v="141.1"/>
    <n v="24.900000000000002"/>
  </r>
  <r>
    <s v="SBG - Desktop"/>
    <x v="2"/>
    <s v="Improvement"/>
    <s v="DESK-2855"/>
    <s v="Remove Tracking Pixels - Affiliates"/>
    <s v="Improvement"/>
    <x v="0"/>
    <d v="2016-01-07T16:32:00"/>
    <x v="10"/>
    <x v="1"/>
    <x v="10"/>
    <n v="4"/>
    <m/>
    <n v="141.1"/>
    <n v="24.900000000000002"/>
  </r>
  <r>
    <s v="SBG - Desktop"/>
    <x v="2"/>
    <s v="Improvement"/>
    <s v="DESK-2855"/>
    <s v="Remove Tracking Pixels - Affiliates"/>
    <s v="Improvement"/>
    <x v="0"/>
    <d v="2016-01-13T07:41:00"/>
    <x v="10"/>
    <x v="1"/>
    <x v="10"/>
    <n v="3"/>
    <m/>
    <n v="141.1"/>
    <n v="24.900000000000002"/>
  </r>
  <r>
    <s v="SBG - Desktop"/>
    <x v="1"/>
    <s v="Improvement"/>
    <s v="DESK-2855"/>
    <s v="Remove Tracking Pixels - Affiliates"/>
    <s v="Improvement"/>
    <x v="0"/>
    <d v="2016-01-13T16:46:00"/>
    <x v="10"/>
    <x v="1"/>
    <x v="30"/>
    <n v="4"/>
    <m/>
    <n v="141.1"/>
    <n v="24.900000000000002"/>
  </r>
  <r>
    <s v="SBG - Desktop"/>
    <x v="1"/>
    <s v="Improvement"/>
    <s v="DESK-2855"/>
    <s v="Remove Tracking Pixels - Affiliates"/>
    <s v="Improvement"/>
    <x v="0"/>
    <d v="2016-01-15T12:41:00"/>
    <x v="10"/>
    <x v="1"/>
    <x v="30"/>
    <n v="2"/>
    <m/>
    <n v="141.1"/>
    <n v="24.900000000000002"/>
  </r>
  <r>
    <s v="SBG - Desktop"/>
    <x v="2"/>
    <s v="Improvement"/>
    <s v="DESK-2855"/>
    <s v="Remove Tracking Pixels - Affiliates"/>
    <s v="Improvement"/>
    <x v="0"/>
    <d v="2016-01-15T15:58:00"/>
    <x v="10"/>
    <x v="1"/>
    <x v="10"/>
    <n v="2"/>
    <m/>
    <n v="141.1"/>
    <n v="24.900000000000002"/>
  </r>
  <r>
    <s v="SBG - Desktop"/>
    <x v="1"/>
    <s v="Improvement"/>
    <s v="DESK-2855"/>
    <s v="Remove Tracking Pixels - Affiliates"/>
    <s v="Improvement"/>
    <x v="0"/>
    <d v="2016-01-27T18:20:00"/>
    <x v="10"/>
    <x v="1"/>
    <x v="30"/>
    <n v="4"/>
    <m/>
    <n v="141.1"/>
    <n v="24.900000000000002"/>
  </r>
  <r>
    <s v="SBG - Desktop"/>
    <x v="2"/>
    <s v="Improvement"/>
    <s v="DESK-2860"/>
    <s v="Rewards, Discount, Referral fields improvement on Cart page"/>
    <s v="Improvement"/>
    <x v="0"/>
    <d v="2015-12-01T10:18:00"/>
    <x v="9"/>
    <x v="0"/>
    <x v="22"/>
    <n v="4"/>
    <m/>
    <n v="147.9"/>
    <n v="26.100000000000005"/>
  </r>
  <r>
    <s v="SBG - Desktop"/>
    <x v="0"/>
    <s v="Improvement"/>
    <s v="DESK-2860"/>
    <s v="Rewards, Discount, Referral fields improvement on Cart page"/>
    <s v="Improvement"/>
    <x v="0"/>
    <d v="2015-12-01T16:43:00"/>
    <x v="9"/>
    <x v="0"/>
    <x v="19"/>
    <n v="5"/>
    <m/>
    <n v="87"/>
    <n v="87"/>
  </r>
  <r>
    <s v="SBG - Desktop"/>
    <x v="2"/>
    <s v="Improvement"/>
    <s v="DESK-2860"/>
    <s v="Rewards, Discount, Referral fields improvement on Cart page"/>
    <s v="Improvement"/>
    <x v="0"/>
    <d v="2015-12-04T11:48:00"/>
    <x v="9"/>
    <x v="0"/>
    <x v="22"/>
    <n v="6"/>
    <m/>
    <n v="147.9"/>
    <n v="26.100000000000005"/>
  </r>
  <r>
    <s v="SBG - Desktop"/>
    <x v="0"/>
    <s v="Improvement"/>
    <s v="DESK-2861"/>
    <s v="Add a close button for a Top promo bar"/>
    <s v="Improvement"/>
    <x v="0"/>
    <d v="2015-12-07T14:16:00"/>
    <x v="9"/>
    <x v="0"/>
    <x v="19"/>
    <n v="3"/>
    <m/>
    <n v="87"/>
    <n v="87"/>
  </r>
  <r>
    <s v="SBG - Desktop"/>
    <x v="0"/>
    <s v="Improvement"/>
    <s v="DESK-2861"/>
    <s v="Add a close button for a Top promo bar"/>
    <s v="Improvement"/>
    <x v="0"/>
    <d v="2015-12-11T16:18:00"/>
    <x v="9"/>
    <x v="0"/>
    <x v="19"/>
    <n v="1"/>
    <m/>
    <n v="87"/>
    <n v="87"/>
  </r>
  <r>
    <s v="SBG - Desktop"/>
    <x v="0"/>
    <s v="Improvement"/>
    <s v="DESK-2861"/>
    <s v="Add a close button for a Top promo bar"/>
    <s v="Improvement"/>
    <x v="0"/>
    <d v="2015-12-22T15:19:00"/>
    <x v="9"/>
    <x v="0"/>
    <x v="19"/>
    <n v="2"/>
    <m/>
    <n v="87"/>
    <n v="87"/>
  </r>
  <r>
    <s v="SBG - Desktop"/>
    <x v="1"/>
    <s v="Task"/>
    <s v="DESK-2872"/>
    <s v="Invoice Update"/>
    <s v="Task"/>
    <x v="0"/>
    <d v="2015-12-01T19:51:00"/>
    <x v="9"/>
    <x v="0"/>
    <x v="1"/>
    <n v="4"/>
    <m/>
    <n v="147.9"/>
    <n v="26.100000000000005"/>
  </r>
  <r>
    <s v="SBG - Desktop"/>
    <x v="1"/>
    <s v="Task"/>
    <s v="DESK-2872"/>
    <s v="Invoice Update"/>
    <s v="Task"/>
    <x v="0"/>
    <d v="2015-12-02T12:01:00"/>
    <x v="9"/>
    <x v="0"/>
    <x v="1"/>
    <n v="1"/>
    <s v="Communicate with DE and Daisy"/>
    <n v="147.9"/>
    <n v="26.100000000000005"/>
  </r>
  <r>
    <s v="SBG - Desktop"/>
    <x v="1"/>
    <s v="Task"/>
    <s v="DESK-2872"/>
    <s v="Invoice Update"/>
    <s v="Task"/>
    <x v="0"/>
    <d v="2015-12-04T17:26:00"/>
    <x v="9"/>
    <x v="0"/>
    <x v="1"/>
    <n v="1"/>
    <m/>
    <n v="147.9"/>
    <n v="26.100000000000005"/>
  </r>
  <r>
    <s v="SBG - Desktop"/>
    <x v="1"/>
    <s v="Task"/>
    <s v="DESK-2872"/>
    <s v="Invoice Update"/>
    <s v="Task"/>
    <x v="0"/>
    <d v="2015-12-09T19:52:00"/>
    <x v="9"/>
    <x v="0"/>
    <x v="1"/>
    <n v="3"/>
    <m/>
    <n v="147.9"/>
    <n v="26.100000000000005"/>
  </r>
  <r>
    <s v="SBG - Desktop"/>
    <x v="2"/>
    <s v="Task"/>
    <s v="DESK-2872"/>
    <s v="Invoice Update"/>
    <s v="Task"/>
    <x v="0"/>
    <d v="2015-12-24T11:07:00"/>
    <x v="9"/>
    <x v="0"/>
    <x v="18"/>
    <n v="8"/>
    <m/>
    <n v="147.9"/>
    <n v="26.100000000000005"/>
  </r>
  <r>
    <s v="SBG - Desktop"/>
    <x v="2"/>
    <s v="Task"/>
    <s v="DESK-2872"/>
    <s v="Invoice Update"/>
    <s v="Task"/>
    <x v="0"/>
    <d v="2015-12-25T11:08:00"/>
    <x v="9"/>
    <x v="0"/>
    <x v="18"/>
    <n v="8"/>
    <m/>
    <n v="147.9"/>
    <n v="26.100000000000005"/>
  </r>
  <r>
    <s v="SBG - Desktop"/>
    <x v="1"/>
    <s v="Task"/>
    <s v="DESK-2872"/>
    <s v="Invoice Update"/>
    <s v="Task"/>
    <x v="0"/>
    <d v="2015-12-25T19:01:00"/>
    <x v="9"/>
    <x v="0"/>
    <x v="1"/>
    <n v="4"/>
    <m/>
    <n v="147.9"/>
    <n v="26.100000000000005"/>
  </r>
  <r>
    <s v="SBG - Desktop"/>
    <x v="2"/>
    <s v="Task"/>
    <s v="DESK-2872"/>
    <s v="Invoice Update"/>
    <s v="Task"/>
    <x v="0"/>
    <d v="2015-12-28T11:08:00"/>
    <x v="9"/>
    <x v="0"/>
    <x v="18"/>
    <n v="8"/>
    <m/>
    <n v="147.9"/>
    <n v="26.100000000000005"/>
  </r>
  <r>
    <s v="SBG - Desktop"/>
    <x v="1"/>
    <s v="Task"/>
    <s v="DESK-2872"/>
    <s v="Invoice Update"/>
    <s v="Task"/>
    <x v="0"/>
    <d v="2015-12-28T19:37:00"/>
    <x v="9"/>
    <x v="0"/>
    <x v="1"/>
    <n v="2"/>
    <m/>
    <n v="147.9"/>
    <n v="26.100000000000005"/>
  </r>
  <r>
    <s v="SBG - Desktop"/>
    <x v="1"/>
    <s v="Task"/>
    <s v="DESK-2872"/>
    <s v="Invoice Update"/>
    <s v="Task"/>
    <x v="0"/>
    <d v="2015-12-31T17:59:00"/>
    <x v="9"/>
    <x v="0"/>
    <x v="1"/>
    <n v="2"/>
    <m/>
    <n v="147.9"/>
    <n v="26.100000000000005"/>
  </r>
  <r>
    <s v="SBG - Desktop"/>
    <x v="2"/>
    <s v="Task"/>
    <s v="DESK-2872"/>
    <s v="Invoice Update"/>
    <s v="Task"/>
    <x v="0"/>
    <d v="2016-01-04T13:57:00"/>
    <x v="10"/>
    <x v="1"/>
    <x v="18"/>
    <n v="28"/>
    <m/>
    <n v="141.1"/>
    <n v="24.900000000000002"/>
  </r>
  <r>
    <s v="SBG - Desktop"/>
    <x v="1"/>
    <s v="Task"/>
    <s v="DESK-2872"/>
    <s v="Invoice Update"/>
    <s v="Task"/>
    <x v="0"/>
    <d v="2016-01-04T17:47:00"/>
    <x v="10"/>
    <x v="1"/>
    <x v="1"/>
    <n v="4"/>
    <m/>
    <n v="141.1"/>
    <n v="24.900000000000002"/>
  </r>
  <r>
    <s v="SBG - Desktop"/>
    <x v="1"/>
    <s v="Task"/>
    <s v="DESK-2872"/>
    <s v="Invoice Update"/>
    <s v="Task"/>
    <x v="0"/>
    <d v="2016-01-05T17:44:00"/>
    <x v="10"/>
    <x v="1"/>
    <x v="1"/>
    <n v="4"/>
    <m/>
    <n v="141.1"/>
    <n v="24.900000000000002"/>
  </r>
  <r>
    <s v="SBG - Desktop"/>
    <x v="1"/>
    <s v="Task"/>
    <s v="DESK-2872"/>
    <s v="Invoice Update"/>
    <s v="Task"/>
    <x v="0"/>
    <d v="2016-01-13T19:58:00"/>
    <x v="10"/>
    <x v="1"/>
    <x v="1"/>
    <n v="2"/>
    <m/>
    <n v="141.1"/>
    <n v="24.900000000000002"/>
  </r>
  <r>
    <s v="SBG - Desktop"/>
    <x v="2"/>
    <s v="Task"/>
    <s v="DESK-2873"/>
    <s v="Php upgrade to 5.6 from 5.2"/>
    <s v="Task"/>
    <x v="0"/>
    <d v="2015-12-01T15:35:00"/>
    <x v="9"/>
    <x v="0"/>
    <x v="29"/>
    <n v="32"/>
    <m/>
    <n v="147.9"/>
    <n v="26.100000000000005"/>
  </r>
  <r>
    <s v="SBG - Desktop"/>
    <x v="2"/>
    <s v="Task"/>
    <s v="DESK-2873"/>
    <s v="Php upgrade to 5.6 from 5.2"/>
    <s v="Task"/>
    <x v="0"/>
    <d v="2015-12-07T09:30:00"/>
    <x v="9"/>
    <x v="0"/>
    <x v="29"/>
    <n v="8"/>
    <m/>
    <n v="147.9"/>
    <n v="26.100000000000005"/>
  </r>
  <r>
    <s v="SBG - Desktop"/>
    <x v="2"/>
    <s v="Task"/>
    <s v="DESK-2873"/>
    <s v="Php upgrade to 5.6 from 5.2"/>
    <s v="Task"/>
    <x v="0"/>
    <d v="2015-12-07T15:33:00"/>
    <x v="9"/>
    <x v="0"/>
    <x v="29"/>
    <n v="40"/>
    <m/>
    <n v="147.9"/>
    <n v="26.100000000000005"/>
  </r>
  <r>
    <s v="SBG - Desktop"/>
    <x v="2"/>
    <s v="Task"/>
    <s v="DESK-2873"/>
    <s v="Php upgrade to 5.6 from 5.2"/>
    <s v="Task"/>
    <x v="0"/>
    <d v="2015-12-14T13:58:00"/>
    <x v="9"/>
    <x v="0"/>
    <x v="29"/>
    <n v="40"/>
    <m/>
    <n v="147.9"/>
    <n v="26.100000000000005"/>
  </r>
  <r>
    <s v="SBG - Desktop"/>
    <x v="2"/>
    <s v="Task"/>
    <s v="DESK-2873"/>
    <s v="Php upgrade to 5.6 from 5.2"/>
    <s v="Task"/>
    <x v="0"/>
    <d v="2015-12-21T15:33:00"/>
    <x v="9"/>
    <x v="0"/>
    <x v="29"/>
    <n v="40"/>
    <m/>
    <n v="147.9"/>
    <n v="26.100000000000005"/>
  </r>
  <r>
    <s v="SBG - Desktop"/>
    <x v="2"/>
    <s v="New Feature"/>
    <s v="DESK-2899"/>
    <s v="Product Page Buy Button A/B test"/>
    <s v="New Feature"/>
    <x v="0"/>
    <d v="2015-12-01T16:26:00"/>
    <x v="9"/>
    <x v="0"/>
    <x v="10"/>
    <n v="4"/>
    <m/>
    <n v="147.9"/>
    <n v="26.100000000000005"/>
  </r>
  <r>
    <s v="SBG - Desktop"/>
    <x v="0"/>
    <s v="New Feature"/>
    <s v="DESK-2899"/>
    <s v="Product Page Buy Button A/B test"/>
    <s v="New Feature"/>
    <x v="0"/>
    <d v="2015-12-02T12:07:00"/>
    <x v="9"/>
    <x v="0"/>
    <x v="19"/>
    <n v="2"/>
    <m/>
    <n v="87"/>
    <n v="87"/>
  </r>
  <r>
    <s v="SBG - Desktop"/>
    <x v="2"/>
    <s v="New Feature"/>
    <s v="DESK-2899"/>
    <s v="Product Page Buy Button A/B test"/>
    <s v="New Feature"/>
    <x v="0"/>
    <d v="2015-12-02T14:08:00"/>
    <x v="9"/>
    <x v="0"/>
    <x v="10"/>
    <n v="8"/>
    <m/>
    <n v="147.9"/>
    <n v="26.100000000000005"/>
  </r>
  <r>
    <s v="SBG - Desktop"/>
    <x v="2"/>
    <s v="New Feature"/>
    <s v="DESK-2899"/>
    <s v="Product Page Buy Button A/B test"/>
    <s v="New Feature"/>
    <x v="0"/>
    <d v="2015-12-03T14:57:00"/>
    <x v="9"/>
    <x v="0"/>
    <x v="10"/>
    <n v="8"/>
    <m/>
    <n v="147.9"/>
    <n v="26.100000000000005"/>
  </r>
  <r>
    <s v="SBG - Desktop"/>
    <x v="2"/>
    <s v="New Feature"/>
    <s v="DESK-2899"/>
    <s v="Product Page Buy Button A/B test"/>
    <s v="New Feature"/>
    <x v="0"/>
    <d v="2015-12-04T14:46:00"/>
    <x v="9"/>
    <x v="0"/>
    <x v="10"/>
    <n v="8"/>
    <m/>
    <n v="147.9"/>
    <n v="26.100000000000005"/>
  </r>
  <r>
    <s v="SBG - Desktop"/>
    <x v="2"/>
    <s v="New Feature"/>
    <s v="DESK-2899"/>
    <s v="Product Page Buy Button A/B test"/>
    <s v="New Feature"/>
    <x v="0"/>
    <d v="2015-12-08T14:08:00"/>
    <x v="9"/>
    <x v="0"/>
    <x v="10"/>
    <n v="8"/>
    <m/>
    <n v="147.9"/>
    <n v="26.100000000000005"/>
  </r>
  <r>
    <s v="SBG - Desktop"/>
    <x v="2"/>
    <s v="New Feature"/>
    <s v="DESK-2900"/>
    <s v="Availability by Size- Front End"/>
    <s v="New Feature"/>
    <x v="0"/>
    <d v="2015-12-03T10:20:00"/>
    <x v="9"/>
    <x v="0"/>
    <x v="22"/>
    <n v="8"/>
    <m/>
    <n v="147.9"/>
    <n v="26.100000000000005"/>
  </r>
  <r>
    <s v="SBG - Desktop"/>
    <x v="1"/>
    <s v="New Feature"/>
    <s v="DESK-2902"/>
    <s v="Twitter conversion pixel - Vision Direct"/>
    <s v="New Feature"/>
    <x v="0"/>
    <d v="2015-12-07T17:32:00"/>
    <x v="9"/>
    <x v="0"/>
    <x v="30"/>
    <n v="3"/>
    <m/>
    <n v="147.9"/>
    <n v="26.100000000000005"/>
  </r>
  <r>
    <s v="SBG - Desktop"/>
    <x v="1"/>
    <s v="New Feature"/>
    <s v="DESK-2902"/>
    <s v="Twitter conversion pixel - Vision Direct"/>
    <s v="New Feature"/>
    <x v="0"/>
    <d v="2015-12-10T17:43:00"/>
    <x v="9"/>
    <x v="0"/>
    <x v="30"/>
    <n v="2"/>
    <m/>
    <n v="147.9"/>
    <n v="26.100000000000005"/>
  </r>
  <r>
    <s v="SBG - Desktop"/>
    <x v="1"/>
    <s v="New Feature"/>
    <s v="DESK-2902"/>
    <s v="Twitter conversion pixel - Vision Direct"/>
    <s v="New Feature"/>
    <x v="0"/>
    <d v="2015-12-11T11:32:00"/>
    <x v="9"/>
    <x v="0"/>
    <x v="30"/>
    <n v="1"/>
    <m/>
    <n v="147.9"/>
    <n v="26.100000000000005"/>
  </r>
  <r>
    <s v="SBG - Desktop"/>
    <x v="1"/>
    <s v="New Feature"/>
    <s v="DESK-2902"/>
    <s v="Twitter conversion pixel - Vision Direct"/>
    <s v="New Feature"/>
    <x v="0"/>
    <d v="2015-12-11T16:11:00"/>
    <x v="9"/>
    <x v="0"/>
    <x v="30"/>
    <n v="1"/>
    <m/>
    <n v="147.9"/>
    <n v="26.100000000000005"/>
  </r>
  <r>
    <s v="SBG - Desktop"/>
    <x v="1"/>
    <s v="New Feature"/>
    <s v="DESK-2902"/>
    <s v="Twitter conversion pixel - Vision Direct"/>
    <s v="New Feature"/>
    <x v="0"/>
    <d v="2015-12-21T17:53:00"/>
    <x v="9"/>
    <x v="0"/>
    <x v="30"/>
    <n v="4"/>
    <m/>
    <n v="147.9"/>
    <n v="26.100000000000005"/>
  </r>
  <r>
    <s v="SBG - Desktop"/>
    <x v="1"/>
    <s v="New Feature"/>
    <s v="DESK-2902"/>
    <s v="Twitter conversion pixel - Vision Direct"/>
    <s v="New Feature"/>
    <x v="0"/>
    <d v="2015-12-29T18:02:00"/>
    <x v="9"/>
    <x v="0"/>
    <x v="30"/>
    <n v="4"/>
    <m/>
    <n v="147.9"/>
    <n v="26.100000000000005"/>
  </r>
  <r>
    <s v="SBG - Desktop"/>
    <x v="1"/>
    <s v="New Feature"/>
    <s v="DESK-2903"/>
    <s v="Implement ContainerTag for Commission Factory"/>
    <s v="New Feature"/>
    <x v="0"/>
    <d v="2015-12-04T17:30:00"/>
    <x v="9"/>
    <x v="0"/>
    <x v="30"/>
    <n v="2"/>
    <m/>
    <n v="147.9"/>
    <n v="26.100000000000005"/>
  </r>
  <r>
    <s v="SBG - Desktop"/>
    <x v="1"/>
    <s v="New Feature"/>
    <s v="DESK-2903"/>
    <s v="Implement ContainerTag for Commission Factory"/>
    <s v="New Feature"/>
    <x v="0"/>
    <d v="2015-12-10T17:42:00"/>
    <x v="9"/>
    <x v="0"/>
    <x v="30"/>
    <n v="2"/>
    <m/>
    <n v="147.9"/>
    <n v="26.100000000000005"/>
  </r>
  <r>
    <s v="SBG - Desktop"/>
    <x v="1"/>
    <s v="New Feature"/>
    <s v="DESK-2903"/>
    <s v="Implement ContainerTag for Commission Factory"/>
    <s v="New Feature"/>
    <x v="0"/>
    <d v="2015-12-10T18:41:00"/>
    <x v="9"/>
    <x v="0"/>
    <x v="30"/>
    <n v="1"/>
    <m/>
    <n v="147.9"/>
    <n v="26.100000000000005"/>
  </r>
  <r>
    <s v="SBG - Desktop"/>
    <x v="1"/>
    <s v="New Feature"/>
    <s v="DESK-2903"/>
    <s v="Implement ContainerTag for Commission Factory"/>
    <s v="New Feature"/>
    <x v="0"/>
    <d v="2015-12-17T17:52:00"/>
    <x v="9"/>
    <x v="0"/>
    <x v="30"/>
    <n v="3"/>
    <m/>
    <n v="147.9"/>
    <n v="26.100000000000005"/>
  </r>
  <r>
    <s v="SBG - Desktop"/>
    <x v="1"/>
    <s v="New Feature"/>
    <s v="DESK-2903"/>
    <s v="Implement ContainerTag for Commission Factory"/>
    <s v="New Feature"/>
    <x v="0"/>
    <d v="2015-12-22T17:54:00"/>
    <x v="9"/>
    <x v="0"/>
    <x v="30"/>
    <n v="4"/>
    <m/>
    <n v="147.9"/>
    <n v="26.100000000000005"/>
  </r>
  <r>
    <s v="SBG - Desktop"/>
    <x v="1"/>
    <s v="New Feature"/>
    <s v="DESK-2904"/>
    <s v="Implement MasterTag for Zanox"/>
    <s v="New Feature"/>
    <x v="0"/>
    <d v="2015-12-01T15:08:00"/>
    <x v="9"/>
    <x v="0"/>
    <x v="30"/>
    <n v="4"/>
    <m/>
    <n v="147.9"/>
    <n v="26.100000000000005"/>
  </r>
  <r>
    <s v="SBG - Desktop"/>
    <x v="1"/>
    <s v="New Feature"/>
    <s v="DESK-2904"/>
    <s v="Implement MasterTag for Zanox"/>
    <s v="New Feature"/>
    <x v="0"/>
    <d v="2015-12-08T17:34:00"/>
    <x v="9"/>
    <x v="0"/>
    <x v="30"/>
    <n v="4"/>
    <m/>
    <n v="147.9"/>
    <n v="26.100000000000005"/>
  </r>
  <r>
    <s v="SBG - Desktop"/>
    <x v="2"/>
    <s v="New Feature"/>
    <s v="DESK-2904"/>
    <s v="Implement MasterTag for Zanox"/>
    <s v="New Feature"/>
    <x v="0"/>
    <d v="2015-12-10T10:54:00"/>
    <x v="9"/>
    <x v="0"/>
    <x v="29"/>
    <n v="2"/>
    <m/>
    <n v="147.9"/>
    <n v="26.100000000000005"/>
  </r>
  <r>
    <s v="SBG - Desktop"/>
    <x v="1"/>
    <s v="New Feature"/>
    <s v="DESK-2904"/>
    <s v="Implement MasterTag for Zanox"/>
    <s v="New Feature"/>
    <x v="0"/>
    <d v="2015-12-16T17:50:00"/>
    <x v="9"/>
    <x v="0"/>
    <x v="30"/>
    <n v="4"/>
    <m/>
    <n v="147.9"/>
    <n v="26.100000000000005"/>
  </r>
  <r>
    <s v="SBG - Desktop"/>
    <x v="1"/>
    <s v="New Feature"/>
    <s v="DESK-2904"/>
    <s v="Implement MasterTag for Zanox"/>
    <s v="New Feature"/>
    <x v="0"/>
    <d v="2015-12-18T10:16:00"/>
    <x v="9"/>
    <x v="0"/>
    <x v="30"/>
    <n v="1"/>
    <m/>
    <n v="147.9"/>
    <n v="26.100000000000005"/>
  </r>
  <r>
    <s v="SBG - Desktop"/>
    <x v="2"/>
    <s v="New Feature"/>
    <s v="DESK-2904"/>
    <s v="Implement MasterTag for Zanox"/>
    <s v="New Feature"/>
    <x v="0"/>
    <d v="2015-12-24T14:52:00"/>
    <x v="9"/>
    <x v="0"/>
    <x v="29"/>
    <n v="4"/>
    <m/>
    <n v="147.9"/>
    <n v="26.100000000000005"/>
  </r>
  <r>
    <s v="SBG - Desktop"/>
    <x v="1"/>
    <s v="New Feature"/>
    <s v="DESK-2904"/>
    <s v="Implement MasterTag for Zanox"/>
    <s v="New Feature"/>
    <x v="0"/>
    <d v="2015-12-29T15:07:00"/>
    <x v="9"/>
    <x v="0"/>
    <x v="30"/>
    <n v="3"/>
    <m/>
    <n v="147.9"/>
    <n v="26.100000000000005"/>
  </r>
  <r>
    <s v="SBG - Desktop"/>
    <x v="1"/>
    <s v="New Feature"/>
    <s v="DESK-2904"/>
    <s v="Implement MasterTag for Zanox"/>
    <s v="New Feature"/>
    <x v="0"/>
    <d v="2015-12-29T18:32:00"/>
    <x v="9"/>
    <x v="0"/>
    <x v="30"/>
    <n v="1"/>
    <m/>
    <n v="147.9"/>
    <n v="26.100000000000005"/>
  </r>
  <r>
    <s v="SBG - Desktop"/>
    <x v="1"/>
    <s v="New Feature"/>
    <s v="DESK-2904"/>
    <s v="Implement MasterTag for Zanox"/>
    <s v="New Feature"/>
    <x v="0"/>
    <d v="2015-12-30T17:24:00"/>
    <x v="9"/>
    <x v="0"/>
    <x v="30"/>
    <n v="2"/>
    <m/>
    <n v="147.9"/>
    <n v="26.100000000000005"/>
  </r>
  <r>
    <s v="SBG - Desktop"/>
    <x v="1"/>
    <s v="New Feature"/>
    <s v="DESK-2904"/>
    <s v="Implement MasterTag for Zanox"/>
    <s v="New Feature"/>
    <x v="0"/>
    <d v="2015-12-30T17:24:00"/>
    <x v="9"/>
    <x v="0"/>
    <x v="30"/>
    <n v="1"/>
    <m/>
    <n v="147.9"/>
    <n v="26.100000000000005"/>
  </r>
  <r>
    <s v="SBG - Desktop"/>
    <x v="1"/>
    <s v="New Feature"/>
    <s v="DESK-2904"/>
    <s v="Implement MasterTag for Zanox"/>
    <s v="New Feature"/>
    <x v="0"/>
    <d v="2016-01-04T18:07:00"/>
    <x v="10"/>
    <x v="1"/>
    <x v="30"/>
    <n v="4"/>
    <m/>
    <n v="141.1"/>
    <n v="24.900000000000002"/>
  </r>
  <r>
    <s v="SBG - Desktop"/>
    <x v="2"/>
    <s v="Task"/>
    <s v="DESK-2912"/>
    <s v="Remove SEO carousel from Home page source code"/>
    <s v="Task"/>
    <x v="0"/>
    <d v="2015-12-21T12:20:00"/>
    <x v="9"/>
    <x v="0"/>
    <x v="22"/>
    <n v="1"/>
    <m/>
    <n v="147.9"/>
    <n v="26.100000000000005"/>
  </r>
  <r>
    <s v="SBG - Desktop"/>
    <x v="0"/>
    <s v="Task"/>
    <s v="DESK-2912"/>
    <s v="Remove SEO carousel from Home page source code"/>
    <s v="Task"/>
    <x v="0"/>
    <d v="2015-12-21T14:47:00"/>
    <x v="9"/>
    <x v="0"/>
    <x v="19"/>
    <n v="1"/>
    <m/>
    <n v="87"/>
    <n v="87"/>
  </r>
  <r>
    <s v="SBG - Desktop"/>
    <x v="1"/>
    <s v="Technical task"/>
    <s v="DESK-2914"/>
    <s v="DESK-2135&gt; Test case design and execution"/>
    <s v="Technical task"/>
    <x v="0"/>
    <d v="2015-12-01T09:31:00"/>
    <x v="9"/>
    <x v="0"/>
    <x v="26"/>
    <n v="4"/>
    <m/>
    <n v="147.9"/>
    <n v="26.100000000000005"/>
  </r>
  <r>
    <s v="SBG - Desktop"/>
    <x v="1"/>
    <s v="Technical task"/>
    <s v="DESK-2915"/>
    <s v="DESK-2872&gt; Test case design"/>
    <s v="Technical task"/>
    <x v="0"/>
    <d v="2015-12-08T18:51:00"/>
    <x v="9"/>
    <x v="0"/>
    <x v="1"/>
    <n v="1"/>
    <m/>
    <n v="147.9"/>
    <n v="26.100000000000005"/>
  </r>
  <r>
    <s v="SBG - Desktop"/>
    <x v="1"/>
    <s v="Technical task"/>
    <s v="DESK-2915"/>
    <s v="DESK-2872&gt; Test case design"/>
    <s v="Technical task"/>
    <x v="0"/>
    <d v="2015-12-10T19:52:00"/>
    <x v="9"/>
    <x v="0"/>
    <x v="1"/>
    <n v="3"/>
    <m/>
    <n v="147.9"/>
    <n v="26.100000000000005"/>
  </r>
  <r>
    <s v="SBG - Desktop"/>
    <x v="1"/>
    <s v="New Feature"/>
    <s v="DESK-2918"/>
    <s v="Black Friday Cyber Monday Europe - Enable Discount Codes on Clearance Page"/>
    <s v="New Feature"/>
    <x v="0"/>
    <d v="2015-12-01T11:29:00"/>
    <x v="9"/>
    <x v="0"/>
    <x v="23"/>
    <n v="2"/>
    <m/>
    <n v="147.9"/>
    <n v="26.100000000000005"/>
  </r>
  <r>
    <s v="SBG - Desktop"/>
    <x v="2"/>
    <s v="New Feature"/>
    <s v="DESK-2919"/>
    <s v="SBG banner customization"/>
    <s v="New Feature"/>
    <x v="0"/>
    <d v="2015-12-11T17:26:00"/>
    <x v="9"/>
    <x v="0"/>
    <x v="2"/>
    <n v="5"/>
    <m/>
    <n v="147.9"/>
    <n v="26.100000000000005"/>
  </r>
  <r>
    <s v="SBG - Desktop"/>
    <x v="2"/>
    <s v="New Feature"/>
    <s v="DESK-2919"/>
    <s v="SBG banner customization"/>
    <s v="New Feature"/>
    <x v="0"/>
    <d v="2015-12-14T18:28:00"/>
    <x v="9"/>
    <x v="0"/>
    <x v="2"/>
    <n v="3"/>
    <m/>
    <n v="147.9"/>
    <n v="26.100000000000005"/>
  </r>
  <r>
    <s v="SBG - Desktop"/>
    <x v="0"/>
    <s v="New Feature"/>
    <s v="DESK-2925"/>
    <s v="Christmas Campaign HomePage (English Domains)"/>
    <s v="New Feature"/>
    <x v="0"/>
    <d v="2015-12-01T12:15:00"/>
    <x v="9"/>
    <x v="0"/>
    <x v="7"/>
    <n v="0.5"/>
    <m/>
    <n v="87"/>
    <n v="87"/>
  </r>
  <r>
    <s v="SBG - Desktop"/>
    <x v="2"/>
    <s v="New Feature"/>
    <s v="DESK-2925"/>
    <s v="Christmas Campaign HomePage (English Domains)"/>
    <s v="New Feature"/>
    <x v="0"/>
    <d v="2015-12-01T14:11:00"/>
    <x v="9"/>
    <x v="0"/>
    <x v="10"/>
    <n v="2"/>
    <m/>
    <n v="147.9"/>
    <n v="26.100000000000005"/>
  </r>
  <r>
    <s v="SBG - Desktop"/>
    <x v="1"/>
    <s v="New Feature"/>
    <s v="DESK-2925"/>
    <s v="Christmas Campaign HomePage (English Domains)"/>
    <s v="New Feature"/>
    <x v="0"/>
    <d v="2015-12-01T14:44:00"/>
    <x v="9"/>
    <x v="0"/>
    <x v="26"/>
    <n v="0.5"/>
    <m/>
    <n v="147.9"/>
    <n v="26.100000000000005"/>
  </r>
  <r>
    <s v="SBG - Desktop"/>
    <x v="2"/>
    <s v="New Feature"/>
    <s v="DESK-2925"/>
    <s v="Christmas Campaign HomePage (English Domains)"/>
    <s v="New Feature"/>
    <x v="0"/>
    <d v="2015-12-01T16:27:00"/>
    <x v="9"/>
    <x v="0"/>
    <x v="10"/>
    <n v="1"/>
    <m/>
    <n v="147.9"/>
    <n v="26.100000000000005"/>
  </r>
  <r>
    <s v="SBG - Desktop"/>
    <x v="1"/>
    <s v="New Feature"/>
    <s v="DESK-2926"/>
    <s v="Christmas Campaign HomePage (Non-English Domains)"/>
    <s v="New Feature"/>
    <x v="0"/>
    <d v="2015-12-01T15:09:00"/>
    <x v="9"/>
    <x v="0"/>
    <x v="30"/>
    <n v="4"/>
    <m/>
    <n v="147.9"/>
    <n v="26.100000000000005"/>
  </r>
  <r>
    <s v="SBG - Desktop"/>
    <x v="1"/>
    <s v="New Feature"/>
    <s v="DESK-2926"/>
    <s v="Christmas Campaign HomePage (Non-English Domains)"/>
    <s v="New Feature"/>
    <x v="0"/>
    <d v="2015-12-02T18:28:00"/>
    <x v="9"/>
    <x v="0"/>
    <x v="1"/>
    <n v="1"/>
    <m/>
    <n v="147.9"/>
    <n v="26.100000000000005"/>
  </r>
  <r>
    <s v="SBG - Desktop"/>
    <x v="2"/>
    <s v="New Feature"/>
    <s v="DESK-2926"/>
    <s v="Christmas Campaign HomePage (Non-English Domains)"/>
    <s v="New Feature"/>
    <x v="0"/>
    <d v="2015-12-07T10:23:00"/>
    <x v="9"/>
    <x v="0"/>
    <x v="10"/>
    <n v="5"/>
    <m/>
    <n v="147.9"/>
    <n v="26.100000000000005"/>
  </r>
  <r>
    <s v="SBG - Desktop"/>
    <x v="0"/>
    <s v="New Feature"/>
    <s v="DESK-2926"/>
    <s v="Christmas Campaign HomePage (Non-English Domains)"/>
    <s v="New Feature"/>
    <x v="0"/>
    <d v="2015-12-07T11:59:00"/>
    <x v="9"/>
    <x v="0"/>
    <x v="7"/>
    <n v="0.5"/>
    <m/>
    <n v="87"/>
    <n v="87"/>
  </r>
  <r>
    <s v="SBG - Desktop"/>
    <x v="1"/>
    <s v="New Feature"/>
    <s v="DESK-2926"/>
    <s v="Christmas Campaign HomePage (Non-English Domains)"/>
    <s v="New Feature"/>
    <x v="0"/>
    <d v="2015-12-07T17:33:00"/>
    <x v="9"/>
    <x v="0"/>
    <x v="30"/>
    <n v="4"/>
    <m/>
    <n v="147.9"/>
    <n v="26.100000000000005"/>
  </r>
  <r>
    <s v="SBG - Desktop"/>
    <x v="1"/>
    <s v="New Feature"/>
    <s v="DESK-2926"/>
    <s v="Christmas Campaign HomePage (Non-English Domains)"/>
    <s v="New Feature"/>
    <x v="0"/>
    <d v="2015-12-10T17:43:00"/>
    <x v="9"/>
    <x v="0"/>
    <x v="30"/>
    <n v="2"/>
    <m/>
    <n v="147.9"/>
    <n v="26.100000000000005"/>
  </r>
  <r>
    <s v="SBG - Desktop"/>
    <x v="1"/>
    <s v="New Feature"/>
    <s v="DESK-2926"/>
    <s v="Christmas Campaign HomePage (Non-English Domains)"/>
    <s v="New Feature"/>
    <x v="0"/>
    <d v="2015-12-11T19:53:00"/>
    <x v="9"/>
    <x v="0"/>
    <x v="1"/>
    <n v="2"/>
    <m/>
    <n v="147.9"/>
    <n v="26.100000000000005"/>
  </r>
  <r>
    <s v="SBG - Desktop"/>
    <x v="1"/>
    <s v="New Feature"/>
    <s v="DESK-2926"/>
    <s v="Christmas Campaign HomePage (Non-English Domains)"/>
    <s v="New Feature"/>
    <x v="0"/>
    <d v="2015-12-16T17:50:00"/>
    <x v="9"/>
    <x v="0"/>
    <x v="30"/>
    <n v="4"/>
    <m/>
    <n v="147.9"/>
    <n v="26.100000000000005"/>
  </r>
  <r>
    <s v="SBG - Desktop"/>
    <x v="1"/>
    <s v="New Feature"/>
    <s v="DESK-2926"/>
    <s v="Christmas Campaign HomePage (Non-English Domains)"/>
    <s v="New Feature"/>
    <x v="0"/>
    <d v="2015-12-18T18:13:00"/>
    <x v="9"/>
    <x v="0"/>
    <x v="30"/>
    <n v="1"/>
    <m/>
    <n v="147.9"/>
    <n v="26.100000000000005"/>
  </r>
  <r>
    <s v="SBG - Desktop"/>
    <x v="1"/>
    <s v="New Feature"/>
    <s v="DESK-2926"/>
    <s v="Christmas Campaign HomePage (Non-English Domains)"/>
    <s v="New Feature"/>
    <x v="0"/>
    <d v="2015-12-23T17:55:00"/>
    <x v="9"/>
    <x v="0"/>
    <x v="30"/>
    <n v="4"/>
    <m/>
    <n v="147.9"/>
    <n v="26.100000000000005"/>
  </r>
  <r>
    <s v="SBG - Desktop"/>
    <x v="1"/>
    <s v="New Feature"/>
    <s v="DESK-2927"/>
    <s v="RX End of Year Rebate"/>
    <s v="New Feature"/>
    <x v="0"/>
    <d v="2015-12-02T18:35:00"/>
    <x v="9"/>
    <x v="0"/>
    <x v="23"/>
    <n v="2"/>
    <m/>
    <n v="147.9"/>
    <n v="26.100000000000005"/>
  </r>
  <r>
    <s v="SBG - Desktop"/>
    <x v="0"/>
    <s v="New Feature"/>
    <s v="DESK-2927"/>
    <s v="RX End of Year Rebate"/>
    <s v="New Feature"/>
    <x v="0"/>
    <d v="2015-12-07T12:05:00"/>
    <x v="9"/>
    <x v="0"/>
    <x v="7"/>
    <n v="0.5"/>
    <m/>
    <n v="87"/>
    <n v="87"/>
  </r>
  <r>
    <s v="SBG - Desktop"/>
    <x v="0"/>
    <s v="New Feature"/>
    <s v="DESK-2927"/>
    <s v="RX End of Year Rebate"/>
    <s v="New Feature"/>
    <x v="0"/>
    <d v="2015-12-07T12:19:00"/>
    <x v="9"/>
    <x v="0"/>
    <x v="7"/>
    <n v="0.5"/>
    <m/>
    <n v="87"/>
    <n v="87"/>
  </r>
  <r>
    <s v="SBG - Desktop"/>
    <x v="2"/>
    <s v="New Feature"/>
    <s v="DESK-2927"/>
    <s v="RX End of Year Rebate"/>
    <s v="New Feature"/>
    <x v="0"/>
    <d v="2015-12-07T18:25:00"/>
    <x v="9"/>
    <x v="0"/>
    <x v="22"/>
    <n v="4"/>
    <m/>
    <n v="147.9"/>
    <n v="26.100000000000005"/>
  </r>
  <r>
    <s v="SBG - Desktop"/>
    <x v="0"/>
    <s v="New Feature"/>
    <s v="DESK-2927"/>
    <s v="RX End of Year Rebate"/>
    <s v="New Feature"/>
    <x v="0"/>
    <d v="2015-12-08T10:30:00"/>
    <x v="9"/>
    <x v="0"/>
    <x v="7"/>
    <n v="0.5"/>
    <m/>
    <n v="87"/>
    <n v="87"/>
  </r>
  <r>
    <s v="SBG - Desktop"/>
    <x v="1"/>
    <s v="New Feature"/>
    <s v="DESK-2934"/>
    <s v="Add Price Filter to Clearance page"/>
    <s v="New Feature"/>
    <x v="0"/>
    <d v="2015-12-30T18:04:00"/>
    <x v="9"/>
    <x v="0"/>
    <x v="30"/>
    <n v="4"/>
    <m/>
    <n v="147.9"/>
    <n v="26.100000000000005"/>
  </r>
  <r>
    <s v="SBG - Desktop"/>
    <x v="2"/>
    <s v="New Feature"/>
    <s v="DESK-2934"/>
    <s v="Add Price Filter to Clearance page"/>
    <s v="New Feature"/>
    <x v="0"/>
    <d v="2016-01-20T09:51:00"/>
    <x v="10"/>
    <x v="1"/>
    <x v="22"/>
    <n v="4"/>
    <m/>
    <n v="141.1"/>
    <n v="24.900000000000002"/>
  </r>
  <r>
    <s v="SBG - Desktop"/>
    <x v="1"/>
    <s v="New Feature"/>
    <s v="DESK-2934"/>
    <s v="Add Price Filter to Clearance page"/>
    <s v="New Feature"/>
    <x v="0"/>
    <d v="2016-01-21T16:30:00"/>
    <x v="10"/>
    <x v="1"/>
    <x v="30"/>
    <n v="2"/>
    <m/>
    <n v="141.1"/>
    <n v="24.900000000000002"/>
  </r>
  <r>
    <s v="SBG - Desktop"/>
    <x v="1"/>
    <s v="New Feature"/>
    <s v="DESK-2934"/>
    <s v="Add Price Filter to Clearance page"/>
    <s v="New Feature"/>
    <x v="0"/>
    <d v="2016-01-21T16:51:00"/>
    <x v="10"/>
    <x v="1"/>
    <x v="30"/>
    <n v="2"/>
    <m/>
    <n v="141.1"/>
    <n v="24.900000000000002"/>
  </r>
  <r>
    <s v="SBG - Desktop"/>
    <x v="2"/>
    <s v="New Feature"/>
    <s v="DESK-2934"/>
    <s v="Add Price Filter to Clearance page"/>
    <s v="New Feature"/>
    <x v="0"/>
    <d v="2016-01-21T17:24:00"/>
    <x v="10"/>
    <x v="1"/>
    <x v="22"/>
    <n v="3"/>
    <m/>
    <n v="141.1"/>
    <n v="24.900000000000002"/>
  </r>
  <r>
    <s v="SBG - Desktop"/>
    <x v="1"/>
    <s v="New Feature"/>
    <s v="DESK-2934"/>
    <s v="Add Price Filter to Clearance page"/>
    <s v="New Feature"/>
    <x v="0"/>
    <d v="2016-01-22T14:19:00"/>
    <x v="10"/>
    <x v="1"/>
    <x v="30"/>
    <n v="3"/>
    <m/>
    <n v="141.1"/>
    <n v="24.900000000000002"/>
  </r>
  <r>
    <s v="SBG - Desktop"/>
    <x v="2"/>
    <s v="New Feature"/>
    <s v="DESK-2934"/>
    <s v="Add Price Filter to Clearance page"/>
    <s v="New Feature"/>
    <x v="0"/>
    <d v="2016-01-22T17:25:00"/>
    <x v="10"/>
    <x v="1"/>
    <x v="22"/>
    <n v="3"/>
    <m/>
    <n v="141.1"/>
    <n v="24.900000000000002"/>
  </r>
  <r>
    <s v="SBG - Desktop"/>
    <x v="1"/>
    <s v="New Feature"/>
    <s v="DESK-2934"/>
    <s v="Add Price Filter to Clearance page"/>
    <s v="New Feature"/>
    <x v="0"/>
    <d v="2016-01-25T12:29:00"/>
    <x v="10"/>
    <x v="1"/>
    <x v="30"/>
    <n v="2"/>
    <m/>
    <n v="141.1"/>
    <n v="24.900000000000002"/>
  </r>
  <r>
    <s v="SBG - Desktop"/>
    <x v="1"/>
    <s v="Technical task"/>
    <s v="DESK-2937"/>
    <s v="DESK-2123&gt; Test case design and execution"/>
    <s v="Technical task"/>
    <x v="0"/>
    <d v="2015-12-03T18:32:00"/>
    <x v="9"/>
    <x v="0"/>
    <x v="30"/>
    <n v="4"/>
    <m/>
    <n v="147.9"/>
    <n v="26.100000000000005"/>
  </r>
  <r>
    <s v="SBG - Desktop"/>
    <x v="1"/>
    <s v="Technical task"/>
    <s v="DESK-2937"/>
    <s v="DESK-2123&gt; Test case design and execution"/>
    <s v="Technical task"/>
    <x v="0"/>
    <d v="2015-12-03T18:33:00"/>
    <x v="9"/>
    <x v="0"/>
    <x v="30"/>
    <n v="5"/>
    <m/>
    <n v="147.9"/>
    <n v="26.100000000000005"/>
  </r>
  <r>
    <s v="SBG - Desktop"/>
    <x v="1"/>
    <s v="Technical task"/>
    <s v="DESK-2937"/>
    <s v="DESK-2123&gt; Test case design and execution"/>
    <s v="Technical task"/>
    <x v="0"/>
    <d v="2015-12-21T17:54:00"/>
    <x v="9"/>
    <x v="0"/>
    <x v="30"/>
    <n v="2"/>
    <m/>
    <n v="147.9"/>
    <n v="26.100000000000005"/>
  </r>
  <r>
    <s v="SBG - Desktop"/>
    <x v="1"/>
    <s v="Technical task"/>
    <s v="DESK-2938"/>
    <s v="DESK-2927&gt; Test case design and execution - automation"/>
    <s v="Technical task"/>
    <x v="0"/>
    <d v="2015-12-08T11:49:00"/>
    <x v="9"/>
    <x v="0"/>
    <x v="23"/>
    <n v="5"/>
    <m/>
    <n v="147.9"/>
    <n v="26.100000000000005"/>
  </r>
  <r>
    <s v="SBG - Desktop"/>
    <x v="1"/>
    <s v="Technical task"/>
    <s v="DESK-2939"/>
    <s v="DESK-2570&gt; Test case design and execution"/>
    <s v="Technical task"/>
    <x v="0"/>
    <d v="2015-12-03T18:34:00"/>
    <x v="9"/>
    <x v="0"/>
    <x v="23"/>
    <n v="4"/>
    <m/>
    <n v="147.9"/>
    <n v="26.100000000000005"/>
  </r>
  <r>
    <s v="SBG - Desktop"/>
    <x v="1"/>
    <s v="Technical task"/>
    <s v="DESK-2939"/>
    <s v="DESK-2570&gt; Test case design and execution"/>
    <s v="Technical task"/>
    <x v="0"/>
    <d v="2015-12-04T17:55:00"/>
    <x v="9"/>
    <x v="0"/>
    <x v="23"/>
    <n v="6"/>
    <m/>
    <n v="147.9"/>
    <n v="26.100000000000005"/>
  </r>
  <r>
    <s v="SBG - Desktop"/>
    <x v="1"/>
    <s v="Technical task"/>
    <s v="DESK-2939"/>
    <s v="DESK-2570&gt; Test case design and execution"/>
    <s v="Technical task"/>
    <x v="0"/>
    <d v="2015-12-08T11:48:00"/>
    <x v="9"/>
    <x v="0"/>
    <x v="26"/>
    <n v="0.1"/>
    <m/>
    <n v="147.9"/>
    <n v="26.100000000000005"/>
  </r>
  <r>
    <s v="SBG - Desktop"/>
    <x v="1"/>
    <s v="Sub-task"/>
    <s v="DESK-2940"/>
    <s v="DESK-2841&gt; Test case design and execution"/>
    <s v="Sub-task"/>
    <x v="0"/>
    <d v="2015-12-04T15:56:00"/>
    <x v="9"/>
    <x v="0"/>
    <x v="21"/>
    <n v="4"/>
    <m/>
    <n v="147.9"/>
    <n v="26.100000000000005"/>
  </r>
  <r>
    <s v="SBG - Desktop"/>
    <x v="1"/>
    <s v="Sub-task"/>
    <s v="DESK-2941"/>
    <s v="DESK-2926&gt; Test case design and execution"/>
    <s v="Sub-task"/>
    <x v="0"/>
    <d v="2015-12-02T15:45:00"/>
    <x v="9"/>
    <x v="0"/>
    <x v="1"/>
    <n v="2"/>
    <m/>
    <n v="147.9"/>
    <n v="26.100000000000005"/>
  </r>
  <r>
    <s v="SBG - Desktop"/>
    <x v="1"/>
    <s v="Sub-task"/>
    <s v="DESK-2941"/>
    <s v="DESK-2926&gt; Test case design and execution"/>
    <s v="Sub-task"/>
    <x v="0"/>
    <d v="2015-12-07T17:11:00"/>
    <x v="9"/>
    <x v="0"/>
    <x v="1"/>
    <n v="3"/>
    <m/>
    <n v="147.9"/>
    <n v="26.100000000000005"/>
  </r>
  <r>
    <s v="SBG - Desktop"/>
    <x v="1"/>
    <s v="Sub-task"/>
    <s v="DESK-2941"/>
    <s v="DESK-2926&gt; Test case design and execution"/>
    <s v="Sub-task"/>
    <x v="0"/>
    <d v="2015-12-08T12:52:00"/>
    <x v="9"/>
    <x v="0"/>
    <x v="26"/>
    <n v="0.1"/>
    <m/>
    <n v="147.9"/>
    <n v="26.100000000000005"/>
  </r>
  <r>
    <s v="SBG - Desktop"/>
    <x v="1"/>
    <s v="Sub-task"/>
    <s v="DESK-2941"/>
    <s v="DESK-2926&gt; Test case design and execution"/>
    <s v="Sub-task"/>
    <x v="0"/>
    <d v="2015-12-08T17:38:00"/>
    <x v="9"/>
    <x v="0"/>
    <x v="1"/>
    <n v="2"/>
    <m/>
    <n v="147.9"/>
    <n v="26.100000000000005"/>
  </r>
  <r>
    <s v="SBG - Desktop"/>
    <x v="1"/>
    <s v="Sub-task"/>
    <s v="DESK-2942"/>
    <s v="DESK-2896&gt; Test case design and execution"/>
    <s v="Sub-task"/>
    <x v="0"/>
    <d v="2015-12-04T18:50:00"/>
    <x v="9"/>
    <x v="0"/>
    <x v="26"/>
    <n v="1"/>
    <m/>
    <n v="147.9"/>
    <n v="26.100000000000005"/>
  </r>
  <r>
    <s v="SBG - Desktop"/>
    <x v="1"/>
    <s v="Sub-task"/>
    <s v="DESK-2942"/>
    <s v="DESK-2896&gt; Test case design and execution"/>
    <s v="Sub-task"/>
    <x v="0"/>
    <d v="2015-12-07T09:24:00"/>
    <x v="9"/>
    <x v="0"/>
    <x v="26"/>
    <n v="1"/>
    <m/>
    <n v="147.9"/>
    <n v="26.100000000000005"/>
  </r>
  <r>
    <s v="SBG - Desktop"/>
    <x v="1"/>
    <s v="Technical task"/>
    <s v="DESK-2943"/>
    <s v="DESK-2899&gt; Test case design and execution"/>
    <s v="Technical task"/>
    <x v="0"/>
    <d v="2015-12-03T09:35:00"/>
    <x v="9"/>
    <x v="0"/>
    <x v="26"/>
    <n v="2"/>
    <m/>
    <n v="147.9"/>
    <n v="26.100000000000005"/>
  </r>
  <r>
    <s v="SBG - Desktop"/>
    <x v="1"/>
    <s v="Technical task"/>
    <s v="DESK-2943"/>
    <s v="DESK-2899&gt; Test case design and execution"/>
    <s v="Technical task"/>
    <x v="0"/>
    <d v="2015-12-04T12:55:00"/>
    <x v="9"/>
    <x v="0"/>
    <x v="26"/>
    <n v="1"/>
    <m/>
    <n v="147.9"/>
    <n v="26.100000000000005"/>
  </r>
  <r>
    <s v="SBG - Desktop"/>
    <x v="1"/>
    <s v="Technical task"/>
    <s v="DESK-2943"/>
    <s v="DESK-2899&gt; Test case design and execution"/>
    <s v="Technical task"/>
    <x v="0"/>
    <d v="2015-12-04T12:55:00"/>
    <x v="9"/>
    <x v="0"/>
    <x v="26"/>
    <n v="2"/>
    <m/>
    <n v="147.9"/>
    <n v="26.100000000000005"/>
  </r>
  <r>
    <s v="SBG - Desktop"/>
    <x v="1"/>
    <s v="Technical task"/>
    <s v="DESK-2943"/>
    <s v="DESK-2899&gt; Test case design and execution"/>
    <s v="Technical task"/>
    <x v="0"/>
    <d v="2015-12-04T16:56:00"/>
    <x v="9"/>
    <x v="0"/>
    <x v="26"/>
    <n v="1"/>
    <m/>
    <n v="147.9"/>
    <n v="26.100000000000005"/>
  </r>
  <r>
    <s v="SBG - Desktop"/>
    <x v="1"/>
    <s v="Technical task"/>
    <s v="DESK-2944"/>
    <s v="DESK-2893&gt; Test case design and execution"/>
    <s v="Technical task"/>
    <x v="0"/>
    <d v="2015-12-04T13:52:00"/>
    <x v="9"/>
    <x v="0"/>
    <x v="26"/>
    <n v="1"/>
    <m/>
    <n v="147.9"/>
    <n v="26.100000000000005"/>
  </r>
  <r>
    <s v="SBG - Desktop"/>
    <x v="1"/>
    <s v="Technical task"/>
    <s v="DESK-2944"/>
    <s v="DESK-2893&gt; Test case design and execution"/>
    <s v="Technical task"/>
    <x v="0"/>
    <d v="2015-12-04T16:37:00"/>
    <x v="9"/>
    <x v="0"/>
    <x v="26"/>
    <n v="1"/>
    <m/>
    <n v="147.9"/>
    <n v="26.100000000000005"/>
  </r>
  <r>
    <s v="SBG - Desktop"/>
    <x v="1"/>
    <s v="New Feature"/>
    <s v="DESK-2946"/>
    <s v="ROLL BACK FREE LENS OFFER ON RX PAGE!"/>
    <s v="New Feature"/>
    <x v="0"/>
    <d v="2015-12-03T12:39:00"/>
    <x v="9"/>
    <x v="0"/>
    <x v="26"/>
    <n v="1"/>
    <m/>
    <n v="147.9"/>
    <n v="26.100000000000005"/>
  </r>
  <r>
    <s v="SBG - Desktop"/>
    <x v="0"/>
    <s v="New Feature"/>
    <s v="DESK-2948"/>
    <s v="OMNI v2 (quick wins)"/>
    <s v="New Feature"/>
    <x v="0"/>
    <d v="2015-12-11T11:47:00"/>
    <x v="9"/>
    <x v="0"/>
    <x v="7"/>
    <n v="1"/>
    <m/>
    <n v="87"/>
    <n v="87"/>
  </r>
  <r>
    <s v="SBG - Desktop"/>
    <x v="0"/>
    <s v="Sub-task"/>
    <s v="DESK-2949"/>
    <s v="DESK-2948&gt; Home Page OMNI Icon/wording update"/>
    <s v="Sub-task"/>
    <x v="0"/>
    <d v="2015-12-09T10:38:00"/>
    <x v="9"/>
    <x v="0"/>
    <x v="7"/>
    <n v="2.5"/>
    <m/>
    <n v="87"/>
    <n v="87"/>
  </r>
  <r>
    <s v="SBG - Desktop"/>
    <x v="0"/>
    <s v="Sub-task"/>
    <s v="DESK-2949"/>
    <s v="DESK-2948&gt; Home Page OMNI Icon/wording update"/>
    <s v="Sub-task"/>
    <x v="0"/>
    <d v="2015-12-09T16:39:00"/>
    <x v="9"/>
    <x v="0"/>
    <x v="7"/>
    <n v="1.5"/>
    <m/>
    <n v="87"/>
    <n v="87"/>
  </r>
  <r>
    <s v="SBG - Desktop"/>
    <x v="1"/>
    <s v="Sub-task"/>
    <s v="DESK-2949"/>
    <s v="DESK-2948&gt; Home Page OMNI Icon/wording update"/>
    <s v="Sub-task"/>
    <x v="0"/>
    <d v="2015-12-10T18:40:00"/>
    <x v="9"/>
    <x v="0"/>
    <x v="26"/>
    <n v="1"/>
    <m/>
    <n v="147.9"/>
    <n v="26.100000000000005"/>
  </r>
  <r>
    <s v="SBG - Desktop"/>
    <x v="1"/>
    <s v="Technical task"/>
    <s v="DESK-2950"/>
    <s v="DESK-2948&gt; OMNI T&amp;C's"/>
    <s v="Technical task"/>
    <x v="0"/>
    <d v="2015-12-11T11:58:00"/>
    <x v="9"/>
    <x v="0"/>
    <x v="26"/>
    <n v="1"/>
    <m/>
    <n v="147.9"/>
    <n v="26.100000000000005"/>
  </r>
  <r>
    <s v="SBG - Desktop"/>
    <x v="0"/>
    <s v="Technical task"/>
    <s v="DESK-2951"/>
    <s v="DESK-2570&gt; Style error"/>
    <s v="Technical task"/>
    <x v="0"/>
    <d v="2015-12-03T16:37:00"/>
    <x v="9"/>
    <x v="0"/>
    <x v="19"/>
    <n v="2"/>
    <m/>
    <n v="87"/>
    <n v="87"/>
  </r>
  <r>
    <s v="SBG - Desktop"/>
    <x v="0"/>
    <s v="Technical task"/>
    <s v="DESK-2951"/>
    <s v="DESK-2570&gt; Style error"/>
    <s v="Technical task"/>
    <x v="0"/>
    <d v="2015-12-04T15:29:00"/>
    <x v="9"/>
    <x v="0"/>
    <x v="19"/>
    <n v="2"/>
    <m/>
    <n v="87"/>
    <n v="87"/>
  </r>
  <r>
    <s v="SBG - Desktop"/>
    <x v="0"/>
    <s v="Technical task"/>
    <s v="DESK-2951"/>
    <s v="DESK-2570&gt; Style error"/>
    <s v="Technical task"/>
    <x v="0"/>
    <d v="2015-12-04T16:54:00"/>
    <x v="9"/>
    <x v="0"/>
    <x v="19"/>
    <n v="3"/>
    <m/>
    <n v="87"/>
    <n v="87"/>
  </r>
  <r>
    <s v="SBG - Desktop"/>
    <x v="0"/>
    <s v="Technical task"/>
    <s v="DESK-2951"/>
    <s v="DESK-2570&gt; Style error"/>
    <s v="Technical task"/>
    <x v="0"/>
    <d v="2015-12-07T11:53:00"/>
    <x v="9"/>
    <x v="0"/>
    <x v="19"/>
    <n v="1"/>
    <m/>
    <n v="87"/>
    <n v="87"/>
  </r>
  <r>
    <s v="SBG - Desktop"/>
    <x v="1"/>
    <s v="New Feature"/>
    <s v="DESK-2957"/>
    <s v="Small English Domains Xmas"/>
    <s v="New Feature"/>
    <x v="0"/>
    <d v="2015-12-02T15:09:00"/>
    <x v="9"/>
    <x v="0"/>
    <x v="30"/>
    <n v="4"/>
    <m/>
    <n v="147.9"/>
    <n v="26.100000000000005"/>
  </r>
  <r>
    <s v="SBG - Desktop"/>
    <x v="1"/>
    <s v="New Feature"/>
    <s v="DESK-2957"/>
    <s v="Small English Domains Xmas"/>
    <s v="New Feature"/>
    <x v="0"/>
    <d v="2015-12-09T17:40:00"/>
    <x v="9"/>
    <x v="0"/>
    <x v="30"/>
    <n v="3"/>
    <m/>
    <n v="147.9"/>
    <n v="26.100000000000005"/>
  </r>
  <r>
    <s v="SBG - Desktop"/>
    <x v="1"/>
    <s v="New Feature"/>
    <s v="DESK-2957"/>
    <s v="Small English Domains Xmas"/>
    <s v="New Feature"/>
    <x v="0"/>
    <d v="2015-12-15T17:49:00"/>
    <x v="9"/>
    <x v="0"/>
    <x v="30"/>
    <n v="4"/>
    <m/>
    <n v="147.9"/>
    <n v="26.100000000000005"/>
  </r>
  <r>
    <s v="SBG - Desktop"/>
    <x v="1"/>
    <s v="New Feature"/>
    <s v="DESK-2957"/>
    <s v="Small English Domains Xmas"/>
    <s v="New Feature"/>
    <x v="0"/>
    <d v="2015-12-17T18:34:00"/>
    <x v="9"/>
    <x v="0"/>
    <x v="30"/>
    <n v="1"/>
    <m/>
    <n v="147.9"/>
    <n v="26.100000000000005"/>
  </r>
  <r>
    <s v="SBG - Desktop"/>
    <x v="1"/>
    <s v="New Feature"/>
    <s v="DESK-2957"/>
    <s v="Small English Domains Xmas"/>
    <s v="New Feature"/>
    <x v="0"/>
    <d v="2015-12-18T10:16:00"/>
    <x v="9"/>
    <x v="0"/>
    <x v="30"/>
    <n v="1"/>
    <m/>
    <n v="147.9"/>
    <n v="26.100000000000005"/>
  </r>
  <r>
    <s v="SBG - Desktop"/>
    <x v="1"/>
    <s v="New Feature"/>
    <s v="DESK-2957"/>
    <s v="Small English Domains Xmas"/>
    <s v="New Feature"/>
    <x v="0"/>
    <d v="2015-12-18T12:22:00"/>
    <x v="9"/>
    <x v="0"/>
    <x v="30"/>
    <n v="1"/>
    <m/>
    <n v="147.9"/>
    <n v="26.100000000000005"/>
  </r>
  <r>
    <s v="SBG - Desktop"/>
    <x v="1"/>
    <s v="New Feature"/>
    <s v="DESK-2957"/>
    <s v="Small English Domains Xmas"/>
    <s v="New Feature"/>
    <x v="0"/>
    <d v="2015-12-25T18:00:00"/>
    <x v="9"/>
    <x v="0"/>
    <x v="30"/>
    <n v="4"/>
    <m/>
    <n v="147.9"/>
    <n v="26.100000000000005"/>
  </r>
  <r>
    <s v="SBG - Desktop"/>
    <x v="0"/>
    <s v="New Feature"/>
    <s v="DESK-2961"/>
    <s v="Algolia search styles for Brand list page filter panel"/>
    <s v="New Feature"/>
    <x v="0"/>
    <d v="2015-12-10T10:23:00"/>
    <x v="9"/>
    <x v="0"/>
    <x v="19"/>
    <n v="4"/>
    <m/>
    <n v="87"/>
    <n v="87"/>
  </r>
  <r>
    <s v="SBG - Desktop"/>
    <x v="0"/>
    <s v="New Feature"/>
    <s v="DESK-2961"/>
    <s v="Algolia search styles for Brand list page filter panel"/>
    <s v="New Feature"/>
    <x v="0"/>
    <d v="2015-12-11T16:06:00"/>
    <x v="9"/>
    <x v="0"/>
    <x v="19"/>
    <n v="2"/>
    <m/>
    <n v="87"/>
    <n v="87"/>
  </r>
  <r>
    <s v="SBG - Desktop"/>
    <x v="2"/>
    <s v="Improvement"/>
    <s v="DESK-2962"/>
    <s v="Order Transfer Improvement"/>
    <s v="Improvement"/>
    <x v="0"/>
    <d v="2015-12-21T14:19:00"/>
    <x v="9"/>
    <x v="0"/>
    <x v="2"/>
    <n v="2"/>
    <m/>
    <n v="147.9"/>
    <n v="26.100000000000005"/>
  </r>
  <r>
    <s v="SBG - Desktop"/>
    <x v="2"/>
    <s v="Improvement"/>
    <s v="DESK-2962"/>
    <s v="Order Transfer Improvement"/>
    <s v="Improvement"/>
    <x v="0"/>
    <d v="2015-12-22T14:19:00"/>
    <x v="9"/>
    <x v="0"/>
    <x v="2"/>
    <n v="5"/>
    <m/>
    <n v="147.9"/>
    <n v="26.100000000000005"/>
  </r>
  <r>
    <s v="SBG - Desktop"/>
    <x v="2"/>
    <s v="Improvement"/>
    <s v="DESK-2962"/>
    <s v="Order Transfer Improvement"/>
    <s v="Improvement"/>
    <x v="0"/>
    <d v="2015-12-29T18:45:00"/>
    <x v="9"/>
    <x v="0"/>
    <x v="2"/>
    <n v="7"/>
    <m/>
    <n v="147.9"/>
    <n v="26.100000000000005"/>
  </r>
  <r>
    <s v="SBG - Desktop"/>
    <x v="2"/>
    <s v="Improvement"/>
    <s v="DESK-2962"/>
    <s v="Order Transfer Improvement"/>
    <s v="Improvement"/>
    <x v="0"/>
    <d v="2015-12-30T09:44:00"/>
    <x v="9"/>
    <x v="0"/>
    <x v="2"/>
    <n v="7"/>
    <m/>
    <n v="147.9"/>
    <n v="26.100000000000005"/>
  </r>
  <r>
    <s v="SBG - Desktop"/>
    <x v="2"/>
    <s v="Improvement"/>
    <s v="DESK-2962"/>
    <s v="Order Transfer Improvement"/>
    <s v="Improvement"/>
    <x v="0"/>
    <d v="2015-12-31T14:00:00"/>
    <x v="9"/>
    <x v="0"/>
    <x v="2"/>
    <n v="4"/>
    <m/>
    <n v="147.9"/>
    <n v="26.100000000000005"/>
  </r>
  <r>
    <s v="SBG - Desktop"/>
    <x v="2"/>
    <s v="Improvement"/>
    <s v="DESK-2962"/>
    <s v="Order Transfer Improvement"/>
    <s v="Improvement"/>
    <x v="0"/>
    <d v="2016-01-04T18:44:00"/>
    <x v="10"/>
    <x v="1"/>
    <x v="2"/>
    <n v="7"/>
    <m/>
    <n v="141.1"/>
    <n v="24.900000000000002"/>
  </r>
  <r>
    <s v="SBG - Desktop"/>
    <x v="2"/>
    <s v="Improvement"/>
    <s v="DESK-2962"/>
    <s v="Order Transfer Improvement"/>
    <s v="Improvement"/>
    <x v="0"/>
    <d v="2016-01-05T09:43:00"/>
    <x v="10"/>
    <x v="1"/>
    <x v="2"/>
    <n v="4"/>
    <m/>
    <n v="141.1"/>
    <n v="24.900000000000002"/>
  </r>
  <r>
    <s v="SBG - Desktop"/>
    <x v="2"/>
    <s v="Improvement"/>
    <s v="DESK-2962"/>
    <s v="Order Transfer Improvement"/>
    <s v="Improvement"/>
    <x v="0"/>
    <d v="2016-01-06T17:35:00"/>
    <x v="10"/>
    <x v="1"/>
    <x v="2"/>
    <n v="3"/>
    <m/>
    <n v="141.1"/>
    <n v="24.900000000000002"/>
  </r>
  <r>
    <s v="SBG - Desktop"/>
    <x v="0"/>
    <s v="Bug"/>
    <s v="DESK-2963"/>
    <s v="trustpliot font not Inconsistent on thankyou page on mobile site"/>
    <s v="Bug"/>
    <x v="1"/>
    <d v="2015-12-25T09:19:00"/>
    <x v="9"/>
    <x v="0"/>
    <x v="19"/>
    <n v="8"/>
    <m/>
    <n v="87"/>
    <n v="87"/>
  </r>
  <r>
    <s v="SBG - Desktop"/>
    <x v="0"/>
    <s v="Bug"/>
    <s v="DESK-2963"/>
    <s v="trustpliot font not Inconsistent on thankyou page on mobile site"/>
    <s v="Bug"/>
    <x v="1"/>
    <d v="2015-12-28T14:38:00"/>
    <x v="9"/>
    <x v="0"/>
    <x v="19"/>
    <n v="1"/>
    <m/>
    <n v="87"/>
    <n v="87"/>
  </r>
  <r>
    <s v="SBG - Desktop"/>
    <x v="0"/>
    <s v="Bug"/>
    <s v="DESK-2963"/>
    <s v="trustpliot font not Inconsistent on thankyou page on mobile site"/>
    <s v="Bug"/>
    <x v="1"/>
    <d v="2016-01-04T09:23:00"/>
    <x v="10"/>
    <x v="1"/>
    <x v="19"/>
    <n v="8"/>
    <m/>
    <n v="83"/>
    <n v="83"/>
  </r>
  <r>
    <s v="SBG - Desktop"/>
    <x v="0"/>
    <s v="Bug"/>
    <s v="DESK-2963"/>
    <s v="trustpliot font not Inconsistent on thankyou page on mobile site"/>
    <s v="Bug"/>
    <x v="1"/>
    <d v="2016-01-11T09:40:00"/>
    <x v="10"/>
    <x v="1"/>
    <x v="19"/>
    <n v="8"/>
    <m/>
    <n v="83"/>
    <n v="83"/>
  </r>
  <r>
    <s v="SBG - Desktop"/>
    <x v="1"/>
    <s v="Bug"/>
    <s v="DESK-2963"/>
    <s v="trustpliot font not Inconsistent on thankyou page on mobile site"/>
    <s v="Bug"/>
    <x v="1"/>
    <d v="2016-01-11T14:37:00"/>
    <x v="10"/>
    <x v="1"/>
    <x v="21"/>
    <n v="3"/>
    <m/>
    <n v="141.1"/>
    <n v="24.900000000000002"/>
  </r>
  <r>
    <s v="SBG - Desktop"/>
    <x v="1"/>
    <s v="Bug"/>
    <s v="DESK-2963"/>
    <s v="trustpliot font not Inconsistent on thankyou page on mobile site"/>
    <s v="Bug"/>
    <x v="1"/>
    <d v="2016-01-11T18:22:00"/>
    <x v="10"/>
    <x v="1"/>
    <x v="21"/>
    <n v="2"/>
    <m/>
    <n v="141.1"/>
    <n v="24.900000000000002"/>
  </r>
  <r>
    <s v="SBG - Desktop"/>
    <x v="1"/>
    <s v="Bug"/>
    <s v="DESK-2963"/>
    <s v="trustpliot font not Inconsistent on thankyou page on mobile site"/>
    <s v="Bug"/>
    <x v="1"/>
    <d v="2016-01-12T18:10:00"/>
    <x v="10"/>
    <x v="1"/>
    <x v="21"/>
    <n v="2"/>
    <m/>
    <n v="141.1"/>
    <n v="24.900000000000002"/>
  </r>
  <r>
    <s v="SBG - Desktop"/>
    <x v="0"/>
    <s v="Bug"/>
    <s v="DESK-2963"/>
    <s v="trustpliot font not Inconsistent on thankyou page on mobile site"/>
    <s v="Bug"/>
    <x v="1"/>
    <d v="2016-01-13T09:21:00"/>
    <x v="10"/>
    <x v="1"/>
    <x v="19"/>
    <n v="8"/>
    <m/>
    <n v="83"/>
    <n v="83"/>
  </r>
  <r>
    <s v="SBG - Desktop"/>
    <x v="0"/>
    <s v="Bug"/>
    <s v="DESK-2963"/>
    <s v="trustpliot font not Inconsistent on thankyou page on mobile site"/>
    <s v="Bug"/>
    <x v="1"/>
    <d v="2016-01-14T09:22:00"/>
    <x v="10"/>
    <x v="1"/>
    <x v="19"/>
    <n v="8"/>
    <m/>
    <n v="83"/>
    <n v="83"/>
  </r>
  <r>
    <s v="SBG - Desktop"/>
    <x v="0"/>
    <s v="Bug"/>
    <s v="DESK-2963"/>
    <s v="trustpliot font not Inconsistent on thankyou page on mobile site"/>
    <s v="Bug"/>
    <x v="1"/>
    <d v="2016-01-20T09:22:00"/>
    <x v="10"/>
    <x v="1"/>
    <x v="19"/>
    <n v="8"/>
    <m/>
    <n v="83"/>
    <n v="83"/>
  </r>
  <r>
    <s v="SBG - Desktop"/>
    <x v="2"/>
    <s v="New Feature"/>
    <s v="DESK-2964"/>
    <s v="A/B Testing on iPad on USA domain"/>
    <s v="New Feature"/>
    <x v="0"/>
    <d v="2015-12-11T11:30:00"/>
    <x v="9"/>
    <x v="0"/>
    <x v="2"/>
    <n v="2"/>
    <m/>
    <n v="147.9"/>
    <n v="26.100000000000005"/>
  </r>
  <r>
    <s v="SBG - Desktop"/>
    <x v="1"/>
    <s v="New Feature"/>
    <s v="DESK-2964"/>
    <s v="A/B Testing on iPad on USA domain"/>
    <s v="New Feature"/>
    <x v="0"/>
    <d v="2015-12-14T10:39:00"/>
    <x v="9"/>
    <x v="0"/>
    <x v="26"/>
    <n v="0.5"/>
    <m/>
    <n v="147.9"/>
    <n v="26.100000000000005"/>
  </r>
  <r>
    <s v="SBG - Desktop"/>
    <x v="2"/>
    <s v="New Feature"/>
    <s v="DESK-2965"/>
    <s v="general page redeisgn"/>
    <s v="New Feature"/>
    <x v="0"/>
    <d v="2015-12-14T16:06:00"/>
    <x v="9"/>
    <x v="0"/>
    <x v="11"/>
    <n v="123"/>
    <s v="fix log"/>
    <n v="147.9"/>
    <n v="26.100000000000005"/>
  </r>
  <r>
    <s v="SBG - Desktop"/>
    <x v="2"/>
    <s v="New Feature"/>
    <s v="DESK-2965"/>
    <s v="general page redeisgn"/>
    <s v="New Feature"/>
    <x v="0"/>
    <d v="2016-01-14T16:09:00"/>
    <x v="10"/>
    <x v="1"/>
    <x v="11"/>
    <n v="135"/>
    <m/>
    <n v="141.1"/>
    <n v="24.900000000000002"/>
  </r>
  <r>
    <s v="SBG - Desktop"/>
    <x v="2"/>
    <s v="New Feature"/>
    <s v="DESK-2966"/>
    <s v="Allow google html is accessible at root folder of mobile site."/>
    <s v="New Feature"/>
    <x v="0"/>
    <d v="2015-12-10T17:22:00"/>
    <x v="9"/>
    <x v="0"/>
    <x v="2"/>
    <n v="2"/>
    <m/>
    <n v="147.9"/>
    <n v="26.100000000000005"/>
  </r>
  <r>
    <s v="SBG - Desktop"/>
    <x v="1"/>
    <s v="New Feature"/>
    <s v="DESK-2966"/>
    <s v="Allow google html is accessible at root folder of mobile site."/>
    <s v="New Feature"/>
    <x v="0"/>
    <d v="2015-12-18T18:55:00"/>
    <x v="9"/>
    <x v="0"/>
    <x v="26"/>
    <n v="1"/>
    <m/>
    <n v="147.9"/>
    <n v="26.100000000000005"/>
  </r>
  <r>
    <s v="SBG - Desktop"/>
    <x v="1"/>
    <s v="New Feature"/>
    <s v="DESK-2966"/>
    <s v="Allow google html is accessible at root folder of mobile site."/>
    <s v="New Feature"/>
    <x v="0"/>
    <d v="2015-12-21T11:44:00"/>
    <x v="9"/>
    <x v="0"/>
    <x v="26"/>
    <n v="1"/>
    <m/>
    <n v="147.9"/>
    <n v="26.100000000000005"/>
  </r>
  <r>
    <s v="SBG - Desktop"/>
    <x v="0"/>
    <s v="Improvement"/>
    <s v="DESK-2971"/>
    <s v="CSS style &amp; UX fixes"/>
    <s v="Improvement"/>
    <x v="0"/>
    <d v="2015-12-16T18:03:00"/>
    <x v="9"/>
    <x v="0"/>
    <x v="24"/>
    <n v="16"/>
    <m/>
    <n v="87"/>
    <n v="87"/>
  </r>
  <r>
    <s v="SBG - Desktop"/>
    <x v="1"/>
    <s v="Improvement"/>
    <s v="DESK-2971"/>
    <s v="CSS style &amp; UX fixes"/>
    <s v="Improvement"/>
    <x v="0"/>
    <d v="2015-12-18T16:19:00"/>
    <x v="9"/>
    <x v="0"/>
    <x v="26"/>
    <n v="1"/>
    <m/>
    <n v="147.9"/>
    <n v="26.100000000000005"/>
  </r>
  <r>
    <s v="SBG - Desktop"/>
    <x v="1"/>
    <s v="Improvement"/>
    <s v="DESK-2971"/>
    <s v="CSS style &amp; UX fixes"/>
    <s v="Improvement"/>
    <x v="0"/>
    <d v="2016-01-05T13:54:00"/>
    <x v="10"/>
    <x v="1"/>
    <x v="23"/>
    <n v="2"/>
    <m/>
    <n v="141.1"/>
    <n v="24.900000000000002"/>
  </r>
  <r>
    <s v="SBG - Desktop"/>
    <x v="0"/>
    <s v="Improvement"/>
    <s v="DESK-2971"/>
    <s v="CSS style &amp; UX fixes"/>
    <s v="Improvement"/>
    <x v="0"/>
    <d v="2016-01-07T09:47:00"/>
    <x v="10"/>
    <x v="1"/>
    <x v="24"/>
    <n v="1"/>
    <m/>
    <n v="83"/>
    <n v="83"/>
  </r>
  <r>
    <s v="SBG - Desktop"/>
    <x v="1"/>
    <s v="Improvement"/>
    <s v="DESK-2971"/>
    <s v="CSS style &amp; UX fixes"/>
    <s v="Improvement"/>
    <x v="0"/>
    <d v="2016-01-07T18:14:00"/>
    <x v="10"/>
    <x v="1"/>
    <x v="23"/>
    <n v="2"/>
    <m/>
    <n v="141.1"/>
    <n v="24.900000000000002"/>
  </r>
  <r>
    <s v="SBG - Desktop"/>
    <x v="0"/>
    <s v="Improvement"/>
    <s v="DESK-2971"/>
    <s v="CSS style &amp; UX fixes"/>
    <s v="Improvement"/>
    <x v="0"/>
    <d v="2016-01-12T13:52:00"/>
    <x v="10"/>
    <x v="1"/>
    <x v="24"/>
    <n v="2"/>
    <m/>
    <n v="83"/>
    <n v="83"/>
  </r>
  <r>
    <s v="SBG - Desktop"/>
    <x v="1"/>
    <s v="Improvement"/>
    <s v="DESK-2971"/>
    <s v="CSS style &amp; UX fixes"/>
    <s v="Improvement"/>
    <x v="0"/>
    <d v="2016-01-18T18:39:00"/>
    <x v="10"/>
    <x v="1"/>
    <x v="23"/>
    <n v="1"/>
    <m/>
    <n v="141.1"/>
    <n v="24.900000000000002"/>
  </r>
  <r>
    <s v="SBG - Desktop"/>
    <x v="0"/>
    <s v="Improvement"/>
    <s v="DESK-2971"/>
    <s v="CSS style &amp; UX fixes"/>
    <s v="Improvement"/>
    <x v="0"/>
    <d v="2016-01-19T09:38:00"/>
    <x v="10"/>
    <x v="1"/>
    <x v="24"/>
    <n v="1"/>
    <m/>
    <n v="83"/>
    <n v="83"/>
  </r>
  <r>
    <s v="SBG - Desktop"/>
    <x v="1"/>
    <s v="Improvement"/>
    <s v="DESK-2971"/>
    <s v="CSS style &amp; UX fixes"/>
    <s v="Improvement"/>
    <x v="0"/>
    <d v="2016-01-20T13:56:00"/>
    <x v="10"/>
    <x v="1"/>
    <x v="23"/>
    <n v="2"/>
    <m/>
    <n v="141.1"/>
    <n v="24.900000000000002"/>
  </r>
  <r>
    <s v="SBG - Desktop"/>
    <x v="1"/>
    <s v="Improvement"/>
    <s v="DESK-2971"/>
    <s v="CSS style &amp; UX fixes"/>
    <s v="Improvement"/>
    <x v="0"/>
    <d v="2016-01-26T11:57:00"/>
    <x v="10"/>
    <x v="1"/>
    <x v="23"/>
    <n v="4"/>
    <m/>
    <n v="141.1"/>
    <n v="24.900000000000002"/>
  </r>
  <r>
    <s v="SBG - Desktop"/>
    <x v="1"/>
    <s v="Task"/>
    <s v="DESK-2974"/>
    <s v="Product Page Buy Button Roll-out (PART 1)"/>
    <s v="Task"/>
    <x v="0"/>
    <d v="2015-12-30T18:04:00"/>
    <x v="9"/>
    <x v="0"/>
    <x v="30"/>
    <n v="1"/>
    <m/>
    <n v="147.9"/>
    <n v="26.100000000000005"/>
  </r>
  <r>
    <s v="SBG - Desktop"/>
    <x v="1"/>
    <s v="Task"/>
    <s v="DESK-2974"/>
    <s v="Product Page Buy Button Roll-out (PART 1)"/>
    <s v="Task"/>
    <x v="0"/>
    <d v="2016-01-05T18:08:00"/>
    <x v="10"/>
    <x v="1"/>
    <x v="30"/>
    <n v="4"/>
    <m/>
    <n v="141.1"/>
    <n v="24.900000000000002"/>
  </r>
  <r>
    <s v="SBG - Desktop"/>
    <x v="2"/>
    <s v="Task"/>
    <s v="DESK-2974"/>
    <s v="Product Page Buy Button Roll-out (PART 1)"/>
    <s v="Task"/>
    <x v="0"/>
    <d v="2016-01-13T16:04:00"/>
    <x v="10"/>
    <x v="1"/>
    <x v="10"/>
    <n v="2"/>
    <m/>
    <n v="141.1"/>
    <n v="24.900000000000002"/>
  </r>
  <r>
    <s v="SBG - Desktop"/>
    <x v="2"/>
    <s v="Task"/>
    <s v="DESK-2974"/>
    <s v="Product Page Buy Button Roll-out (PART 1)"/>
    <s v="Task"/>
    <x v="0"/>
    <d v="2016-01-14T16:03:00"/>
    <x v="10"/>
    <x v="1"/>
    <x v="10"/>
    <n v="4"/>
    <m/>
    <n v="141.1"/>
    <n v="24.900000000000002"/>
  </r>
  <r>
    <s v="SBG - Desktop"/>
    <x v="1"/>
    <s v="Task"/>
    <s v="DESK-2974"/>
    <s v="Product Page Buy Button Roll-out (PART 1)"/>
    <s v="Task"/>
    <x v="0"/>
    <d v="2016-01-15T17:08:00"/>
    <x v="10"/>
    <x v="1"/>
    <x v="30"/>
    <n v="1"/>
    <m/>
    <n v="141.1"/>
    <n v="24.900000000000002"/>
  </r>
  <r>
    <s v="SBG - Desktop"/>
    <x v="0"/>
    <s v="Sub-task"/>
    <s v="DESK-2977"/>
    <s v="DESK-2832&gt; css layout broken on mobile"/>
    <s v="Sub-task"/>
    <x v="0"/>
    <d v="2015-12-17T15:22:00"/>
    <x v="9"/>
    <x v="0"/>
    <x v="19"/>
    <n v="3"/>
    <m/>
    <n v="87"/>
    <n v="87"/>
  </r>
  <r>
    <s v="SBG - Desktop"/>
    <x v="0"/>
    <s v="Sub-task"/>
    <s v="DESK-2977"/>
    <s v="DESK-2832&gt; css layout broken on mobile"/>
    <s v="Sub-task"/>
    <x v="0"/>
    <d v="2015-12-18T17:00:00"/>
    <x v="9"/>
    <x v="0"/>
    <x v="19"/>
    <n v="1"/>
    <m/>
    <n v="87"/>
    <n v="87"/>
  </r>
  <r>
    <s v="SBG - Desktop"/>
    <x v="1"/>
    <s v="Sub-task"/>
    <s v="DESK-2977"/>
    <s v="DESK-2832&gt; css layout broken on mobile"/>
    <s v="Sub-task"/>
    <x v="0"/>
    <d v="2015-12-18T18:50:00"/>
    <x v="9"/>
    <x v="0"/>
    <x v="21"/>
    <n v="2"/>
    <m/>
    <n v="147.9"/>
    <n v="26.100000000000005"/>
  </r>
  <r>
    <s v="SBG - Desktop"/>
    <x v="0"/>
    <s v="Sub-task"/>
    <s v="DESK-2977"/>
    <s v="DESK-2832&gt; css layout broken on mobile"/>
    <s v="Sub-task"/>
    <x v="0"/>
    <d v="2015-12-21T14:18:00"/>
    <x v="9"/>
    <x v="0"/>
    <x v="19"/>
    <n v="3"/>
    <m/>
    <n v="87"/>
    <n v="87"/>
  </r>
  <r>
    <s v="SBG - Desktop"/>
    <x v="2"/>
    <s v="New Feature"/>
    <s v="DESK-2979"/>
    <s v="Winter Clearance Sale Top Bar Campaign - Global Launch"/>
    <s v="New Feature"/>
    <x v="0"/>
    <d v="2015-12-18T11:45:00"/>
    <x v="9"/>
    <x v="0"/>
    <x v="14"/>
    <n v="5"/>
    <m/>
    <n v="147.9"/>
    <n v="26.100000000000005"/>
  </r>
  <r>
    <s v="SBG - Desktop"/>
    <x v="2"/>
    <s v="New Feature"/>
    <s v="DESK-2979"/>
    <s v="Winter Clearance Sale Top Bar Campaign - Global Launch"/>
    <s v="New Feature"/>
    <x v="0"/>
    <d v="2015-12-18T11:45:00"/>
    <x v="9"/>
    <x v="0"/>
    <x v="14"/>
    <n v="1"/>
    <m/>
    <n v="147.9"/>
    <n v="26.100000000000005"/>
  </r>
  <r>
    <s v="SBG - Desktop"/>
    <x v="0"/>
    <s v="New Feature"/>
    <s v="DESK-2979"/>
    <s v="Winter Clearance Sale Top Bar Campaign - Global Launch"/>
    <s v="New Feature"/>
    <x v="0"/>
    <d v="2015-12-18T17:59:00"/>
    <x v="9"/>
    <x v="0"/>
    <x v="7"/>
    <n v="1"/>
    <m/>
    <n v="87"/>
    <n v="87"/>
  </r>
  <r>
    <s v="SBG - Desktop"/>
    <x v="0"/>
    <s v="New Feature"/>
    <s v="DESK-2979"/>
    <s v="Winter Clearance Sale Top Bar Campaign - Global Launch"/>
    <s v="New Feature"/>
    <x v="0"/>
    <d v="2015-12-18T18:36:00"/>
    <x v="9"/>
    <x v="0"/>
    <x v="7"/>
    <n v="0.5"/>
    <m/>
    <n v="87"/>
    <n v="87"/>
  </r>
  <r>
    <s v="SBG - Desktop"/>
    <x v="0"/>
    <s v="New Feature"/>
    <s v="DESK-2979"/>
    <s v="Winter Clearance Sale Top Bar Campaign - Global Launch"/>
    <s v="New Feature"/>
    <x v="0"/>
    <d v="2015-12-21T14:10:00"/>
    <x v="9"/>
    <x v="0"/>
    <x v="7"/>
    <n v="1"/>
    <m/>
    <n v="87"/>
    <n v="87"/>
  </r>
  <r>
    <s v="SBG - Desktop"/>
    <x v="1"/>
    <s v="New Feature"/>
    <s v="DESK-2979"/>
    <s v="Winter Clearance Sale Top Bar Campaign - Global Launch"/>
    <s v="New Feature"/>
    <x v="0"/>
    <d v="2015-12-21T15:47:00"/>
    <x v="9"/>
    <x v="0"/>
    <x v="26"/>
    <n v="2"/>
    <m/>
    <n v="147.9"/>
    <n v="26.100000000000005"/>
  </r>
  <r>
    <s v="SBG - Desktop"/>
    <x v="0"/>
    <s v="New Feature"/>
    <s v="DESK-2979"/>
    <s v="Winter Clearance Sale Top Bar Campaign - Global Launch"/>
    <s v="New Feature"/>
    <x v="0"/>
    <d v="2015-12-21T16:15:00"/>
    <x v="9"/>
    <x v="0"/>
    <x v="7"/>
    <n v="0.5"/>
    <m/>
    <n v="87"/>
    <n v="87"/>
  </r>
  <r>
    <s v="SBG - Desktop"/>
    <x v="0"/>
    <s v="New Feature"/>
    <s v="DESK-2980"/>
    <s v="Replace link for Christmas HomPage Banner - Major English Domains"/>
    <s v="New Feature"/>
    <x v="0"/>
    <d v="2015-12-18T17:11:00"/>
    <x v="9"/>
    <x v="0"/>
    <x v="7"/>
    <n v="0.5"/>
    <m/>
    <n v="87"/>
    <n v="87"/>
  </r>
  <r>
    <s v="SBG - Desktop"/>
    <x v="1"/>
    <s v="New Feature"/>
    <s v="DESK-2980"/>
    <s v="Replace link for Christmas HomPage Banner - Major English Domains"/>
    <s v="New Feature"/>
    <x v="0"/>
    <d v="2015-12-21T09:30:00"/>
    <x v="9"/>
    <x v="0"/>
    <x v="26"/>
    <n v="0.5"/>
    <m/>
    <n v="147.9"/>
    <n v="26.100000000000005"/>
  </r>
  <r>
    <s v="SBG - Desktop"/>
    <x v="1"/>
    <s v="New Feature"/>
    <s v="DESK-2980"/>
    <s v="Replace link for Christmas HomPage Banner - Major English Domains"/>
    <s v="New Feature"/>
    <x v="0"/>
    <d v="2015-12-21T11:40:00"/>
    <x v="9"/>
    <x v="0"/>
    <x v="26"/>
    <n v="1"/>
    <m/>
    <n v="147.9"/>
    <n v="26.100000000000005"/>
  </r>
  <r>
    <s v="SBG - Desktop"/>
    <x v="2"/>
    <s v="New Feature"/>
    <s v="DESK-2981"/>
    <s v="Australia Day Promotion - AU Domain Only"/>
    <s v="New Feature"/>
    <x v="0"/>
    <d v="2016-01-18T15:55:00"/>
    <x v="10"/>
    <x v="1"/>
    <x v="10"/>
    <n v="4"/>
    <m/>
    <n v="141.1"/>
    <n v="24.900000000000002"/>
  </r>
  <r>
    <s v="SBG - Desktop"/>
    <x v="1"/>
    <s v="New Feature"/>
    <s v="DESK-2981"/>
    <s v="Australia Day Promotion - AU Domain Only"/>
    <s v="New Feature"/>
    <x v="0"/>
    <d v="2016-01-18T18:39:00"/>
    <x v="10"/>
    <x v="1"/>
    <x v="23"/>
    <n v="3"/>
    <m/>
    <n v="141.1"/>
    <n v="24.900000000000002"/>
  </r>
  <r>
    <s v="SBG - Desktop"/>
    <x v="2"/>
    <s v="New Feature"/>
    <s v="DESK-2981"/>
    <s v="Australia Day Promotion - AU Domain Only"/>
    <s v="New Feature"/>
    <x v="0"/>
    <d v="2016-01-19T15:56:00"/>
    <x v="10"/>
    <x v="1"/>
    <x v="10"/>
    <n v="4"/>
    <m/>
    <n v="141.1"/>
    <n v="24.900000000000002"/>
  </r>
  <r>
    <s v="SBG - Desktop"/>
    <x v="1"/>
    <s v="New Feature"/>
    <s v="DESK-2981"/>
    <s v="Australia Day Promotion - AU Domain Only"/>
    <s v="New Feature"/>
    <x v="0"/>
    <d v="2016-01-20T13:56:00"/>
    <x v="10"/>
    <x v="1"/>
    <x v="23"/>
    <n v="2"/>
    <m/>
    <n v="141.1"/>
    <n v="24.900000000000002"/>
  </r>
  <r>
    <s v="SBG - Desktop"/>
    <x v="1"/>
    <s v="New Feature"/>
    <s v="DESK-2981"/>
    <s v="Australia Day Promotion - AU Domain Only"/>
    <s v="New Feature"/>
    <x v="0"/>
    <d v="2016-01-29T13:57:00"/>
    <x v="10"/>
    <x v="1"/>
    <x v="23"/>
    <n v="2"/>
    <m/>
    <n v="141.1"/>
    <n v="24.900000000000002"/>
  </r>
  <r>
    <s v="SBG - Desktop"/>
    <x v="1"/>
    <s v="New Feature"/>
    <s v="DESK-2982"/>
    <s v="Ski Goggles Campaign"/>
    <s v="New Feature"/>
    <x v="0"/>
    <d v="2015-12-31T18:04:00"/>
    <x v="9"/>
    <x v="0"/>
    <x v="30"/>
    <n v="4"/>
    <m/>
    <n v="147.9"/>
    <n v="26.100000000000005"/>
  </r>
  <r>
    <s v="SBG - Desktop"/>
    <x v="0"/>
    <s v="New Feature"/>
    <s v="DESK-2982"/>
    <s v="Ski Goggles Campaign"/>
    <s v="New Feature"/>
    <x v="0"/>
    <d v="2016-01-11T14:34:00"/>
    <x v="10"/>
    <x v="1"/>
    <x v="7"/>
    <n v="0.5"/>
    <m/>
    <n v="83"/>
    <n v="83"/>
  </r>
  <r>
    <s v="SBG - Desktop"/>
    <x v="2"/>
    <s v="New Feature"/>
    <s v="DESK-2982"/>
    <s v="Ski Goggles Campaign"/>
    <s v="New Feature"/>
    <x v="0"/>
    <d v="2016-01-11T16:35:00"/>
    <x v="10"/>
    <x v="1"/>
    <x v="10"/>
    <n v="2"/>
    <m/>
    <n v="141.1"/>
    <n v="24.900000000000002"/>
  </r>
  <r>
    <s v="SBG - Desktop"/>
    <x v="1"/>
    <s v="New Feature"/>
    <s v="DESK-2982"/>
    <s v="Ski Goggles Campaign"/>
    <s v="New Feature"/>
    <x v="0"/>
    <d v="2016-01-11T18:31:00"/>
    <x v="10"/>
    <x v="1"/>
    <x v="30"/>
    <n v="1"/>
    <m/>
    <n v="141.1"/>
    <n v="24.900000000000002"/>
  </r>
  <r>
    <s v="SBG - Desktop"/>
    <x v="0"/>
    <s v="New Feature"/>
    <s v="DESK-2982"/>
    <s v="Ski Goggles Campaign"/>
    <s v="New Feature"/>
    <x v="0"/>
    <d v="2016-01-12T11:20:00"/>
    <x v="10"/>
    <x v="1"/>
    <x v="7"/>
    <n v="0.5"/>
    <m/>
    <n v="83"/>
    <n v="83"/>
  </r>
  <r>
    <s v="SBG - Desktop"/>
    <x v="2"/>
    <s v="Improvement"/>
    <s v="DESK-2983"/>
    <s v="please redirect all the traffic to general page to ray ban brand page"/>
    <s v="Improvement"/>
    <x v="0"/>
    <d v="2015-12-21T14:47:00"/>
    <x v="9"/>
    <x v="0"/>
    <x v="2"/>
    <n v="3"/>
    <m/>
    <n v="147.9"/>
    <n v="26.100000000000005"/>
  </r>
  <r>
    <s v="SBG - Desktop"/>
    <x v="1"/>
    <s v="Improvement"/>
    <s v="DESK-2983"/>
    <s v="please redirect all the traffic to general page to ray ban brand page"/>
    <s v="Improvement"/>
    <x v="0"/>
    <d v="2016-01-04T11:00:00"/>
    <x v="10"/>
    <x v="1"/>
    <x v="26"/>
    <n v="0.5"/>
    <m/>
    <n v="141.1"/>
    <n v="24.900000000000002"/>
  </r>
  <r>
    <s v="SBG - Desktop"/>
    <x v="1"/>
    <s v="Technical task"/>
    <s v="DESK-2984"/>
    <s v="DESK-2832&gt; why au not display Type category (sun/eye) on mobile?"/>
    <s v="Technical task"/>
    <x v="0"/>
    <d v="2015-12-18T18:50:00"/>
    <x v="9"/>
    <x v="0"/>
    <x v="21"/>
    <n v="3"/>
    <m/>
    <n v="147.9"/>
    <n v="26.100000000000005"/>
  </r>
  <r>
    <s v="SBG - Desktop"/>
    <x v="2"/>
    <s v="Technical task"/>
    <s v="DESK-2984"/>
    <s v="DESK-2832&gt; why au not display Type category (sun/eye) on mobile?"/>
    <s v="Technical task"/>
    <x v="0"/>
    <d v="2016-01-07T18:26:00"/>
    <x v="10"/>
    <x v="1"/>
    <x v="2"/>
    <n v="7"/>
    <m/>
    <n v="141.1"/>
    <n v="24.900000000000002"/>
  </r>
  <r>
    <s v="SBG - Desktop"/>
    <x v="2"/>
    <s v="Technical task"/>
    <s v="DESK-2984"/>
    <s v="DESK-2832&gt; why au not display Type category (sun/eye) on mobile?"/>
    <s v="Technical task"/>
    <x v="0"/>
    <d v="2016-01-08T18:26:00"/>
    <x v="10"/>
    <x v="1"/>
    <x v="2"/>
    <n v="6"/>
    <m/>
    <n v="141.1"/>
    <n v="24.900000000000002"/>
  </r>
  <r>
    <s v="SBG - Desktop"/>
    <x v="1"/>
    <s v="Bug"/>
    <s v="DESK-2985"/>
    <s v="Product checkout with paypal goes to blank page for some of products that have xx.96 at end of their price value"/>
    <s v="Bug"/>
    <x v="1"/>
    <d v="2015-12-18T16:53:00"/>
    <x v="9"/>
    <x v="0"/>
    <x v="26"/>
    <n v="2"/>
    <m/>
    <n v="147.9"/>
    <n v="26.100000000000005"/>
  </r>
  <r>
    <s v="SBG - Desktop"/>
    <x v="2"/>
    <s v="Bug"/>
    <s v="DESK-2985"/>
    <s v="Product checkout with paypal goes to blank page for some of products that have xx.96 at end of their price value"/>
    <s v="Bug"/>
    <x v="1"/>
    <d v="2015-12-18T16:54:00"/>
    <x v="9"/>
    <x v="0"/>
    <x v="18"/>
    <n v="4"/>
    <m/>
    <n v="147.9"/>
    <n v="26.100000000000005"/>
  </r>
  <r>
    <s v="SBG - Desktop"/>
    <x v="4"/>
    <s v="Improvement"/>
    <s v="DESK-2988"/>
    <s v="Enable multi auto-complete function for Algolia search - phase 2"/>
    <s v="Improvement"/>
    <x v="0"/>
    <d v="2015-12-01T11:43:00"/>
    <x v="9"/>
    <x v="0"/>
    <x v="13"/>
    <n v="3"/>
    <m/>
    <n v="147.9"/>
    <n v="26.100000000000005"/>
  </r>
  <r>
    <s v="SBG - Desktop"/>
    <x v="4"/>
    <s v="Improvement"/>
    <s v="DESK-2988"/>
    <s v="Enable multi auto-complete function for Algolia search - phase 2"/>
    <s v="Improvement"/>
    <x v="0"/>
    <d v="2015-12-02T11:43:00"/>
    <x v="9"/>
    <x v="0"/>
    <x v="13"/>
    <n v="3"/>
    <m/>
    <n v="147.9"/>
    <n v="26.100000000000005"/>
  </r>
  <r>
    <s v="SBG - Desktop"/>
    <x v="4"/>
    <s v="Improvement"/>
    <s v="DESK-2988"/>
    <s v="Enable multi auto-complete function for Algolia search - phase 2"/>
    <s v="Improvement"/>
    <x v="0"/>
    <d v="2015-12-03T11:43:00"/>
    <x v="9"/>
    <x v="0"/>
    <x v="13"/>
    <n v="3"/>
    <m/>
    <n v="147.9"/>
    <n v="26.100000000000005"/>
  </r>
  <r>
    <s v="SBG - Desktop"/>
    <x v="4"/>
    <s v="Improvement"/>
    <s v="DESK-2988"/>
    <s v="Enable multi auto-complete function for Algolia search - phase 2"/>
    <s v="Improvement"/>
    <x v="0"/>
    <d v="2015-12-04T11:43:00"/>
    <x v="9"/>
    <x v="0"/>
    <x v="13"/>
    <n v="3"/>
    <m/>
    <n v="147.9"/>
    <n v="26.100000000000005"/>
  </r>
  <r>
    <s v="SBG - Desktop"/>
    <x v="4"/>
    <s v="Improvement"/>
    <s v="DESK-2988"/>
    <s v="Enable multi auto-complete function for Algolia search - phase 2"/>
    <s v="Improvement"/>
    <x v="0"/>
    <d v="2015-12-14T11:43:00"/>
    <x v="9"/>
    <x v="0"/>
    <x v="13"/>
    <n v="5"/>
    <m/>
    <n v="147.9"/>
    <n v="26.100000000000005"/>
  </r>
  <r>
    <s v="SBG - Desktop"/>
    <x v="4"/>
    <s v="Improvement"/>
    <s v="DESK-2988"/>
    <s v="Enable multi auto-complete function for Algolia search - phase 2"/>
    <s v="Improvement"/>
    <x v="0"/>
    <d v="2015-12-15T11:43:00"/>
    <x v="9"/>
    <x v="0"/>
    <x v="13"/>
    <n v="5"/>
    <m/>
    <n v="147.9"/>
    <n v="26.100000000000005"/>
  </r>
  <r>
    <s v="SBG - Desktop"/>
    <x v="4"/>
    <s v="Improvement"/>
    <s v="DESK-2988"/>
    <s v="Enable multi auto-complete function for Algolia search - phase 2"/>
    <s v="Improvement"/>
    <x v="0"/>
    <d v="2015-12-16T11:43:00"/>
    <x v="9"/>
    <x v="0"/>
    <x v="13"/>
    <n v="5"/>
    <m/>
    <n v="147.9"/>
    <n v="26.100000000000005"/>
  </r>
  <r>
    <s v="SBG - Desktop"/>
    <x v="4"/>
    <s v="Improvement"/>
    <s v="DESK-2988"/>
    <s v="Enable multi auto-complete function for Algolia search - phase 2"/>
    <s v="Improvement"/>
    <x v="0"/>
    <d v="2015-12-17T11:43:00"/>
    <x v="9"/>
    <x v="0"/>
    <x v="13"/>
    <n v="5"/>
    <m/>
    <n v="147.9"/>
    <n v="26.100000000000005"/>
  </r>
  <r>
    <s v="SBG - Desktop"/>
    <x v="4"/>
    <s v="Improvement"/>
    <s v="DESK-2988"/>
    <s v="Enable multi auto-complete function for Algolia search - phase 2"/>
    <s v="Improvement"/>
    <x v="0"/>
    <d v="2015-12-18T11:43:00"/>
    <x v="9"/>
    <x v="0"/>
    <x v="13"/>
    <n v="5"/>
    <m/>
    <n v="147.9"/>
    <n v="26.100000000000005"/>
  </r>
  <r>
    <s v="SBG - Desktop"/>
    <x v="4"/>
    <s v="Improvement"/>
    <s v="DESK-2988"/>
    <s v="Enable multi auto-complete function for Algolia search - phase 2"/>
    <s v="Improvement"/>
    <x v="0"/>
    <d v="2016-01-04T14:20:00"/>
    <x v="10"/>
    <x v="1"/>
    <x v="13"/>
    <n v="5"/>
    <m/>
    <n v="141.1"/>
    <n v="24.900000000000002"/>
  </r>
  <r>
    <s v="SBG - Desktop"/>
    <x v="4"/>
    <s v="Improvement"/>
    <s v="DESK-2988"/>
    <s v="Enable multi auto-complete function for Algolia search - phase 2"/>
    <s v="Improvement"/>
    <x v="0"/>
    <d v="2016-01-05T14:20:00"/>
    <x v="10"/>
    <x v="1"/>
    <x v="13"/>
    <n v="5"/>
    <m/>
    <n v="141.1"/>
    <n v="24.900000000000002"/>
  </r>
  <r>
    <s v="SBG - Desktop"/>
    <x v="1"/>
    <s v="Improvement"/>
    <s v="DESK-2988"/>
    <s v="Enable multi auto-complete function for Algolia search - phase 2"/>
    <s v="Improvement"/>
    <x v="0"/>
    <d v="2016-01-05T19:57:00"/>
    <x v="10"/>
    <x v="1"/>
    <x v="1"/>
    <n v="2"/>
    <m/>
    <n v="141.1"/>
    <n v="24.900000000000002"/>
  </r>
  <r>
    <s v="SBG - Desktop"/>
    <x v="1"/>
    <s v="Improvement"/>
    <s v="DESK-2988"/>
    <s v="Enable multi auto-complete function for Algolia search - phase 2"/>
    <s v="Improvement"/>
    <x v="0"/>
    <d v="2016-01-13T11:38:00"/>
    <x v="10"/>
    <x v="1"/>
    <x v="1"/>
    <n v="3"/>
    <m/>
    <n v="141.1"/>
    <n v="24.900000000000002"/>
  </r>
  <r>
    <s v="SBG - Desktop"/>
    <x v="1"/>
    <s v="Improvement"/>
    <s v="DESK-2988"/>
    <s v="Enable multi auto-complete function for Algolia search - phase 2"/>
    <s v="Improvement"/>
    <x v="0"/>
    <d v="2016-01-15T19:58:00"/>
    <x v="10"/>
    <x v="1"/>
    <x v="1"/>
    <n v="4"/>
    <m/>
    <n v="141.1"/>
    <n v="24.900000000000002"/>
  </r>
  <r>
    <s v="SBG - Desktop"/>
    <x v="1"/>
    <s v="Improvement"/>
    <s v="DESK-2988"/>
    <s v="Enable multi auto-complete function for Algolia search - phase 2"/>
    <s v="Improvement"/>
    <x v="0"/>
    <d v="2016-01-21T15:17:00"/>
    <x v="10"/>
    <x v="1"/>
    <x v="1"/>
    <n v="1"/>
    <m/>
    <n v="141.1"/>
    <n v="24.900000000000002"/>
  </r>
  <r>
    <s v="SBG - Desktop"/>
    <x v="2"/>
    <s v="Improvement"/>
    <s v="DESK-2988"/>
    <s v="Enable multi auto-complete function for Algolia search - phase 2"/>
    <s v="Improvement"/>
    <x v="0"/>
    <d v="2016-01-21T18:01:00"/>
    <x v="10"/>
    <x v="1"/>
    <x v="2"/>
    <n v="7"/>
    <m/>
    <n v="141.1"/>
    <n v="24.900000000000002"/>
  </r>
  <r>
    <s v="SBG - Desktop"/>
    <x v="4"/>
    <s v="Improvement"/>
    <s v="DESK-2988"/>
    <s v="Enable multi auto-complete function for Algolia search - phase 2"/>
    <s v="Improvement"/>
    <x v="0"/>
    <d v="2016-01-22T14:20:00"/>
    <x v="10"/>
    <x v="1"/>
    <x v="13"/>
    <n v="5"/>
    <m/>
    <n v="141.1"/>
    <n v="24.900000000000002"/>
  </r>
  <r>
    <s v="SBG - Desktop"/>
    <x v="1"/>
    <s v="Improvement"/>
    <s v="DESK-2988"/>
    <s v="Enable multi auto-complete function for Algolia search - phase 2"/>
    <s v="Improvement"/>
    <x v="0"/>
    <d v="2016-01-22T15:46:00"/>
    <x v="10"/>
    <x v="1"/>
    <x v="1"/>
    <n v="1"/>
    <m/>
    <n v="141.1"/>
    <n v="24.900000000000002"/>
  </r>
  <r>
    <s v="SBG - Desktop"/>
    <x v="4"/>
    <s v="Improvement"/>
    <s v="DESK-2988"/>
    <s v="Enable multi auto-complete function for Algolia search - phase 2"/>
    <s v="Improvement"/>
    <x v="0"/>
    <d v="2016-01-25T14:20:00"/>
    <x v="10"/>
    <x v="1"/>
    <x v="13"/>
    <n v="5"/>
    <m/>
    <n v="141.1"/>
    <n v="24.900000000000002"/>
  </r>
  <r>
    <s v="SBG - Desktop"/>
    <x v="1"/>
    <s v="Improvement"/>
    <s v="DESK-2988"/>
    <s v="Enable multi auto-complete function for Algolia search - phase 2"/>
    <s v="Improvement"/>
    <x v="0"/>
    <d v="2016-01-26T16:20:00"/>
    <x v="10"/>
    <x v="1"/>
    <x v="1"/>
    <n v="1"/>
    <m/>
    <n v="141.1"/>
    <n v="24.900000000000002"/>
  </r>
  <r>
    <s v="SBG - Desktop"/>
    <x v="2"/>
    <s v="Improvement"/>
    <s v="DESK-2988"/>
    <s v="Enable multi auto-complete function for Algolia search - phase 2"/>
    <s v="Improvement"/>
    <x v="0"/>
    <d v="2016-01-26T17:21:00"/>
    <x v="10"/>
    <x v="1"/>
    <x v="2"/>
    <n v="6"/>
    <m/>
    <n v="141.1"/>
    <n v="24.900000000000002"/>
  </r>
  <r>
    <s v="SBG - Desktop"/>
    <x v="2"/>
    <s v="Improvement"/>
    <s v="DESK-2988"/>
    <s v="Enable multi auto-complete function for Algolia search - phase 2"/>
    <s v="Improvement"/>
    <x v="0"/>
    <d v="2016-01-29T10:51:00"/>
    <x v="10"/>
    <x v="1"/>
    <x v="2"/>
    <n v="7"/>
    <m/>
    <n v="141.1"/>
    <n v="24.900000000000002"/>
  </r>
  <r>
    <s v="SBG - Desktop"/>
    <x v="2"/>
    <s v="New Feature"/>
    <s v="DESK-2989"/>
    <s v="create A/B testing for tablet users to redirect them into either mobile or desktop"/>
    <s v="New Feature"/>
    <x v="0"/>
    <d v="2016-01-05T11:01:00"/>
    <x v="10"/>
    <x v="1"/>
    <x v="2"/>
    <n v="1"/>
    <m/>
    <n v="141.1"/>
    <n v="24.900000000000002"/>
  </r>
  <r>
    <s v="SBG - Desktop"/>
    <x v="2"/>
    <s v="New Feature"/>
    <s v="DESK-2989"/>
    <s v="create A/B testing for tablet users to redirect them into either mobile or desktop"/>
    <s v="New Feature"/>
    <x v="0"/>
    <d v="2016-01-08T14:23:00"/>
    <x v="10"/>
    <x v="1"/>
    <x v="2"/>
    <n v="2"/>
    <m/>
    <n v="141.1"/>
    <n v="24.900000000000002"/>
  </r>
  <r>
    <s v="SBG - Desktop"/>
    <x v="2"/>
    <s v="New Feature"/>
    <s v="DESK-2990"/>
    <s v="Italy Frame Only Order Status Update"/>
    <s v="New Feature"/>
    <x v="0"/>
    <d v="2016-01-05T16:29:00"/>
    <x v="10"/>
    <x v="1"/>
    <x v="10"/>
    <n v="6"/>
    <m/>
    <n v="141.1"/>
    <n v="24.900000000000002"/>
  </r>
  <r>
    <s v="SBG - Desktop"/>
    <x v="2"/>
    <s v="New Feature"/>
    <s v="DESK-2990"/>
    <s v="Italy Frame Only Order Status Update"/>
    <s v="New Feature"/>
    <x v="0"/>
    <d v="2016-01-11T16:35:00"/>
    <x v="10"/>
    <x v="1"/>
    <x v="10"/>
    <n v="4"/>
    <m/>
    <n v="141.1"/>
    <n v="24.900000000000002"/>
  </r>
  <r>
    <s v="SBG - Desktop"/>
    <x v="1"/>
    <s v="New Feature"/>
    <s v="DESK-2990"/>
    <s v="Italy Frame Only Order Status Update"/>
    <s v="New Feature"/>
    <x v="0"/>
    <d v="2016-01-12T18:28:00"/>
    <x v="10"/>
    <x v="1"/>
    <x v="8"/>
    <n v="1"/>
    <m/>
    <n v="141.1"/>
    <n v="24.900000000000002"/>
  </r>
  <r>
    <s v="SBG - Desktop"/>
    <x v="1"/>
    <s v="New Feature"/>
    <s v="DESK-2990"/>
    <s v="Italy Frame Only Order Status Update"/>
    <s v="New Feature"/>
    <x v="0"/>
    <d v="2016-01-13T16:06:00"/>
    <x v="10"/>
    <x v="1"/>
    <x v="8"/>
    <n v="2"/>
    <m/>
    <n v="141.1"/>
    <n v="24.900000000000002"/>
  </r>
  <r>
    <s v="SBG - Desktop"/>
    <x v="1"/>
    <s v="New Feature"/>
    <s v="DESK-2990"/>
    <s v="Italy Frame Only Order Status Update"/>
    <s v="New Feature"/>
    <x v="0"/>
    <d v="2016-01-14T16:44:00"/>
    <x v="10"/>
    <x v="1"/>
    <x v="23"/>
    <n v="3"/>
    <m/>
    <n v="141.1"/>
    <n v="24.900000000000002"/>
  </r>
  <r>
    <s v="SBG - Desktop"/>
    <x v="1"/>
    <s v="New Feature"/>
    <s v="DESK-2990"/>
    <s v="Italy Frame Only Order Status Update"/>
    <s v="New Feature"/>
    <x v="0"/>
    <d v="2016-01-15T11:40:00"/>
    <x v="10"/>
    <x v="1"/>
    <x v="23"/>
    <n v="3"/>
    <m/>
    <n v="141.1"/>
    <n v="24.900000000000002"/>
  </r>
  <r>
    <s v="SBG - Desktop"/>
    <x v="2"/>
    <s v="New Feature"/>
    <s v="DESK-2990"/>
    <s v="Italy Frame Only Order Status Update"/>
    <s v="New Feature"/>
    <x v="0"/>
    <d v="2016-01-15T15:56:00"/>
    <x v="10"/>
    <x v="1"/>
    <x v="10"/>
    <n v="2"/>
    <m/>
    <n v="141.1"/>
    <n v="24.900000000000002"/>
  </r>
  <r>
    <s v="SBG - Desktop"/>
    <x v="1"/>
    <s v="New Feature"/>
    <s v="DESK-2990"/>
    <s v="Italy Frame Only Order Status Update"/>
    <s v="New Feature"/>
    <x v="0"/>
    <d v="2016-01-18T18:40:00"/>
    <x v="10"/>
    <x v="1"/>
    <x v="23"/>
    <n v="1"/>
    <m/>
    <n v="141.1"/>
    <n v="24.900000000000002"/>
  </r>
  <r>
    <s v="SBG - Desktop"/>
    <x v="1"/>
    <s v="New Feature"/>
    <s v="DESK-2990"/>
    <s v="Italy Frame Only Order Status Update"/>
    <s v="New Feature"/>
    <x v="0"/>
    <d v="2016-01-27T10:57:00"/>
    <x v="10"/>
    <x v="1"/>
    <x v="23"/>
    <n v="5"/>
    <m/>
    <n v="141.1"/>
    <n v="24.900000000000002"/>
  </r>
  <r>
    <s v="SBG - Desktop"/>
    <x v="0"/>
    <s v="Task"/>
    <s v="DESK-2991"/>
    <s v="Banner Update"/>
    <s v="Task"/>
    <x v="0"/>
    <d v="2015-12-28T17:48:00"/>
    <x v="9"/>
    <x v="0"/>
    <x v="7"/>
    <n v="1"/>
    <m/>
    <n v="87"/>
    <n v="87"/>
  </r>
  <r>
    <s v="SBG - Desktop"/>
    <x v="2"/>
    <s v="Bugs"/>
    <s v="DESK-2992"/>
    <s v="DESK-2774&gt; Mobile asian fit result is incorrect"/>
    <s v="Bugs"/>
    <x v="1"/>
    <d v="2015-12-03T09:51:00"/>
    <x v="9"/>
    <x v="0"/>
    <x v="22"/>
    <n v="2"/>
    <m/>
    <n v="147.9"/>
    <n v="26.100000000000005"/>
  </r>
  <r>
    <s v="SBG - Desktop"/>
    <x v="2"/>
    <s v="Bugs"/>
    <s v="DESK-2992"/>
    <s v="DESK-2774&gt; Mobile asian fit result is incorrect"/>
    <s v="Bugs"/>
    <x v="1"/>
    <d v="2015-12-11T09:48:00"/>
    <x v="9"/>
    <x v="0"/>
    <x v="22"/>
    <n v="8"/>
    <m/>
    <n v="147.9"/>
    <n v="26.100000000000005"/>
  </r>
  <r>
    <s v="SBG - Desktop"/>
    <x v="2"/>
    <s v="Bugs"/>
    <s v="DESK-2992"/>
    <s v="DESK-2774&gt; Mobile asian fit result is incorrect"/>
    <s v="Bugs"/>
    <x v="1"/>
    <d v="2016-01-13T11:50:00"/>
    <x v="10"/>
    <x v="1"/>
    <x v="22"/>
    <n v="6"/>
    <m/>
    <n v="141.1"/>
    <n v="24.900000000000002"/>
  </r>
  <r>
    <s v="SBG - Desktop"/>
    <x v="4"/>
    <s v="Improvement"/>
    <s v="DESK-2994"/>
    <s v="Add Google as social login"/>
    <s v="Improvement"/>
    <x v="0"/>
    <d v="2015-12-14T11:43:00"/>
    <x v="9"/>
    <x v="0"/>
    <x v="13"/>
    <n v="3"/>
    <m/>
    <n v="147.9"/>
    <n v="26.100000000000005"/>
  </r>
  <r>
    <s v="SBG - Desktop"/>
    <x v="4"/>
    <s v="Improvement"/>
    <s v="DESK-2994"/>
    <s v="Add Google as social login"/>
    <s v="Improvement"/>
    <x v="0"/>
    <d v="2015-12-15T11:43:00"/>
    <x v="9"/>
    <x v="0"/>
    <x v="13"/>
    <n v="3"/>
    <m/>
    <n v="147.9"/>
    <n v="26.100000000000005"/>
  </r>
  <r>
    <s v="SBG - Desktop"/>
    <x v="4"/>
    <s v="Improvement"/>
    <s v="DESK-2994"/>
    <s v="Add Google as social login"/>
    <s v="Improvement"/>
    <x v="0"/>
    <d v="2015-12-16T11:43:00"/>
    <x v="9"/>
    <x v="0"/>
    <x v="13"/>
    <n v="3"/>
    <m/>
    <n v="147.9"/>
    <n v="26.100000000000005"/>
  </r>
  <r>
    <s v="SBG - Desktop"/>
    <x v="2"/>
    <s v="New Feature"/>
    <s v="DESK-2996"/>
    <s v="Cart abandonment / CL reorder discount function"/>
    <s v="New Feature"/>
    <x v="0"/>
    <d v="2015-12-29T11:08:00"/>
    <x v="9"/>
    <x v="0"/>
    <x v="18"/>
    <n v="8"/>
    <m/>
    <n v="147.9"/>
    <n v="26.100000000000005"/>
  </r>
  <r>
    <s v="SBG - Desktop"/>
    <x v="2"/>
    <s v="New Feature"/>
    <s v="DESK-2996"/>
    <s v="Cart abandonment / CL reorder discount function"/>
    <s v="New Feature"/>
    <x v="0"/>
    <d v="2015-12-30T11:08:00"/>
    <x v="9"/>
    <x v="0"/>
    <x v="18"/>
    <n v="8"/>
    <m/>
    <n v="147.9"/>
    <n v="26.100000000000005"/>
  </r>
  <r>
    <s v="SBG - Desktop"/>
    <x v="2"/>
    <s v="New Feature"/>
    <s v="DESK-2996"/>
    <s v="Cart abandonment / CL reorder discount function"/>
    <s v="New Feature"/>
    <x v="0"/>
    <d v="2015-12-31T13:08:00"/>
    <x v="9"/>
    <x v="0"/>
    <x v="18"/>
    <n v="6"/>
    <m/>
    <n v="147.9"/>
    <n v="26.100000000000005"/>
  </r>
  <r>
    <s v="SBG - Desktop"/>
    <x v="0"/>
    <s v="New Feature"/>
    <s v="DESK-2996"/>
    <s v="Cart abandonment / CL reorder discount function"/>
    <s v="New Feature"/>
    <x v="0"/>
    <d v="2016-01-12T18:32:00"/>
    <x v="10"/>
    <x v="1"/>
    <x v="7"/>
    <n v="7"/>
    <m/>
    <n v="83"/>
    <n v="83"/>
  </r>
  <r>
    <s v="SBG - Desktop"/>
    <x v="2"/>
    <s v="New Feature"/>
    <s v="DESK-2996"/>
    <s v="Cart abandonment / CL reorder discount function"/>
    <s v="New Feature"/>
    <x v="0"/>
    <d v="2016-01-27T17:24:00"/>
    <x v="10"/>
    <x v="1"/>
    <x v="18"/>
    <n v="40"/>
    <m/>
    <n v="141.1"/>
    <n v="24.900000000000002"/>
  </r>
  <r>
    <s v="SBG - Desktop"/>
    <x v="2"/>
    <s v="New Feature"/>
    <s v="DESK-2997"/>
    <s v="algolia search api for pimcore"/>
    <s v="New Feature"/>
    <x v="0"/>
    <d v="2016-01-06T09:47:00"/>
    <x v="10"/>
    <x v="1"/>
    <x v="2"/>
    <n v="3"/>
    <m/>
    <n v="141.1"/>
    <n v="24.900000000000002"/>
  </r>
  <r>
    <s v="SBG - Desktop"/>
    <x v="2"/>
    <s v="New Feature"/>
    <s v="DESK-2997"/>
    <s v="algolia search api for pimcore"/>
    <s v="New Feature"/>
    <x v="0"/>
    <d v="2016-01-06T16:26:00"/>
    <x v="10"/>
    <x v="1"/>
    <x v="2"/>
    <n v="5"/>
    <s v="algolia maintain tools develop"/>
    <n v="141.1"/>
    <n v="24.900000000000002"/>
  </r>
  <r>
    <s v="SBG - Desktop"/>
    <x v="2"/>
    <s v="Technical task"/>
    <s v="DESK-3002"/>
    <s v="DESK-2974&gt; Product Page Buy Button (rollout to all English domains) PART 1"/>
    <s v="Technical task"/>
    <x v="0"/>
    <d v="2015-12-25T14:36:00"/>
    <x v="9"/>
    <x v="0"/>
    <x v="10"/>
    <n v="4"/>
    <m/>
    <n v="147.9"/>
    <n v="26.100000000000005"/>
  </r>
  <r>
    <s v="SBG - Desktop"/>
    <x v="1"/>
    <s v="Technical task"/>
    <s v="DESK-3002"/>
    <s v="DESK-2974&gt; Product Page Buy Button (rollout to all English domains) PART 1"/>
    <s v="Technical task"/>
    <x v="0"/>
    <d v="2015-12-31T18:05:00"/>
    <x v="9"/>
    <x v="0"/>
    <x v="30"/>
    <n v="4"/>
    <m/>
    <n v="147.9"/>
    <n v="26.100000000000005"/>
  </r>
  <r>
    <s v="SBG - Desktop"/>
    <x v="2"/>
    <s v="Technical task"/>
    <s v="DESK-3002"/>
    <s v="DESK-2974&gt; Product Page Buy Button (rollout to all English domains) PART 1"/>
    <s v="Technical task"/>
    <x v="0"/>
    <d v="2016-01-08T16:33:00"/>
    <x v="10"/>
    <x v="1"/>
    <x v="10"/>
    <n v="4"/>
    <m/>
    <n v="141.1"/>
    <n v="24.900000000000002"/>
  </r>
  <r>
    <s v="SBG - Desktop"/>
    <x v="1"/>
    <s v="Technical task"/>
    <s v="DESK-3002"/>
    <s v="DESK-2974&gt; Product Page Buy Button (rollout to all English domains) PART 1"/>
    <s v="Technical task"/>
    <x v="0"/>
    <d v="2016-01-13T18:22:00"/>
    <x v="10"/>
    <x v="1"/>
    <x v="30"/>
    <n v="4"/>
    <m/>
    <n v="141.1"/>
    <n v="24.900000000000002"/>
  </r>
  <r>
    <s v="SBG - Desktop"/>
    <x v="1"/>
    <s v="Technical task"/>
    <s v="DESK-3002"/>
    <s v="DESK-2974&gt; Product Page Buy Button (rollout to all English domains) PART 1"/>
    <s v="Technical task"/>
    <x v="0"/>
    <d v="2016-01-15T12:41:00"/>
    <x v="10"/>
    <x v="1"/>
    <x v="30"/>
    <n v="1"/>
    <m/>
    <n v="141.1"/>
    <n v="24.900000000000002"/>
  </r>
  <r>
    <s v="SBG - Desktop"/>
    <x v="1"/>
    <s v="Technical task"/>
    <s v="DESK-3002"/>
    <s v="DESK-2974&gt; Product Page Buy Button (rollout to all English domains) PART 1"/>
    <s v="Technical task"/>
    <x v="0"/>
    <d v="2016-01-15T17:08:00"/>
    <x v="10"/>
    <x v="1"/>
    <x v="30"/>
    <n v="1"/>
    <m/>
    <n v="141.1"/>
    <n v="24.900000000000002"/>
  </r>
  <r>
    <s v="SBG - Desktop"/>
    <x v="1"/>
    <s v="Technical task"/>
    <s v="DESK-3002"/>
    <s v="DESK-2974&gt; Product Page Buy Button (rollout to all English domains) PART 1"/>
    <s v="Technical task"/>
    <x v="0"/>
    <d v="2016-01-18T15:20:00"/>
    <x v="10"/>
    <x v="1"/>
    <x v="30"/>
    <n v="3"/>
    <m/>
    <n v="141.1"/>
    <n v="24.900000000000002"/>
  </r>
  <r>
    <s v="SBG - Desktop"/>
    <x v="1"/>
    <s v="New Feature"/>
    <s v="DESK-3003"/>
    <s v="Product Page Buy Button (rollout to all NON-English domains) -- PART 2"/>
    <s v="New Feature"/>
    <x v="0"/>
    <d v="2016-01-06T18:09:00"/>
    <x v="10"/>
    <x v="1"/>
    <x v="30"/>
    <n v="6"/>
    <m/>
    <n v="141.1"/>
    <n v="24.900000000000002"/>
  </r>
  <r>
    <s v="SBG - Desktop"/>
    <x v="2"/>
    <s v="New Feature"/>
    <s v="DESK-3003"/>
    <s v="Product Page Buy Button (rollout to all NON-English domains) -- PART 2"/>
    <s v="New Feature"/>
    <x v="0"/>
    <d v="2016-01-20T15:40:00"/>
    <x v="10"/>
    <x v="1"/>
    <x v="10"/>
    <n v="4"/>
    <m/>
    <n v="141.1"/>
    <n v="24.900000000000002"/>
  </r>
  <r>
    <s v="SBG - Desktop"/>
    <x v="1"/>
    <s v="New Feature"/>
    <s v="DESK-3003"/>
    <s v="Product Page Buy Button (rollout to all NON-English domains) -- PART 2"/>
    <s v="New Feature"/>
    <x v="0"/>
    <d v="2016-01-20T18:04:00"/>
    <x v="10"/>
    <x v="1"/>
    <x v="30"/>
    <n v="4"/>
    <m/>
    <n v="141.1"/>
    <n v="24.900000000000002"/>
  </r>
  <r>
    <s v="SBG - Desktop"/>
    <x v="2"/>
    <s v="New Feature"/>
    <s v="DESK-3003"/>
    <s v="Product Page Buy Button (rollout to all NON-English domains) -- PART 2"/>
    <s v="New Feature"/>
    <x v="0"/>
    <d v="2016-01-21T15:40:00"/>
    <x v="10"/>
    <x v="1"/>
    <x v="10"/>
    <n v="4"/>
    <m/>
    <n v="141.1"/>
    <n v="24.900000000000002"/>
  </r>
  <r>
    <s v="SBG - Desktop"/>
    <x v="1"/>
    <s v="New Feature"/>
    <s v="DESK-3003"/>
    <s v="Product Page Buy Button (rollout to all NON-English domains) -- PART 2"/>
    <s v="New Feature"/>
    <x v="0"/>
    <d v="2016-01-21T15:54:00"/>
    <x v="10"/>
    <x v="1"/>
    <x v="30"/>
    <n v="3"/>
    <m/>
    <n v="141.1"/>
    <n v="24.900000000000002"/>
  </r>
  <r>
    <s v="SBG - Desktop"/>
    <x v="1"/>
    <s v="New Feature"/>
    <s v="DESK-3003"/>
    <s v="Product Page Buy Button (rollout to all NON-English domains) -- PART 2"/>
    <s v="New Feature"/>
    <x v="0"/>
    <d v="2016-01-21T17:45:00"/>
    <x v="10"/>
    <x v="1"/>
    <x v="30"/>
    <n v="1"/>
    <m/>
    <n v="141.1"/>
    <n v="24.900000000000002"/>
  </r>
  <r>
    <s v="SBG - Desktop"/>
    <x v="1"/>
    <s v="New Feature"/>
    <s v="DESK-3003"/>
    <s v="Product Page Buy Button (rollout to all NON-English domains) -- PART 2"/>
    <s v="New Feature"/>
    <x v="0"/>
    <d v="2016-01-22T11:23:00"/>
    <x v="10"/>
    <x v="1"/>
    <x v="30"/>
    <n v="3"/>
    <m/>
    <n v="141.1"/>
    <n v="24.900000000000002"/>
  </r>
  <r>
    <s v="SBG - Desktop"/>
    <x v="1"/>
    <s v="New Feature"/>
    <s v="DESK-3003"/>
    <s v="Product Page Buy Button (rollout to all NON-English domains) -- PART 2"/>
    <s v="New Feature"/>
    <x v="0"/>
    <d v="2016-01-22T16:05:00"/>
    <x v="10"/>
    <x v="1"/>
    <x v="30"/>
    <n v="2"/>
    <m/>
    <n v="141.1"/>
    <n v="24.900000000000002"/>
  </r>
  <r>
    <s v="SBG - Desktop"/>
    <x v="2"/>
    <s v="New Feature"/>
    <s v="DESK-3004"/>
    <s v="Redis implementation on sbg grid page"/>
    <s v="New Feature"/>
    <x v="0"/>
    <d v="2016-01-27T17:42:00"/>
    <x v="10"/>
    <x v="1"/>
    <x v="31"/>
    <n v="48"/>
    <m/>
    <n v="141.1"/>
    <n v="24.900000000000002"/>
  </r>
  <r>
    <s v="SBG - Desktop"/>
    <x v="2"/>
    <s v="New Feature"/>
    <s v="DESK-3004"/>
    <s v="Redis implementation on sbg grid page"/>
    <s v="New Feature"/>
    <x v="0"/>
    <d v="2016-01-30T14:24:00"/>
    <x v="10"/>
    <x v="1"/>
    <x v="22"/>
    <n v="8"/>
    <m/>
    <n v="141.1"/>
    <n v="24.900000000000002"/>
  </r>
  <r>
    <s v="SBG - Desktop"/>
    <x v="1"/>
    <s v="Bug"/>
    <s v="DESK-3005"/>
    <s v="CZ domain---remove from the cart need twice"/>
    <s v="Bug"/>
    <x v="1"/>
    <d v="2016-01-06T07:55:00"/>
    <x v="10"/>
    <x v="1"/>
    <x v="23"/>
    <n v="8"/>
    <m/>
    <n v="141.1"/>
    <n v="24.900000000000002"/>
  </r>
  <r>
    <s v="SBG - Desktop"/>
    <x v="2"/>
    <s v="Bug"/>
    <s v="DESK-3005"/>
    <s v="CZ domain---remove from the cart need twice"/>
    <s v="Bug"/>
    <x v="1"/>
    <d v="2016-01-15T15:57:00"/>
    <x v="10"/>
    <x v="1"/>
    <x v="10"/>
    <n v="1"/>
    <m/>
    <n v="141.1"/>
    <n v="24.900000000000002"/>
  </r>
  <r>
    <s v="SBG - Desktop"/>
    <x v="1"/>
    <s v="Bug"/>
    <s v="DESK-3005"/>
    <s v="CZ domain---remove from the cart need twice"/>
    <s v="Bug"/>
    <x v="1"/>
    <d v="2016-01-15T18:03:00"/>
    <x v="10"/>
    <x v="1"/>
    <x v="23"/>
    <n v="1"/>
    <m/>
    <n v="141.1"/>
    <n v="24.900000000000002"/>
  </r>
  <r>
    <s v="SBG - Desktop"/>
    <x v="1"/>
    <s v="Bug"/>
    <s v="DESK-3005"/>
    <s v="CZ domain---remove from the cart need twice"/>
    <s v="Bug"/>
    <x v="1"/>
    <d v="2016-01-19T11:56:00"/>
    <x v="10"/>
    <x v="1"/>
    <x v="23"/>
    <n v="4"/>
    <m/>
    <n v="141.1"/>
    <n v="24.900000000000002"/>
  </r>
  <r>
    <s v="SBG - Desktop"/>
    <x v="1"/>
    <s v="Bug"/>
    <s v="DESK-3005"/>
    <s v="CZ domain---remove from the cart need twice"/>
    <s v="Bug"/>
    <x v="1"/>
    <d v="2016-01-26T11:57:00"/>
    <x v="10"/>
    <x v="1"/>
    <x v="23"/>
    <n v="4"/>
    <m/>
    <n v="141.1"/>
    <n v="24.900000000000002"/>
  </r>
  <r>
    <s v="SBG - Desktop"/>
    <x v="1"/>
    <s v="Task"/>
    <s v="DESK-3008"/>
    <s v="Missing Ski Goggles Features"/>
    <s v="Task"/>
    <x v="0"/>
    <d v="2016-01-06T18:09:00"/>
    <x v="10"/>
    <x v="1"/>
    <x v="30"/>
    <n v="2"/>
    <m/>
    <n v="141.1"/>
    <n v="24.900000000000002"/>
  </r>
  <r>
    <s v="SBG - Desktop"/>
    <x v="1"/>
    <s v="Task"/>
    <s v="DESK-3008"/>
    <s v="Missing Ski Goggles Features"/>
    <s v="Task"/>
    <x v="0"/>
    <d v="2016-01-07T18:10:00"/>
    <x v="10"/>
    <x v="1"/>
    <x v="30"/>
    <n v="3"/>
    <m/>
    <n v="141.1"/>
    <n v="24.900000000000002"/>
  </r>
  <r>
    <s v="SBG - Desktop"/>
    <x v="2"/>
    <s v="Task"/>
    <s v="DESK-3008"/>
    <s v="Missing Ski Goggles Features"/>
    <s v="Task"/>
    <x v="0"/>
    <d v="2016-01-14T16:03:00"/>
    <x v="10"/>
    <x v="1"/>
    <x v="10"/>
    <n v="4"/>
    <m/>
    <n v="141.1"/>
    <n v="24.900000000000002"/>
  </r>
  <r>
    <s v="SBG - Desktop"/>
    <x v="0"/>
    <s v="Task"/>
    <s v="DESK-3008"/>
    <s v="Missing Ski Goggles Features"/>
    <s v="Task"/>
    <x v="0"/>
    <d v="2016-01-15T11:28:00"/>
    <x v="10"/>
    <x v="1"/>
    <x v="7"/>
    <n v="0.5"/>
    <m/>
    <n v="83"/>
    <n v="83"/>
  </r>
  <r>
    <s v="SBG - Desktop"/>
    <x v="1"/>
    <s v="Task"/>
    <s v="DESK-3008"/>
    <s v="Missing Ski Goggles Features"/>
    <s v="Task"/>
    <x v="0"/>
    <d v="2016-01-15T17:31:00"/>
    <x v="10"/>
    <x v="1"/>
    <x v="30"/>
    <n v="1"/>
    <m/>
    <n v="141.1"/>
    <n v="24.900000000000002"/>
  </r>
  <r>
    <s v="SBG - Desktop"/>
    <x v="1"/>
    <s v="Task"/>
    <s v="DESK-3009"/>
    <s v="Valentine's Day Campaign Top Bar"/>
    <s v="Task"/>
    <x v="0"/>
    <d v="2016-01-01T18:05:00"/>
    <x v="10"/>
    <x v="1"/>
    <x v="30"/>
    <n v="4"/>
    <m/>
    <n v="141.1"/>
    <n v="24.900000000000002"/>
  </r>
  <r>
    <s v="SBG - Desktop"/>
    <x v="2"/>
    <s v="Task"/>
    <s v="DESK-3009"/>
    <s v="Valentine's Day Campaign Top Bar"/>
    <s v="Task"/>
    <x v="0"/>
    <d v="2016-01-29T09:51:00"/>
    <x v="10"/>
    <x v="1"/>
    <x v="10"/>
    <n v="3"/>
    <m/>
    <n v="141.1"/>
    <n v="24.900000000000002"/>
  </r>
  <r>
    <s v="SBG - Desktop"/>
    <x v="0"/>
    <s v="Task"/>
    <s v="DESK-3009"/>
    <s v="Valentine's Day Campaign Top Bar"/>
    <s v="Task"/>
    <x v="0"/>
    <d v="2016-01-29T18:35:00"/>
    <x v="10"/>
    <x v="1"/>
    <x v="24"/>
    <n v="1"/>
    <m/>
    <n v="83"/>
    <n v="83"/>
  </r>
  <r>
    <s v="SBG - Desktop"/>
    <x v="1"/>
    <s v="Task"/>
    <s v="DESK-3009"/>
    <s v="Valentine's Day Campaign Top Bar"/>
    <s v="Task"/>
    <x v="0"/>
    <d v="2016-01-29T18:36:00"/>
    <x v="10"/>
    <x v="1"/>
    <x v="30"/>
    <n v="2"/>
    <m/>
    <n v="141.1"/>
    <n v="24.900000000000002"/>
  </r>
  <r>
    <s v="SBG - Desktop"/>
    <x v="2"/>
    <s v="New Feature"/>
    <s v="DESK-3010"/>
    <s v="Algolia index maintain javacode"/>
    <s v="New Feature"/>
    <x v="0"/>
    <d v="2016-01-14T11:07:00"/>
    <x v="10"/>
    <x v="1"/>
    <x v="2"/>
    <n v="8"/>
    <m/>
    <n v="141.1"/>
    <n v="24.900000000000002"/>
  </r>
  <r>
    <s v="SBG - Desktop"/>
    <x v="2"/>
    <s v="New Feature"/>
    <s v="DESK-3010"/>
    <s v="Algolia index maintain javacode"/>
    <s v="New Feature"/>
    <x v="0"/>
    <d v="2016-01-15T16:16:00"/>
    <x v="10"/>
    <x v="1"/>
    <x v="2"/>
    <n v="8"/>
    <m/>
    <n v="141.1"/>
    <n v="24.900000000000002"/>
  </r>
  <r>
    <s v="SBG - Desktop"/>
    <x v="2"/>
    <s v="New Feature"/>
    <s v="DESK-3010"/>
    <s v="Algolia index maintain javacode"/>
    <s v="New Feature"/>
    <x v="0"/>
    <d v="2016-01-18T16:17:00"/>
    <x v="10"/>
    <x v="1"/>
    <x v="2"/>
    <n v="7"/>
    <m/>
    <n v="141.1"/>
    <n v="24.900000000000002"/>
  </r>
  <r>
    <s v="SBG - Desktop"/>
    <x v="0"/>
    <s v="Bug"/>
    <s v="DESK-3013"/>
    <s v="put omni channel js/css used on au domain into cdn"/>
    <s v="Bug"/>
    <x v="1"/>
    <d v="2016-01-18T14:01:00"/>
    <x v="10"/>
    <x v="1"/>
    <x v="7"/>
    <n v="2"/>
    <m/>
    <n v="83"/>
    <n v="83"/>
  </r>
  <r>
    <s v="SBG - Desktop"/>
    <x v="1"/>
    <s v="Bug"/>
    <s v="DESK-3013"/>
    <s v="put omni channel js/css used on au domain into cdn"/>
    <s v="Bug"/>
    <x v="1"/>
    <d v="2016-01-21T13:56:00"/>
    <x v="10"/>
    <x v="1"/>
    <x v="23"/>
    <n v="2"/>
    <m/>
    <n v="141.1"/>
    <n v="24.900000000000002"/>
  </r>
  <r>
    <s v="SBG - Desktop"/>
    <x v="1"/>
    <s v="Bug"/>
    <s v="DESK-3013"/>
    <s v="put omni channel js/css used on au domain into cdn"/>
    <s v="Bug"/>
    <x v="1"/>
    <d v="2016-01-21T16:52:00"/>
    <x v="10"/>
    <x v="1"/>
    <x v="23"/>
    <n v="1"/>
    <m/>
    <n v="141.1"/>
    <n v="24.900000000000002"/>
  </r>
  <r>
    <s v="SBG - Desktop"/>
    <x v="0"/>
    <s v="Bug"/>
    <s v="DESK-3013"/>
    <s v="put omni channel js/css used on au domain into cdn"/>
    <s v="Bug"/>
    <x v="1"/>
    <d v="2016-01-21T17:33:00"/>
    <x v="10"/>
    <x v="1"/>
    <x v="7"/>
    <n v="0.5"/>
    <m/>
    <n v="83"/>
    <n v="83"/>
  </r>
  <r>
    <s v="SBG - Desktop"/>
    <x v="1"/>
    <s v="Bug"/>
    <s v="DESK-3013"/>
    <s v="put omni channel js/css used on au domain into cdn"/>
    <s v="Bug"/>
    <x v="1"/>
    <d v="2016-01-22T15:33:00"/>
    <x v="10"/>
    <x v="1"/>
    <x v="23"/>
    <n v="1.5"/>
    <m/>
    <n v="141.1"/>
    <n v="24.900000000000002"/>
  </r>
  <r>
    <s v="SBG - Desktop"/>
    <x v="1"/>
    <s v="Bug"/>
    <s v="DESK-3014"/>
    <s v="home page has a $content at the end of the page"/>
    <s v="Bug"/>
    <x v="1"/>
    <d v="2016-01-05T18:08:00"/>
    <x v="10"/>
    <x v="1"/>
    <x v="30"/>
    <n v="4"/>
    <m/>
    <n v="141.1"/>
    <n v="24.900000000000002"/>
  </r>
  <r>
    <s v="SBG - Desktop"/>
    <x v="2"/>
    <s v="Bug"/>
    <s v="DESK-3014"/>
    <s v="home page has a $content at the end of the page"/>
    <s v="Bug"/>
    <x v="1"/>
    <d v="2016-01-18T16:44:00"/>
    <x v="10"/>
    <x v="1"/>
    <x v="18"/>
    <n v="1"/>
    <m/>
    <n v="141.1"/>
    <n v="24.900000000000002"/>
  </r>
  <r>
    <s v="SBG - Desktop"/>
    <x v="1"/>
    <s v="Bug"/>
    <s v="DESK-3014"/>
    <s v="home page has a $content at the end of the page"/>
    <s v="Bug"/>
    <x v="1"/>
    <d v="2016-01-20T18:04:00"/>
    <x v="10"/>
    <x v="1"/>
    <x v="30"/>
    <n v="3"/>
    <m/>
    <n v="141.1"/>
    <n v="24.900000000000002"/>
  </r>
  <r>
    <s v="SBG - Desktop"/>
    <x v="1"/>
    <s v="Task"/>
    <s v="DESK-3016"/>
    <s v="Update Shipping time to 3-4 Weeks for Le Specs, Christian Lacroix and Vuarnet"/>
    <s v="Task"/>
    <x v="0"/>
    <d v="2016-01-01T18:06:00"/>
    <x v="10"/>
    <x v="1"/>
    <x v="30"/>
    <n v="4"/>
    <m/>
    <n v="141.1"/>
    <n v="24.900000000000002"/>
  </r>
  <r>
    <s v="SBG - Desktop"/>
    <x v="2"/>
    <s v="Task"/>
    <s v="DESK-3016"/>
    <s v="Update Shipping time to 3-4 Weeks for Le Specs, Christian Lacroix and Vuarnet"/>
    <s v="Task"/>
    <x v="0"/>
    <d v="2016-01-21T17:33:00"/>
    <x v="10"/>
    <x v="1"/>
    <x v="10"/>
    <n v="2"/>
    <m/>
    <n v="141.1"/>
    <n v="24.900000000000002"/>
  </r>
  <r>
    <s v="SBG - Desktop"/>
    <x v="1"/>
    <s v="Task"/>
    <s v="DESK-3016"/>
    <s v="Update Shipping time to 3-4 Weeks for Le Specs, Christian Lacroix and Vuarnet"/>
    <s v="Task"/>
    <x v="0"/>
    <d v="2016-01-21T18:13:00"/>
    <x v="10"/>
    <x v="1"/>
    <x v="30"/>
    <n v="1"/>
    <m/>
    <n v="141.1"/>
    <n v="24.900000000000002"/>
  </r>
  <r>
    <s v="SBG - Desktop"/>
    <x v="2"/>
    <s v="Task"/>
    <s v="DESK-3016"/>
    <s v="Update Shipping time to 3-4 Weeks for Le Specs, Christian Lacroix and Vuarnet"/>
    <s v="Task"/>
    <x v="0"/>
    <d v="2016-01-22T17:32:00"/>
    <x v="10"/>
    <x v="1"/>
    <x v="10"/>
    <n v="2"/>
    <m/>
    <n v="141.1"/>
    <n v="24.900000000000002"/>
  </r>
  <r>
    <s v="SBG - Desktop"/>
    <x v="2"/>
    <s v="New Feature"/>
    <s v="DESK-3017"/>
    <s v="Shipping Fee - Min. Order Value"/>
    <s v="New Feature"/>
    <x v="0"/>
    <d v="2016-01-12T14:41:00"/>
    <x v="10"/>
    <x v="1"/>
    <x v="10"/>
    <n v="4"/>
    <m/>
    <n v="141.1"/>
    <n v="24.900000000000002"/>
  </r>
  <r>
    <s v="SBG - Desktop"/>
    <x v="2"/>
    <s v="New Feature"/>
    <s v="DESK-3021"/>
    <s v="etool couldn't work"/>
    <s v="New Feature"/>
    <x v="0"/>
    <d v="2016-01-22T12:45:00"/>
    <x v="10"/>
    <x v="1"/>
    <x v="2"/>
    <n v="3"/>
    <m/>
    <n v="141.1"/>
    <n v="24.900000000000002"/>
  </r>
  <r>
    <s v="SBG - Desktop"/>
    <x v="1"/>
    <s v="New Feature"/>
    <s v="DESK-3021"/>
    <s v="etool couldn't work"/>
    <s v="New Feature"/>
    <x v="0"/>
    <d v="2016-01-25T12:26:00"/>
    <x v="10"/>
    <x v="1"/>
    <x v="26"/>
    <n v="2"/>
    <m/>
    <n v="141.1"/>
    <n v="24.900000000000002"/>
  </r>
  <r>
    <s v="SBG - Desktop"/>
    <x v="2"/>
    <s v="New Feature"/>
    <s v="DESK-3024"/>
    <s v="Rocketfuel Tracking Pixel UK"/>
    <s v="New Feature"/>
    <x v="0"/>
    <d v="2016-01-04T15:44:00"/>
    <x v="10"/>
    <x v="1"/>
    <x v="29"/>
    <n v="8"/>
    <m/>
    <n v="141.1"/>
    <n v="24.900000000000002"/>
  </r>
  <r>
    <s v="SBG - Desktop"/>
    <x v="2"/>
    <s v="New Feature"/>
    <s v="DESK-3024"/>
    <s v="Rocketfuel Tracking Pixel UK"/>
    <s v="New Feature"/>
    <x v="0"/>
    <d v="2016-01-11T15:44:00"/>
    <x v="10"/>
    <x v="1"/>
    <x v="29"/>
    <n v="40"/>
    <m/>
    <n v="141.1"/>
    <n v="24.900000000000002"/>
  </r>
  <r>
    <s v="SBG - Desktop"/>
    <x v="2"/>
    <s v="New Feature"/>
    <s v="DESK-3024"/>
    <s v="Rocketfuel Tracking Pixel UK"/>
    <s v="New Feature"/>
    <x v="0"/>
    <d v="2016-01-18T15:42:00"/>
    <x v="10"/>
    <x v="1"/>
    <x v="29"/>
    <n v="40"/>
    <m/>
    <n v="141.1"/>
    <n v="24.900000000000002"/>
  </r>
  <r>
    <s v="SBG - Desktop"/>
    <x v="2"/>
    <s v="New Feature"/>
    <s v="DESK-3024"/>
    <s v="Rocketfuel Tracking Pixel UK"/>
    <s v="New Feature"/>
    <x v="0"/>
    <d v="2016-01-25T15:41:00"/>
    <x v="10"/>
    <x v="1"/>
    <x v="29"/>
    <n v="40"/>
    <m/>
    <n v="141.1"/>
    <n v="24.900000000000002"/>
  </r>
  <r>
    <s v="SBG - Desktop"/>
    <x v="2"/>
    <s v="New Feature"/>
    <s v="DESK-3025"/>
    <s v="UK - New Google Conversion tracking code"/>
    <s v="New Feature"/>
    <x v="0"/>
    <d v="2015-12-24T14:36:00"/>
    <x v="9"/>
    <x v="0"/>
    <x v="10"/>
    <n v="4"/>
    <m/>
    <n v="147.9"/>
    <n v="26.100000000000005"/>
  </r>
  <r>
    <s v="SBG - Desktop"/>
    <x v="2"/>
    <s v="New Feature"/>
    <s v="DESK-3025"/>
    <s v="UK - New Google Conversion tracking code"/>
    <s v="New Feature"/>
    <x v="0"/>
    <d v="2016-01-27T08:38:00"/>
    <x v="10"/>
    <x v="1"/>
    <x v="10"/>
    <n v="2"/>
    <m/>
    <n v="141.1"/>
    <n v="24.900000000000002"/>
  </r>
  <r>
    <s v="SBG - Desktop"/>
    <x v="2"/>
    <s v="New Feature"/>
    <s v="DESK-3026"/>
    <s v="Add Tracking Pixel to Desktop &amp; Mobile for MY"/>
    <s v="New Feature"/>
    <x v="0"/>
    <d v="2016-01-28T19:18:00"/>
    <x v="10"/>
    <x v="1"/>
    <x v="10"/>
    <n v="8"/>
    <m/>
    <n v="141.1"/>
    <n v="24.900000000000002"/>
  </r>
  <r>
    <s v="SBG - Desktop"/>
    <x v="2"/>
    <s v="New Feature"/>
    <s v="DESK-3028"/>
    <s v="Implement CJ Tracking Pixel on Mobile Thank-You Pages (US, CA, ZA)"/>
    <s v="New Feature"/>
    <x v="0"/>
    <d v="2015-12-07T15:35:00"/>
    <x v="9"/>
    <x v="0"/>
    <x v="10"/>
    <n v="3"/>
    <m/>
    <n v="147.9"/>
    <n v="26.100000000000005"/>
  </r>
  <r>
    <s v="SBG - Desktop"/>
    <x v="2"/>
    <s v="New Feature"/>
    <s v="DESK-3028"/>
    <s v="Implement CJ Tracking Pixel on Mobile Thank-You Pages (US, CA, ZA)"/>
    <s v="New Feature"/>
    <x v="0"/>
    <d v="2016-01-27T09:50:00"/>
    <x v="10"/>
    <x v="1"/>
    <x v="10"/>
    <n v="4"/>
    <m/>
    <n v="141.1"/>
    <n v="24.900000000000002"/>
  </r>
  <r>
    <s v="SBG - Desktop"/>
    <x v="2"/>
    <s v="New Feature"/>
    <s v="DESK-3028"/>
    <s v="Implement CJ Tracking Pixel on Mobile Thank-You Pages (US, CA, ZA)"/>
    <s v="New Feature"/>
    <x v="0"/>
    <d v="2016-01-29T09:53:00"/>
    <x v="10"/>
    <x v="1"/>
    <x v="10"/>
    <n v="1"/>
    <m/>
    <n v="141.1"/>
    <n v="24.900000000000002"/>
  </r>
  <r>
    <s v="SBG - Desktop"/>
    <x v="2"/>
    <s v="Technical task"/>
    <s v="DESK-3029"/>
    <s v="DESK-2595&gt; point the existing GTM tag to GA view for cz domain"/>
    <s v="Technical task"/>
    <x v="0"/>
    <d v="2016-01-25T17:25:00"/>
    <x v="10"/>
    <x v="1"/>
    <x v="10"/>
    <n v="4"/>
    <m/>
    <n v="141.1"/>
    <n v="24.900000000000002"/>
  </r>
  <r>
    <s v="SBG - Desktop"/>
    <x v="2"/>
    <s v="Technical task"/>
    <s v="DESK-3029"/>
    <s v="DESK-2595&gt; point the existing GTM tag to GA view for cz domain"/>
    <s v="Technical task"/>
    <x v="0"/>
    <d v="2016-01-29T09:52:00"/>
    <x v="10"/>
    <x v="1"/>
    <x v="10"/>
    <n v="2"/>
    <m/>
    <n v="141.1"/>
    <n v="24.900000000000002"/>
  </r>
  <r>
    <s v="SBG - Desktop"/>
    <x v="4"/>
    <s v="New Feature"/>
    <s v="DESK-3045"/>
    <s v="Cart / Checkout 5.0"/>
    <s v="New Feature"/>
    <x v="0"/>
    <d v="2015-12-01T10:05:00"/>
    <x v="9"/>
    <x v="0"/>
    <x v="13"/>
    <n v="5"/>
    <m/>
    <n v="147.9"/>
    <n v="26.100000000000005"/>
  </r>
  <r>
    <s v="SBG - Desktop"/>
    <x v="4"/>
    <s v="New Feature"/>
    <s v="DESK-3045"/>
    <s v="Cart / Checkout 5.0"/>
    <s v="New Feature"/>
    <x v="0"/>
    <d v="2015-12-02T10:05:00"/>
    <x v="9"/>
    <x v="0"/>
    <x v="13"/>
    <n v="5"/>
    <m/>
    <n v="147.9"/>
    <n v="26.100000000000005"/>
  </r>
  <r>
    <s v="SBG - Desktop"/>
    <x v="4"/>
    <s v="New Feature"/>
    <s v="DESK-3045"/>
    <s v="Cart / Checkout 5.0"/>
    <s v="New Feature"/>
    <x v="0"/>
    <d v="2015-12-03T10:05:00"/>
    <x v="9"/>
    <x v="0"/>
    <x v="13"/>
    <n v="5"/>
    <m/>
    <n v="147.9"/>
    <n v="26.100000000000005"/>
  </r>
  <r>
    <s v="SBG - Desktop"/>
    <x v="4"/>
    <s v="New Feature"/>
    <s v="DESK-3045"/>
    <s v="Cart / Checkout 5.0"/>
    <s v="New Feature"/>
    <x v="0"/>
    <d v="2015-12-04T10:05:00"/>
    <x v="9"/>
    <x v="0"/>
    <x v="13"/>
    <n v="5"/>
    <m/>
    <n v="147.9"/>
    <n v="26.100000000000005"/>
  </r>
  <r>
    <s v="SBG - Desktop"/>
    <x v="4"/>
    <s v="New Feature"/>
    <s v="DESK-3045"/>
    <s v="Cart / Checkout 5.0"/>
    <s v="New Feature"/>
    <x v="0"/>
    <d v="2015-12-07T10:05:00"/>
    <x v="9"/>
    <x v="0"/>
    <x v="13"/>
    <n v="5"/>
    <m/>
    <n v="147.9"/>
    <n v="26.100000000000005"/>
  </r>
  <r>
    <s v="SBG - Desktop"/>
    <x v="4"/>
    <s v="New Feature"/>
    <s v="DESK-3045"/>
    <s v="Cart / Checkout 5.0"/>
    <s v="New Feature"/>
    <x v="0"/>
    <d v="2015-12-08T10:05:00"/>
    <x v="9"/>
    <x v="0"/>
    <x v="13"/>
    <n v="5"/>
    <m/>
    <n v="147.9"/>
    <n v="26.100000000000005"/>
  </r>
  <r>
    <s v="SBG - Desktop"/>
    <x v="4"/>
    <s v="New Feature"/>
    <s v="DESK-3045"/>
    <s v="Cart / Checkout 5.0"/>
    <s v="New Feature"/>
    <x v="0"/>
    <d v="2015-12-09T10:05:00"/>
    <x v="9"/>
    <x v="0"/>
    <x v="13"/>
    <n v="5"/>
    <m/>
    <n v="147.9"/>
    <n v="26.100000000000005"/>
  </r>
  <r>
    <s v="SBG - Desktop"/>
    <x v="4"/>
    <s v="New Feature"/>
    <s v="DESK-3045"/>
    <s v="Cart / Checkout 5.0"/>
    <s v="New Feature"/>
    <x v="0"/>
    <d v="2015-12-10T10:05:00"/>
    <x v="9"/>
    <x v="0"/>
    <x v="13"/>
    <n v="5"/>
    <m/>
    <n v="147.9"/>
    <n v="26.100000000000005"/>
  </r>
  <r>
    <s v="SBG - Desktop"/>
    <x v="4"/>
    <s v="New Feature"/>
    <s v="DESK-3045"/>
    <s v="Cart / Checkout 5.0"/>
    <s v="New Feature"/>
    <x v="0"/>
    <d v="2015-12-11T10:05:00"/>
    <x v="9"/>
    <x v="0"/>
    <x v="13"/>
    <n v="5"/>
    <m/>
    <n v="147.9"/>
    <n v="26.100000000000005"/>
  </r>
  <r>
    <s v="SBG - Desktop"/>
    <x v="4"/>
    <s v="New Feature"/>
    <s v="DESK-3045"/>
    <s v="Cart / Checkout 5.0"/>
    <s v="New Feature"/>
    <x v="0"/>
    <d v="2015-12-21T11:15:00"/>
    <x v="9"/>
    <x v="0"/>
    <x v="13"/>
    <n v="5"/>
    <m/>
    <n v="147.9"/>
    <n v="26.100000000000005"/>
  </r>
  <r>
    <s v="SBG - Desktop"/>
    <x v="4"/>
    <s v="New Feature"/>
    <s v="DESK-3045"/>
    <s v="Cart / Checkout 5.0"/>
    <s v="New Feature"/>
    <x v="0"/>
    <d v="2015-12-22T11:15:00"/>
    <x v="9"/>
    <x v="0"/>
    <x v="13"/>
    <n v="5"/>
    <m/>
    <n v="147.9"/>
    <n v="26.100000000000005"/>
  </r>
  <r>
    <s v="SBG - Desktop"/>
    <x v="4"/>
    <s v="New Feature"/>
    <s v="DESK-3045"/>
    <s v="Cart / Checkout 5.0"/>
    <s v="New Feature"/>
    <x v="0"/>
    <d v="2015-12-23T11:15:00"/>
    <x v="9"/>
    <x v="0"/>
    <x v="13"/>
    <n v="5"/>
    <m/>
    <n v="147.9"/>
    <n v="26.100000000000005"/>
  </r>
  <r>
    <s v="SBG - Desktop"/>
    <x v="4"/>
    <s v="New Feature"/>
    <s v="DESK-3045"/>
    <s v="Cart / Checkout 5.0"/>
    <s v="New Feature"/>
    <x v="0"/>
    <d v="2015-12-28T11:15:00"/>
    <x v="9"/>
    <x v="0"/>
    <x v="13"/>
    <n v="5"/>
    <m/>
    <n v="147.9"/>
    <n v="26.100000000000005"/>
  </r>
  <r>
    <s v="SBG - Desktop"/>
    <x v="4"/>
    <s v="New Feature"/>
    <s v="DESK-3045"/>
    <s v="Cart / Checkout 5.0"/>
    <s v="New Feature"/>
    <x v="0"/>
    <d v="2015-12-29T11:15:00"/>
    <x v="9"/>
    <x v="0"/>
    <x v="13"/>
    <n v="5"/>
    <m/>
    <n v="147.9"/>
    <n v="26.100000000000005"/>
  </r>
  <r>
    <s v="SBG - Desktop"/>
    <x v="4"/>
    <s v="New Feature"/>
    <s v="DESK-3045"/>
    <s v="Cart / Checkout 5.0"/>
    <s v="New Feature"/>
    <x v="0"/>
    <d v="2015-12-30T11:15:00"/>
    <x v="9"/>
    <x v="0"/>
    <x v="13"/>
    <n v="5"/>
    <m/>
    <n v="147.9"/>
    <n v="26.100000000000005"/>
  </r>
  <r>
    <s v="SBG - Desktop"/>
    <x v="4"/>
    <s v="New Feature"/>
    <s v="DESK-3045"/>
    <s v="Cart / Checkout 5.0"/>
    <s v="New Feature"/>
    <x v="0"/>
    <d v="2016-01-20T07:40:00"/>
    <x v="10"/>
    <x v="1"/>
    <x v="13"/>
    <n v="8"/>
    <m/>
    <n v="141.1"/>
    <n v="24.900000000000002"/>
  </r>
  <r>
    <s v="SBG - Desktop"/>
    <x v="4"/>
    <s v="New Feature"/>
    <s v="DESK-3045"/>
    <s v="Cart / Checkout 5.0"/>
    <s v="New Feature"/>
    <x v="0"/>
    <d v="2016-01-26T12:20:00"/>
    <x v="10"/>
    <x v="1"/>
    <x v="13"/>
    <n v="5"/>
    <m/>
    <n v="141.1"/>
    <n v="24.900000000000002"/>
  </r>
  <r>
    <s v="SBG - Desktop"/>
    <x v="4"/>
    <s v="New Feature"/>
    <s v="DESK-3045"/>
    <s v="Cart / Checkout 5.0"/>
    <s v="New Feature"/>
    <x v="0"/>
    <d v="2016-01-27T12:20:00"/>
    <x v="10"/>
    <x v="1"/>
    <x v="13"/>
    <n v="5"/>
    <m/>
    <n v="141.1"/>
    <n v="24.900000000000002"/>
  </r>
  <r>
    <s v="SBG - Desktop"/>
    <x v="4"/>
    <s v="New Feature"/>
    <s v="DESK-3045"/>
    <s v="Cart / Checkout 5.0"/>
    <s v="New Feature"/>
    <x v="0"/>
    <d v="2016-01-28T12:20:00"/>
    <x v="10"/>
    <x v="1"/>
    <x v="13"/>
    <n v="5"/>
    <m/>
    <n v="141.1"/>
    <n v="24.900000000000002"/>
  </r>
  <r>
    <s v="SBG - Desktop"/>
    <x v="4"/>
    <s v="New Feature"/>
    <s v="DESK-3045"/>
    <s v="Cart / Checkout 5.0"/>
    <s v="New Feature"/>
    <x v="0"/>
    <d v="2016-01-29T12:20:00"/>
    <x v="10"/>
    <x v="1"/>
    <x v="13"/>
    <n v="5"/>
    <m/>
    <n v="141.1"/>
    <n v="24.900000000000002"/>
  </r>
  <r>
    <s v="SBG - Desktop"/>
    <x v="1"/>
    <s v="New Feature"/>
    <s v="DESK-3051"/>
    <s v="Rocketfuel Tracking Pixel AU"/>
    <s v="New Feature"/>
    <x v="0"/>
    <d v="2015-12-02T15:09:00"/>
    <x v="9"/>
    <x v="0"/>
    <x v="30"/>
    <n v="4"/>
    <m/>
    <n v="147.9"/>
    <n v="26.100000000000005"/>
  </r>
  <r>
    <s v="SBG - Desktop"/>
    <x v="1"/>
    <s v="New Feature"/>
    <s v="DESK-3051"/>
    <s v="Rocketfuel Tracking Pixel AU"/>
    <s v="New Feature"/>
    <x v="0"/>
    <d v="2015-12-09T17:40:00"/>
    <x v="9"/>
    <x v="0"/>
    <x v="30"/>
    <n v="2"/>
    <m/>
    <n v="147.9"/>
    <n v="26.100000000000005"/>
  </r>
  <r>
    <s v="SBG - Desktop"/>
    <x v="1"/>
    <s v="New Feature"/>
    <s v="DESK-3051"/>
    <s v="Rocketfuel Tracking Pixel AU"/>
    <s v="New Feature"/>
    <x v="0"/>
    <d v="2015-12-10T18:41:00"/>
    <x v="9"/>
    <x v="0"/>
    <x v="30"/>
    <n v="1"/>
    <m/>
    <n v="147.9"/>
    <n v="26.100000000000005"/>
  </r>
  <r>
    <s v="SBG - Desktop"/>
    <x v="1"/>
    <s v="New Feature"/>
    <s v="DESK-3051"/>
    <s v="Rocketfuel Tracking Pixel AU"/>
    <s v="New Feature"/>
    <x v="0"/>
    <d v="2015-12-11T16:11:00"/>
    <x v="9"/>
    <x v="0"/>
    <x v="30"/>
    <n v="1"/>
    <m/>
    <n v="147.9"/>
    <n v="26.100000000000005"/>
  </r>
  <r>
    <s v="SBG - Desktop"/>
    <x v="1"/>
    <s v="New Feature"/>
    <s v="DESK-3051"/>
    <s v="Rocketfuel Tracking Pixel AU"/>
    <s v="New Feature"/>
    <x v="0"/>
    <d v="2015-12-15T17:49:00"/>
    <x v="9"/>
    <x v="0"/>
    <x v="30"/>
    <n v="4"/>
    <m/>
    <n v="147.9"/>
    <n v="26.100000000000005"/>
  </r>
  <r>
    <s v="SBG - Desktop"/>
    <x v="1"/>
    <s v="New Feature"/>
    <s v="DESK-3051"/>
    <s v="Rocketfuel Tracking Pixel AU"/>
    <s v="New Feature"/>
    <x v="0"/>
    <d v="2015-12-23T17:55:00"/>
    <x v="9"/>
    <x v="0"/>
    <x v="30"/>
    <n v="4"/>
    <m/>
    <n v="147.9"/>
    <n v="26.100000000000005"/>
  </r>
  <r>
    <s v="SBG - Desktop"/>
    <x v="1"/>
    <s v="New Feature"/>
    <s v="DESK-3051"/>
    <s v="Rocketfuel Tracking Pixel AU"/>
    <s v="New Feature"/>
    <x v="0"/>
    <d v="2015-12-28T18:01:00"/>
    <x v="9"/>
    <x v="0"/>
    <x v="30"/>
    <n v="4"/>
    <m/>
    <n v="147.9"/>
    <n v="26.100000000000005"/>
  </r>
  <r>
    <s v="SBG - Desktop"/>
    <x v="0"/>
    <s v="New Feature"/>
    <s v="DESK-3115"/>
    <s v="New Payment method in UK: Maestro"/>
    <s v="New Feature"/>
    <x v="0"/>
    <d v="2015-12-15T10:40:00"/>
    <x v="9"/>
    <x v="0"/>
    <x v="7"/>
    <n v="0.5"/>
    <m/>
    <n v="87"/>
    <n v="87"/>
  </r>
  <r>
    <s v="SBG - Desktop"/>
    <x v="1"/>
    <s v="New Feature"/>
    <s v="DESK-3115"/>
    <s v="New Payment method in UK: Maestro"/>
    <s v="New Feature"/>
    <x v="0"/>
    <d v="2015-12-16T17:03:00"/>
    <x v="9"/>
    <x v="0"/>
    <x v="23"/>
    <n v="4"/>
    <m/>
    <n v="147.9"/>
    <n v="26.100000000000005"/>
  </r>
  <r>
    <s v="SBG - Desktop"/>
    <x v="0"/>
    <s v="New Feature"/>
    <s v="DESK-3115"/>
    <s v="New Payment method in UK: Maestro"/>
    <s v="New Feature"/>
    <x v="0"/>
    <d v="2015-12-16T18:05:00"/>
    <x v="9"/>
    <x v="0"/>
    <x v="7"/>
    <n v="0.5"/>
    <m/>
    <n v="87"/>
    <n v="87"/>
  </r>
  <r>
    <s v="SBG - Desktop"/>
    <x v="1"/>
    <s v="New Feature"/>
    <s v="DESK-3115"/>
    <s v="New Payment method in UK: Maestro"/>
    <s v="New Feature"/>
    <x v="0"/>
    <d v="2015-12-17T18:12:00"/>
    <x v="9"/>
    <x v="0"/>
    <x v="23"/>
    <n v="1"/>
    <m/>
    <n v="147.9"/>
    <n v="26.100000000000005"/>
  </r>
  <r>
    <s v="SBG - Desktop"/>
    <x v="1"/>
    <s v="New Feature"/>
    <s v="DESK-3115"/>
    <s v="New Payment method in UK: Maestro"/>
    <s v="New Feature"/>
    <x v="0"/>
    <d v="2015-12-18T17:58:00"/>
    <x v="9"/>
    <x v="0"/>
    <x v="23"/>
    <n v="4.5"/>
    <m/>
    <n v="147.9"/>
    <n v="26.100000000000005"/>
  </r>
  <r>
    <s v="SBG - Desktop"/>
    <x v="0"/>
    <s v="New Feature"/>
    <s v="DESK-3115"/>
    <s v="New Payment method in UK: Maestro"/>
    <s v="New Feature"/>
    <x v="0"/>
    <d v="2015-12-21T18:09:00"/>
    <x v="9"/>
    <x v="0"/>
    <x v="7"/>
    <n v="0.33300000000000002"/>
    <m/>
    <n v="87"/>
    <n v="87"/>
  </r>
  <r>
    <s v="SBG - Desktop"/>
    <x v="2"/>
    <s v="New Feature"/>
    <s v="DESK-3115"/>
    <s v="New Payment method in UK: Maestro"/>
    <s v="New Feature"/>
    <x v="0"/>
    <d v="2016-01-04T14:21:00"/>
    <x v="10"/>
    <x v="1"/>
    <x v="18"/>
    <n v="8"/>
    <m/>
    <n v="141.1"/>
    <n v="24.900000000000002"/>
  </r>
  <r>
    <s v="SBG - Desktop"/>
    <x v="2"/>
    <s v="New Feature"/>
    <s v="DESK-3191"/>
    <s v="Redirect pad devices to mobile site"/>
    <s v="New Feature"/>
    <x v="0"/>
    <d v="2015-12-04T12:15:00"/>
    <x v="9"/>
    <x v="0"/>
    <x v="2"/>
    <n v="2"/>
    <m/>
    <n v="147.9"/>
    <n v="26.100000000000005"/>
  </r>
  <r>
    <s v="SBG - Desktop"/>
    <x v="2"/>
    <s v="New Feature"/>
    <s v="DESK-3191"/>
    <s v="Redirect pad devices to mobile site"/>
    <s v="New Feature"/>
    <x v="0"/>
    <d v="2015-12-07T12:13:00"/>
    <x v="9"/>
    <x v="0"/>
    <x v="2"/>
    <n v="3"/>
    <m/>
    <n v="147.9"/>
    <n v="26.100000000000005"/>
  </r>
  <r>
    <s v="SBG - Desktop"/>
    <x v="1"/>
    <s v="Sub-task"/>
    <s v="DESK-3227"/>
    <s v="DESK-3191&gt; Test case design and execution"/>
    <s v="Sub-task"/>
    <x v="0"/>
    <d v="2015-12-08T11:54:00"/>
    <x v="9"/>
    <x v="0"/>
    <x v="30"/>
    <n v="4"/>
    <m/>
    <n v="147.9"/>
    <n v="26.100000000000005"/>
  </r>
  <r>
    <s v="SBG - Desktop"/>
    <x v="2"/>
    <s v="Improvement"/>
    <s v="DESK-3257"/>
    <s v="UPC not loading for contact lenses - color feed"/>
    <s v="Improvement"/>
    <x v="0"/>
    <d v="2015-12-21T18:38:00"/>
    <x v="9"/>
    <x v="0"/>
    <x v="16"/>
    <n v="1"/>
    <m/>
    <n v="147.9"/>
    <n v="26.100000000000005"/>
  </r>
  <r>
    <s v="SBG - Desktop"/>
    <x v="2"/>
    <s v="Improvement"/>
    <s v="DESK-3257"/>
    <s v="UPC not loading for contact lenses - color feed"/>
    <s v="Improvement"/>
    <x v="0"/>
    <d v="2015-12-22T17:23:00"/>
    <x v="9"/>
    <x v="0"/>
    <x v="16"/>
    <n v="4"/>
    <m/>
    <n v="147.9"/>
    <n v="26.100000000000005"/>
  </r>
  <r>
    <s v="SBG - Desktop"/>
    <x v="2"/>
    <s v="Improvement"/>
    <s v="DESK-3257"/>
    <s v="UPC not loading for contact lenses - color feed"/>
    <s v="Improvement"/>
    <x v="0"/>
    <d v="2015-12-23T10:22:00"/>
    <x v="9"/>
    <x v="0"/>
    <x v="16"/>
    <n v="4"/>
    <s v="Increase in zip function."/>
    <n v="147.9"/>
    <n v="26.100000000000005"/>
  </r>
  <r>
    <s v="SBG - Desktop"/>
    <x v="2"/>
    <s v="Task"/>
    <s v="DESK-3258"/>
    <s v="Fix Incorrect Links to Sports Sunglasses Pages"/>
    <s v="Task"/>
    <x v="0"/>
    <d v="2015-12-21T10:15:00"/>
    <x v="9"/>
    <x v="0"/>
    <x v="22"/>
    <n v="2"/>
    <m/>
    <n v="147.9"/>
    <n v="26.100000000000005"/>
  </r>
  <r>
    <s v="SBG - Desktop"/>
    <x v="0"/>
    <s v="Task"/>
    <s v="DESK-3259"/>
    <s v="BUPA note on VD health fund page"/>
    <s v="Task"/>
    <x v="0"/>
    <d v="2016-01-29T10:16:00"/>
    <x v="10"/>
    <x v="1"/>
    <x v="19"/>
    <n v="2"/>
    <m/>
    <n v="83"/>
    <n v="83"/>
  </r>
  <r>
    <s v="SBG - Desktop"/>
    <x v="1"/>
    <s v="Bug"/>
    <s v="DESK-3306"/>
    <s v="Mega Menu css fixes"/>
    <s v="Bug"/>
    <x v="1"/>
    <d v="2015-12-11T17:16:00"/>
    <x v="9"/>
    <x v="0"/>
    <x v="26"/>
    <n v="0.5"/>
    <m/>
    <n v="147.9"/>
    <n v="26.100000000000005"/>
  </r>
  <r>
    <s v="SBG - Desktop"/>
    <x v="0"/>
    <s v="Bug"/>
    <s v="DESK-3306"/>
    <s v="Mega Menu css fixes"/>
    <s v="Bug"/>
    <x v="1"/>
    <d v="2015-12-11T17:19:00"/>
    <x v="9"/>
    <x v="0"/>
    <x v="7"/>
    <n v="0.5"/>
    <m/>
    <n v="87"/>
    <n v="87"/>
  </r>
  <r>
    <s v="SBG - Desktop"/>
    <x v="2"/>
    <s v="Bug"/>
    <s v="DESK-3315"/>
    <s v="Header/ Footer Issues"/>
    <s v="Bug"/>
    <x v="1"/>
    <d v="2015-12-10T10:28:00"/>
    <x v="9"/>
    <x v="0"/>
    <x v="22"/>
    <n v="6"/>
    <m/>
    <n v="147.9"/>
    <n v="26.100000000000005"/>
  </r>
  <r>
    <s v="SBG - Desktop"/>
    <x v="1"/>
    <s v="Bug"/>
    <s v="DESK-3315"/>
    <s v="Header/ Footer Issues"/>
    <s v="Bug"/>
    <x v="1"/>
    <d v="2015-12-15T12:24:00"/>
    <x v="9"/>
    <x v="0"/>
    <x v="21"/>
    <n v="5"/>
    <m/>
    <n v="147.9"/>
    <n v="26.100000000000005"/>
  </r>
  <r>
    <s v="SBG - Desktop"/>
    <x v="0"/>
    <s v="Bug"/>
    <s v="DESK-3315"/>
    <s v="Header/ Footer Issues"/>
    <s v="Bug"/>
    <x v="1"/>
    <d v="2015-12-17T14:10:00"/>
    <x v="9"/>
    <x v="0"/>
    <x v="7"/>
    <n v="0.5"/>
    <m/>
    <n v="87"/>
    <n v="87"/>
  </r>
  <r>
    <s v="SBG - Desktop"/>
    <x v="1"/>
    <s v="Bug"/>
    <s v="DESK-3315"/>
    <s v="Header/ Footer Issues"/>
    <s v="Bug"/>
    <x v="1"/>
    <d v="2015-12-17T15:47:00"/>
    <x v="9"/>
    <x v="0"/>
    <x v="21"/>
    <n v="3"/>
    <m/>
    <n v="147.9"/>
    <n v="26.100000000000005"/>
  </r>
  <r>
    <s v="SBG - Desktop"/>
    <x v="2"/>
    <s v="Bug"/>
    <s v="DESK-3315"/>
    <s v="Header/ Footer Issues"/>
    <s v="Bug"/>
    <x v="1"/>
    <d v="2015-12-18T09:44:00"/>
    <x v="9"/>
    <x v="0"/>
    <x v="10"/>
    <n v="2"/>
    <m/>
    <n v="147.9"/>
    <n v="26.100000000000005"/>
  </r>
  <r>
    <s v="SBG - Desktop"/>
    <x v="1"/>
    <s v="Bug"/>
    <s v="DESK-3315"/>
    <s v="Header/ Footer Issues"/>
    <s v="Bug"/>
    <x v="1"/>
    <d v="2015-12-18T17:38:00"/>
    <x v="9"/>
    <x v="0"/>
    <x v="21"/>
    <n v="2"/>
    <m/>
    <n v="147.9"/>
    <n v="26.100000000000005"/>
  </r>
  <r>
    <s v="SBG - Desktop"/>
    <x v="1"/>
    <s v="Bug"/>
    <s v="DESK-3315"/>
    <s v="Header/ Footer Issues"/>
    <s v="Bug"/>
    <x v="1"/>
    <d v="2015-12-21T17:37:00"/>
    <x v="9"/>
    <x v="0"/>
    <x v="21"/>
    <n v="1"/>
    <m/>
    <n v="147.9"/>
    <n v="26.100000000000005"/>
  </r>
  <r>
    <s v="SBG - Desktop"/>
    <x v="1"/>
    <s v="Bug"/>
    <s v="DESK-3315"/>
    <s v="Header/ Footer Issues"/>
    <s v="Bug"/>
    <x v="1"/>
    <d v="2015-12-21T17:37:00"/>
    <x v="9"/>
    <x v="0"/>
    <x v="21"/>
    <n v="1"/>
    <m/>
    <n v="147.9"/>
    <n v="26.100000000000005"/>
  </r>
  <r>
    <s v="SBG - Desktop"/>
    <x v="1"/>
    <s v="Bug"/>
    <s v="DESK-3315"/>
    <s v="Header/ Footer Issues"/>
    <s v="Bug"/>
    <x v="1"/>
    <d v="2015-12-22T12:20:00"/>
    <x v="9"/>
    <x v="0"/>
    <x v="21"/>
    <n v="5"/>
    <m/>
    <n v="147.9"/>
    <n v="26.100000000000005"/>
  </r>
  <r>
    <s v="SBG - Desktop"/>
    <x v="1"/>
    <s v="Bug"/>
    <s v="DESK-3315"/>
    <s v="Header/ Footer Issues"/>
    <s v="Bug"/>
    <x v="1"/>
    <d v="2015-12-25T12:22:00"/>
    <x v="9"/>
    <x v="0"/>
    <x v="21"/>
    <n v="8"/>
    <m/>
    <n v="147.9"/>
    <n v="26.100000000000005"/>
  </r>
  <r>
    <s v="SBG - Desktop"/>
    <x v="2"/>
    <s v="Bug"/>
    <s v="DESK-3315"/>
    <s v="Header/ Footer Issues"/>
    <s v="Bug"/>
    <x v="1"/>
    <d v="2016-01-04T16:11:00"/>
    <x v="10"/>
    <x v="1"/>
    <x v="22"/>
    <n v="1"/>
    <m/>
    <n v="141.1"/>
    <n v="24.900000000000002"/>
  </r>
  <r>
    <s v="SBG - Desktop"/>
    <x v="2"/>
    <s v="Bug"/>
    <s v="DESK-3317"/>
    <s v="incorrect URL formatting"/>
    <s v="Bug"/>
    <x v="1"/>
    <d v="2015-12-08T17:28:00"/>
    <x v="9"/>
    <x v="0"/>
    <x v="2"/>
    <n v="4"/>
    <m/>
    <n v="147.9"/>
    <n v="26.100000000000005"/>
  </r>
  <r>
    <s v="SBG - Desktop"/>
    <x v="2"/>
    <s v="Bug"/>
    <s v="DESK-3317"/>
    <s v="incorrect URL formatting"/>
    <s v="Bug"/>
    <x v="1"/>
    <d v="2015-12-09T16:27:00"/>
    <x v="9"/>
    <x v="0"/>
    <x v="2"/>
    <n v="2"/>
    <s v="testing"/>
    <n v="147.9"/>
    <n v="26.100000000000005"/>
  </r>
  <r>
    <s v="SBG - Desktop"/>
    <x v="1"/>
    <s v="Bug"/>
    <s v="DESK-3317"/>
    <s v="incorrect URL formatting"/>
    <s v="Bug"/>
    <x v="1"/>
    <d v="2015-12-11T17:50:00"/>
    <x v="9"/>
    <x v="0"/>
    <x v="1"/>
    <n v="1"/>
    <m/>
    <n v="147.9"/>
    <n v="26.100000000000005"/>
  </r>
  <r>
    <s v="SBG - Desktop"/>
    <x v="1"/>
    <s v="Bug"/>
    <s v="DESK-3335"/>
    <s v="remove caching fast-shipping information on brand page"/>
    <s v="Bug"/>
    <x v="1"/>
    <d v="2016-01-04T07:43:00"/>
    <x v="10"/>
    <x v="1"/>
    <x v="26"/>
    <n v="8"/>
    <m/>
    <n v="141.1"/>
    <n v="24.900000000000002"/>
  </r>
  <r>
    <s v="SBG - Desktop"/>
    <x v="1"/>
    <s v="Bug"/>
    <s v="DESK-3335"/>
    <s v="remove caching fast-shipping information on brand page"/>
    <s v="Bug"/>
    <x v="1"/>
    <d v="2016-01-11T16:19:00"/>
    <x v="10"/>
    <x v="1"/>
    <x v="26"/>
    <n v="2"/>
    <m/>
    <n v="141.1"/>
    <n v="24.900000000000002"/>
  </r>
  <r>
    <s v="SBG - Desktop"/>
    <x v="2"/>
    <s v="Bug"/>
    <s v="DESK-3361"/>
    <s v="contact lens purchase: customer paid incorrect amount due to error in discount calc."/>
    <s v="Bug"/>
    <x v="1"/>
    <d v="2016-01-15T15:18:00"/>
    <x v="10"/>
    <x v="1"/>
    <x v="18"/>
    <n v="1"/>
    <m/>
    <n v="141.1"/>
    <n v="24.900000000000002"/>
  </r>
  <r>
    <s v="SBG - Desktop"/>
    <x v="1"/>
    <s v="Bug"/>
    <s v="DESK-3361"/>
    <s v="contact lens purchase: customer paid incorrect amount due to error in discount calc."/>
    <s v="Bug"/>
    <x v="1"/>
    <d v="2016-01-18T12:47:00"/>
    <x v="10"/>
    <x v="1"/>
    <x v="26"/>
    <n v="2"/>
    <m/>
    <n v="141.1"/>
    <n v="24.900000000000002"/>
  </r>
  <r>
    <s v="SBG - Desktop"/>
    <x v="1"/>
    <s v="Bug"/>
    <s v="DESK-3379"/>
    <s v="Contact Lens - Grid Page - Filter NOT showing ALL products"/>
    <s v="Bug"/>
    <x v="1"/>
    <d v="2015-12-16T17:03:00"/>
    <x v="9"/>
    <x v="0"/>
    <x v="23"/>
    <n v="1"/>
    <m/>
    <n v="147.9"/>
    <n v="26.100000000000005"/>
  </r>
  <r>
    <s v="SBG - Desktop"/>
    <x v="1"/>
    <s v="Bug"/>
    <s v="DESK-3379"/>
    <s v="Contact Lens - Grid Page - Filter NOT showing ALL products"/>
    <s v="Bug"/>
    <x v="1"/>
    <d v="2015-12-17T18:12:00"/>
    <x v="9"/>
    <x v="0"/>
    <x v="23"/>
    <n v="1"/>
    <m/>
    <n v="147.9"/>
    <n v="26.100000000000005"/>
  </r>
  <r>
    <s v="SBG - Desktop"/>
    <x v="1"/>
    <s v="Bug"/>
    <s v="DESK-3379"/>
    <s v="Contact Lens - Grid Page - Filter NOT showing ALL products"/>
    <s v="Bug"/>
    <x v="1"/>
    <d v="2016-01-12T16:41:00"/>
    <x v="10"/>
    <x v="1"/>
    <x v="23"/>
    <n v="2"/>
    <m/>
    <n v="141.1"/>
    <n v="24.900000000000002"/>
  </r>
  <r>
    <s v="SBG - Desktop"/>
    <x v="1"/>
    <s v="Bug"/>
    <s v="DESK-3379"/>
    <s v="Contact Lens - Grid Page - Filter NOT showing ALL products"/>
    <s v="Bug"/>
    <x v="1"/>
    <d v="2016-01-20T11:56:00"/>
    <x v="10"/>
    <x v="1"/>
    <x v="23"/>
    <n v="4"/>
    <m/>
    <n v="141.1"/>
    <n v="24.900000000000002"/>
  </r>
  <r>
    <s v="SBG - Desktop"/>
    <x v="1"/>
    <s v="Bug"/>
    <s v="DESK-3379"/>
    <s v="Contact Lens - Grid Page - Filter NOT showing ALL products"/>
    <s v="Bug"/>
    <x v="1"/>
    <d v="2016-01-28T13:57:00"/>
    <x v="10"/>
    <x v="1"/>
    <x v="23"/>
    <n v="2"/>
    <m/>
    <n v="141.1"/>
    <n v="24.900000000000002"/>
  </r>
  <r>
    <s v="SBG - Desktop"/>
    <x v="1"/>
    <s v="Bug"/>
    <s v="DESK-3392"/>
    <s v="Mobile Page issue"/>
    <s v="Bug"/>
    <x v="1"/>
    <d v="2015-12-29T16:27:00"/>
    <x v="9"/>
    <x v="0"/>
    <x v="23"/>
    <n v="2"/>
    <m/>
    <n v="147.9"/>
    <n v="26.100000000000005"/>
  </r>
  <r>
    <s v="SBG - Desktop"/>
    <x v="1"/>
    <s v="Bug"/>
    <s v="DESK-3392"/>
    <s v="Mobile Page issue"/>
    <s v="Bug"/>
    <x v="1"/>
    <d v="2016-01-04T18:32:00"/>
    <x v="10"/>
    <x v="1"/>
    <x v="23"/>
    <n v="2"/>
    <m/>
    <n v="141.1"/>
    <n v="24.900000000000002"/>
  </r>
  <r>
    <s v="SBG - Desktop"/>
    <x v="1"/>
    <s v="Bug"/>
    <s v="DESK-3392"/>
    <s v="Mobile Page issue"/>
    <s v="Bug"/>
    <x v="1"/>
    <d v="2016-01-05T13:54:00"/>
    <x v="10"/>
    <x v="1"/>
    <x v="23"/>
    <n v="2"/>
    <m/>
    <n v="141.1"/>
    <n v="24.900000000000002"/>
  </r>
  <r>
    <s v="SBG - Desktop"/>
    <x v="2"/>
    <s v="Bug"/>
    <s v="DESK-3407"/>
    <s v="all sizes are highlighted for one single product"/>
    <s v="Bug"/>
    <x v="1"/>
    <d v="2016-01-05T16:30:00"/>
    <x v="10"/>
    <x v="1"/>
    <x v="10"/>
    <n v="2"/>
    <m/>
    <n v="141.1"/>
    <n v="24.900000000000002"/>
  </r>
  <r>
    <s v="SBG - Desktop"/>
    <x v="1"/>
    <s v="Bug"/>
    <s v="DESK-3407"/>
    <s v="all sizes are highlighted for one single product"/>
    <s v="Bug"/>
    <x v="1"/>
    <d v="2016-01-07T18:10:00"/>
    <x v="10"/>
    <x v="1"/>
    <x v="30"/>
    <n v="2"/>
    <m/>
    <n v="141.1"/>
    <n v="24.900000000000002"/>
  </r>
  <r>
    <s v="SBG - Desktop"/>
    <x v="1"/>
    <s v="Bug"/>
    <s v="DESK-3407"/>
    <s v="all sizes are highlighted for one single product"/>
    <s v="Bug"/>
    <x v="1"/>
    <d v="2016-01-11T12:00:00"/>
    <x v="10"/>
    <x v="1"/>
    <x v="30"/>
    <n v="2"/>
    <m/>
    <n v="141.1"/>
    <n v="24.900000000000002"/>
  </r>
  <r>
    <s v="SBG - Desktop"/>
    <x v="1"/>
    <s v="Bug"/>
    <s v="DESK-3407"/>
    <s v="all sizes are highlighted for one single product"/>
    <s v="Bug"/>
    <x v="1"/>
    <d v="2016-01-11T15:05:00"/>
    <x v="10"/>
    <x v="1"/>
    <x v="30"/>
    <n v="3"/>
    <m/>
    <n v="141.1"/>
    <n v="24.900000000000002"/>
  </r>
  <r>
    <s v="SBG - Desktop"/>
    <x v="1"/>
    <s v="Bug"/>
    <s v="DESK-3410"/>
    <s v="Image missing in brand description section of product table page."/>
    <s v="Bug"/>
    <x v="1"/>
    <d v="2015-12-07T17:33:00"/>
    <x v="9"/>
    <x v="0"/>
    <x v="30"/>
    <n v="1"/>
    <m/>
    <n v="147.9"/>
    <n v="26.100000000000005"/>
  </r>
  <r>
    <s v="SBG - Desktop"/>
    <x v="2"/>
    <s v="Bug"/>
    <s v="DESK-3410"/>
    <s v="Image missing in brand description section of product table page."/>
    <s v="Bug"/>
    <x v="1"/>
    <d v="2015-12-11T10:01:00"/>
    <x v="9"/>
    <x v="0"/>
    <x v="29"/>
    <n v="1"/>
    <m/>
    <n v="147.9"/>
    <n v="26.100000000000005"/>
  </r>
  <r>
    <s v="SBG - Desktop"/>
    <x v="1"/>
    <s v="Bug"/>
    <s v="DESK-3410"/>
    <s v="Image missing in brand description section of product table page."/>
    <s v="Bug"/>
    <x v="1"/>
    <d v="2015-12-11T17:44:00"/>
    <x v="9"/>
    <x v="0"/>
    <x v="30"/>
    <n v="3"/>
    <m/>
    <n v="147.9"/>
    <n v="26.100000000000005"/>
  </r>
  <r>
    <s v="SBG - Desktop"/>
    <x v="1"/>
    <s v="Bug"/>
    <s v="DESK-3410"/>
    <s v="Image missing in brand description section of product table page."/>
    <s v="Bug"/>
    <x v="1"/>
    <d v="2015-12-11T18:14:00"/>
    <x v="9"/>
    <x v="0"/>
    <x v="30"/>
    <n v="1"/>
    <m/>
    <n v="147.9"/>
    <n v="26.100000000000005"/>
  </r>
  <r>
    <s v="SBG - Desktop"/>
    <x v="1"/>
    <s v="Bug"/>
    <s v="DESK-3410"/>
    <s v="Image missing in brand description section of product table page."/>
    <s v="Bug"/>
    <x v="1"/>
    <d v="2015-12-14T17:47:00"/>
    <x v="9"/>
    <x v="0"/>
    <x v="30"/>
    <n v="3"/>
    <m/>
    <n v="147.9"/>
    <n v="26.100000000000005"/>
  </r>
  <r>
    <s v="SBG - Desktop"/>
    <x v="1"/>
    <s v="Bug"/>
    <s v="DESK-3410"/>
    <s v="Image missing in brand description section of product table page."/>
    <s v="Bug"/>
    <x v="1"/>
    <d v="2015-12-14T17:48:00"/>
    <x v="9"/>
    <x v="0"/>
    <x v="30"/>
    <n v="1"/>
    <m/>
    <n v="147.9"/>
    <n v="26.100000000000005"/>
  </r>
  <r>
    <s v="SBG - Desktop"/>
    <x v="1"/>
    <s v="Bug"/>
    <s v="DESK-3410"/>
    <s v="Image missing in brand description section of product table page."/>
    <s v="Bug"/>
    <x v="1"/>
    <d v="2015-12-24T17:56:00"/>
    <x v="9"/>
    <x v="0"/>
    <x v="30"/>
    <n v="4"/>
    <m/>
    <n v="147.9"/>
    <n v="26.100000000000005"/>
  </r>
  <r>
    <s v="SBG - Desktop"/>
    <x v="1"/>
    <s v="Bug"/>
    <s v="DESK-3414"/>
    <s v="Optical center logo is not aligned in AU and UK"/>
    <s v="Bug"/>
    <x v="1"/>
    <d v="2015-12-08T12:25:00"/>
    <x v="9"/>
    <x v="0"/>
    <x v="21"/>
    <n v="4"/>
    <m/>
    <n v="147.9"/>
    <n v="26.100000000000005"/>
  </r>
  <r>
    <s v="SBG - Desktop"/>
    <x v="0"/>
    <s v="Bug"/>
    <s v="DESK-3414"/>
    <s v="Optical center logo is not aligned in AU and UK"/>
    <s v="Bug"/>
    <x v="1"/>
    <d v="2015-12-09T10:17:00"/>
    <x v="9"/>
    <x v="0"/>
    <x v="19"/>
    <n v="7"/>
    <m/>
    <n v="87"/>
    <n v="87"/>
  </r>
  <r>
    <s v="SBG - Desktop"/>
    <x v="0"/>
    <s v="Bug"/>
    <s v="DESK-3414"/>
    <s v="Optical center logo is not aligned in AU and UK"/>
    <s v="Bug"/>
    <x v="1"/>
    <d v="2015-12-09T17:26:00"/>
    <x v="9"/>
    <x v="0"/>
    <x v="19"/>
    <n v="1"/>
    <m/>
    <n v="87"/>
    <n v="87"/>
  </r>
  <r>
    <s v="SBG - Desktop"/>
    <x v="1"/>
    <s v="Bug"/>
    <s v="DESK-3414"/>
    <s v="Optical center logo is not aligned in AU and UK"/>
    <s v="Bug"/>
    <x v="1"/>
    <d v="2015-12-10T10:52:00"/>
    <x v="9"/>
    <x v="0"/>
    <x v="21"/>
    <n v="2"/>
    <m/>
    <n v="147.9"/>
    <n v="26.100000000000005"/>
  </r>
  <r>
    <s v="SBG - Desktop"/>
    <x v="1"/>
    <s v="Bug"/>
    <s v="DESK-3420"/>
    <s v="The search function is not working on the website for Contactlenses"/>
    <s v="Bug"/>
    <x v="1"/>
    <d v="2016-01-04T18:32:00"/>
    <x v="10"/>
    <x v="1"/>
    <x v="23"/>
    <n v="4"/>
    <m/>
    <n v="141.1"/>
    <n v="24.900000000000002"/>
  </r>
  <r>
    <s v="SBG - Desktop"/>
    <x v="2"/>
    <s v="Bug"/>
    <s v="DESK-3425"/>
    <s v="robots.txt doesn't work on some domains"/>
    <s v="Bug"/>
    <x v="1"/>
    <d v="2015-12-09T15:20:00"/>
    <x v="9"/>
    <x v="0"/>
    <x v="11"/>
    <n v="3"/>
    <m/>
    <n v="147.9"/>
    <n v="26.100000000000005"/>
  </r>
  <r>
    <s v="SBG - Desktop"/>
    <x v="1"/>
    <s v="Bug"/>
    <s v="DESK-3425"/>
    <s v="robots.txt doesn't work on some domains"/>
    <s v="Bug"/>
    <x v="1"/>
    <d v="2015-12-09T18:19:00"/>
    <x v="9"/>
    <x v="0"/>
    <x v="1"/>
    <n v="1"/>
    <m/>
    <n v="147.9"/>
    <n v="26.100000000000005"/>
  </r>
  <r>
    <s v="SBG - Desktop"/>
    <x v="1"/>
    <s v="Bug"/>
    <s v="DESK-3437"/>
    <s v="Desktop menu links to mobile"/>
    <s v="Bug"/>
    <x v="1"/>
    <d v="2016-01-25T11:02:00"/>
    <x v="10"/>
    <x v="1"/>
    <x v="26"/>
    <n v="1"/>
    <m/>
    <n v="141.1"/>
    <n v="24.900000000000002"/>
  </r>
  <r>
    <s v="SBG - Desktop"/>
    <x v="2"/>
    <s v="Bug"/>
    <s v="DESK-3442"/>
    <s v="Search page JS not functioning"/>
    <s v="Bug"/>
    <x v="1"/>
    <d v="2016-01-07T16:33:00"/>
    <x v="10"/>
    <x v="1"/>
    <x v="10"/>
    <n v="4"/>
    <m/>
    <n v="141.1"/>
    <n v="24.900000000000002"/>
  </r>
  <r>
    <s v="SBG - Desktop"/>
    <x v="1"/>
    <s v="Bug"/>
    <s v="DESK-3442"/>
    <s v="Search page JS not functioning"/>
    <s v="Bug"/>
    <x v="1"/>
    <d v="2016-01-11T16:19:00"/>
    <x v="10"/>
    <x v="1"/>
    <x v="26"/>
    <n v="2"/>
    <m/>
    <n v="141.1"/>
    <n v="24.900000000000002"/>
  </r>
  <r>
    <s v="SBG - Desktop"/>
    <x v="0"/>
    <s v="Bug"/>
    <s v="DESK-3452"/>
    <s v="Homepage banner displaying in english - JP"/>
    <s v="Bug"/>
    <x v="1"/>
    <d v="2016-01-15T10:28:00"/>
    <x v="10"/>
    <x v="1"/>
    <x v="24"/>
    <n v="8"/>
    <m/>
    <n v="83"/>
    <n v="83"/>
  </r>
  <r>
    <s v="SBG - Desktop"/>
    <x v="0"/>
    <s v="Bug"/>
    <s v="DESK-3452"/>
    <s v="Homepage banner displaying in english - JP"/>
    <s v="Bug"/>
    <x v="1"/>
    <d v="2016-01-19T10:28:00"/>
    <x v="10"/>
    <x v="1"/>
    <x v="24"/>
    <n v="8"/>
    <m/>
    <n v="83"/>
    <n v="83"/>
  </r>
  <r>
    <s v="SBG - Desktop"/>
    <x v="0"/>
    <s v="Bug"/>
    <s v="DESK-3452"/>
    <s v="Homepage banner displaying in english - JP"/>
    <s v="Bug"/>
    <x v="1"/>
    <d v="2016-01-28T10:28:00"/>
    <x v="10"/>
    <x v="1"/>
    <x v="24"/>
    <n v="8"/>
    <m/>
    <n v="83"/>
    <n v="83"/>
  </r>
  <r>
    <s v="SBG - Desktop"/>
    <x v="0"/>
    <s v="Bug"/>
    <s v="DESK-3452"/>
    <s v="Homepage banner displaying in english - JP"/>
    <s v="Bug"/>
    <x v="1"/>
    <d v="2016-01-29T10:28:00"/>
    <x v="10"/>
    <x v="1"/>
    <x v="24"/>
    <n v="8"/>
    <m/>
    <n v="83"/>
    <n v="83"/>
  </r>
  <r>
    <s v="SBG - Desktop"/>
    <x v="0"/>
    <s v="Bug"/>
    <s v="DESK-3461"/>
    <s v="QuickView page------Default frame size 62mm or higher not Rx-able issue"/>
    <s v="Bug"/>
    <x v="1"/>
    <d v="2015-12-16T15:18:00"/>
    <x v="9"/>
    <x v="0"/>
    <x v="19"/>
    <n v="2"/>
    <m/>
    <n v="87"/>
    <n v="87"/>
  </r>
  <r>
    <s v="SBG - Desktop"/>
    <x v="0"/>
    <s v="Bug"/>
    <s v="DESK-3461"/>
    <s v="QuickView page------Default frame size 62mm or higher not Rx-able issue"/>
    <s v="Bug"/>
    <x v="1"/>
    <d v="2015-12-17T16:36:00"/>
    <x v="9"/>
    <x v="0"/>
    <x v="19"/>
    <n v="2"/>
    <m/>
    <n v="87"/>
    <n v="87"/>
  </r>
  <r>
    <s v="SBG - Desktop"/>
    <x v="0"/>
    <s v="Bug"/>
    <s v="DESK-3461"/>
    <s v="QuickView page------Default frame size 62mm or higher not Rx-able issue"/>
    <s v="Bug"/>
    <x v="1"/>
    <d v="2015-12-24T09:19:00"/>
    <x v="9"/>
    <x v="0"/>
    <x v="19"/>
    <n v="8"/>
    <m/>
    <n v="87"/>
    <n v="87"/>
  </r>
  <r>
    <s v="SBG - Desktop"/>
    <x v="0"/>
    <s v="Bug"/>
    <s v="DESK-3461"/>
    <s v="QuickView page------Default frame size 62mm or higher not Rx-able issue"/>
    <s v="Bug"/>
    <x v="1"/>
    <d v="2015-12-30T09:20:00"/>
    <x v="9"/>
    <x v="0"/>
    <x v="19"/>
    <n v="8"/>
    <m/>
    <n v="87"/>
    <n v="87"/>
  </r>
  <r>
    <s v="SBG - Desktop"/>
    <x v="2"/>
    <s v="Bug"/>
    <s v="DESK-3483"/>
    <s v="Minify optimization for search page"/>
    <s v="Bug"/>
    <x v="1"/>
    <d v="2015-12-03T13:05:00"/>
    <x v="9"/>
    <x v="0"/>
    <x v="18"/>
    <n v="6"/>
    <m/>
    <n v="147.9"/>
    <n v="26.100000000000005"/>
  </r>
  <r>
    <s v="SBG - Desktop"/>
    <x v="2"/>
    <s v="Bug"/>
    <s v="DESK-3483"/>
    <s v="Minify optimization for search page"/>
    <s v="Bug"/>
    <x v="1"/>
    <d v="2016-01-27T17:26:00"/>
    <x v="10"/>
    <x v="1"/>
    <x v="18"/>
    <n v="4"/>
    <m/>
    <n v="141.1"/>
    <n v="24.900000000000002"/>
  </r>
  <r>
    <s v="SBG - Desktop"/>
    <x v="1"/>
    <s v="Bug"/>
    <s v="DESK-3487"/>
    <s v="wwww.smartbuyglasses.nl free 100 day return should be dutch"/>
    <s v="Bug"/>
    <x v="1"/>
    <d v="2016-01-25T12:42:00"/>
    <x v="10"/>
    <x v="1"/>
    <x v="21"/>
    <n v="3"/>
    <m/>
    <n v="141.1"/>
    <n v="24.900000000000002"/>
  </r>
  <r>
    <s v="SBG - Desktop"/>
    <x v="1"/>
    <s v="Bug"/>
    <s v="DESK-3487"/>
    <s v="wwww.smartbuyglasses.nl free 100 day return should be dutch"/>
    <s v="Bug"/>
    <x v="1"/>
    <d v="2016-01-25T12:43:00"/>
    <x v="10"/>
    <x v="1"/>
    <x v="21"/>
    <n v="5"/>
    <m/>
    <n v="141.1"/>
    <n v="24.900000000000002"/>
  </r>
  <r>
    <s v="SBG - Desktop"/>
    <x v="1"/>
    <s v="Bug"/>
    <s v="DESK-3487"/>
    <s v="wwww.smartbuyglasses.nl free 100 day return should be dutch"/>
    <s v="Bug"/>
    <x v="1"/>
    <d v="2016-01-26T12:43:00"/>
    <x v="10"/>
    <x v="1"/>
    <x v="21"/>
    <n v="5"/>
    <m/>
    <n v="141.1"/>
    <n v="24.900000000000002"/>
  </r>
  <r>
    <s v="SBG - Desktop"/>
    <x v="1"/>
    <s v="Bug"/>
    <s v="DESK-3487"/>
    <s v="wwww.smartbuyglasses.nl free 100 day return should be dutch"/>
    <s v="Bug"/>
    <x v="1"/>
    <d v="2016-01-27T12:41:00"/>
    <x v="10"/>
    <x v="1"/>
    <x v="21"/>
    <n v="3"/>
    <m/>
    <n v="141.1"/>
    <n v="24.900000000000002"/>
  </r>
  <r>
    <s v="SBG - Desktop"/>
    <x v="2"/>
    <s v="Bug"/>
    <s v="DESK-3487"/>
    <s v="wwww.smartbuyglasses.nl free 100 day return should be dutch"/>
    <s v="Bug"/>
    <x v="1"/>
    <d v="2016-01-27T17:31:00"/>
    <x v="10"/>
    <x v="1"/>
    <x v="22"/>
    <n v="2.5"/>
    <m/>
    <n v="141.1"/>
    <n v="24.900000000000002"/>
  </r>
  <r>
    <s v="SBG - Desktop"/>
    <x v="1"/>
    <s v="Bug"/>
    <s v="DESK-3487"/>
    <s v="wwww.smartbuyglasses.nl free 100 day return should be dutch"/>
    <s v="Bug"/>
    <x v="1"/>
    <d v="2016-01-28T12:44:00"/>
    <x v="10"/>
    <x v="1"/>
    <x v="21"/>
    <n v="4"/>
    <m/>
    <n v="141.1"/>
    <n v="24.900000000000002"/>
  </r>
  <r>
    <s v="SBG - Desktop"/>
    <x v="1"/>
    <s v="Bug"/>
    <s v="DESK-3487"/>
    <s v="wwww.smartbuyglasses.nl free 100 day return should be dutch"/>
    <s v="Bug"/>
    <x v="1"/>
    <d v="2016-01-28T17:21:00"/>
    <x v="10"/>
    <x v="1"/>
    <x v="21"/>
    <n v="1"/>
    <m/>
    <n v="141.1"/>
    <n v="24.900000000000002"/>
  </r>
  <r>
    <s v="SBG - Desktop"/>
    <x v="1"/>
    <s v="Bug"/>
    <s v="DESK-3487"/>
    <s v="wwww.smartbuyglasses.nl free 100 day return should be dutch"/>
    <s v="Bug"/>
    <x v="1"/>
    <d v="2016-01-29T12:41:00"/>
    <x v="10"/>
    <x v="1"/>
    <x v="21"/>
    <n v="2"/>
    <m/>
    <n v="141.1"/>
    <n v="24.900000000000002"/>
  </r>
  <r>
    <s v="SBG - Desktop"/>
    <x v="1"/>
    <s v="Bug"/>
    <s v="DESK-3522"/>
    <s v="TR Domain - Contact Lens Cannot Add to Cart"/>
    <s v="Bug"/>
    <x v="1"/>
    <d v="2015-12-22T07:52:00"/>
    <x v="9"/>
    <x v="0"/>
    <x v="23"/>
    <n v="8"/>
    <m/>
    <n v="147.9"/>
    <n v="26.100000000000005"/>
  </r>
  <r>
    <s v="SBG - Desktop"/>
    <x v="1"/>
    <s v="Bug"/>
    <s v="DESK-3522"/>
    <s v="TR Domain - Contact Lens Cannot Add to Cart"/>
    <s v="Bug"/>
    <x v="1"/>
    <d v="2015-12-25T10:43:00"/>
    <x v="9"/>
    <x v="0"/>
    <x v="23"/>
    <n v="2"/>
    <m/>
    <n v="147.9"/>
    <n v="26.100000000000005"/>
  </r>
  <r>
    <s v="SBG - Desktop"/>
    <x v="2"/>
    <s v="Bug"/>
    <s v="DESK-3522"/>
    <s v="TR Domain - Contact Lens Cannot Add to Cart"/>
    <s v="Bug"/>
    <x v="1"/>
    <d v="2015-12-25T10:54:00"/>
    <x v="9"/>
    <x v="0"/>
    <x v="10"/>
    <n v="1"/>
    <m/>
    <n v="147.9"/>
    <n v="26.100000000000005"/>
  </r>
  <r>
    <s v="SBG - Desktop"/>
    <x v="2"/>
    <s v="Bug"/>
    <s v="DESK-3545"/>
    <s v="Sunglasses, Eyeglasses, Ski goggles missing in the color feed"/>
    <s v="Bug"/>
    <x v="1"/>
    <d v="2016-01-27T15:33:00"/>
    <x v="10"/>
    <x v="1"/>
    <x v="2"/>
    <n v="1"/>
    <m/>
    <n v="141.1"/>
    <n v="24.900000000000002"/>
  </r>
  <r>
    <s v="SBG - Desktop"/>
    <x v="2"/>
    <s v="Bug"/>
    <s v="DESK-3563"/>
    <s v="Modify Conversion Tag for Commission Factory (Desktop + Mobile)"/>
    <s v="Bug"/>
    <x v="1"/>
    <d v="2016-01-01T15:45:00"/>
    <x v="10"/>
    <x v="1"/>
    <x v="29"/>
    <n v="8"/>
    <m/>
    <n v="141.1"/>
    <n v="24.900000000000002"/>
  </r>
  <r>
    <s v="SBG - Desktop"/>
    <x v="2"/>
    <s v="Bug"/>
    <s v="DESK-3563"/>
    <s v="Modify Conversion Tag for Commission Factory (Desktop + Mobile)"/>
    <s v="Bug"/>
    <x v="1"/>
    <d v="2016-01-05T15:45:00"/>
    <x v="10"/>
    <x v="1"/>
    <x v="29"/>
    <n v="3"/>
    <m/>
    <n v="141.1"/>
    <n v="24.900000000000002"/>
  </r>
  <r>
    <s v="SBG - Desktop"/>
    <x v="2"/>
    <s v="Bug"/>
    <s v="DESK-3563"/>
    <s v="Modify Conversion Tag for Commission Factory (Desktop + Mobile)"/>
    <s v="Bug"/>
    <x v="1"/>
    <d v="2016-01-06T15:45:00"/>
    <x v="10"/>
    <x v="1"/>
    <x v="29"/>
    <n v="2"/>
    <m/>
    <n v="141.1"/>
    <n v="24.900000000000002"/>
  </r>
  <r>
    <s v="SBG - Desktop"/>
    <x v="2"/>
    <s v="Bug"/>
    <s v="DESK-3563"/>
    <s v="Modify Conversion Tag for Commission Factory (Desktop + Mobile)"/>
    <s v="Bug"/>
    <x v="1"/>
    <d v="2016-01-18T16:44:00"/>
    <x v="10"/>
    <x v="1"/>
    <x v="29"/>
    <n v="4"/>
    <m/>
    <n v="141.1"/>
    <n v="24.900000000000002"/>
  </r>
  <r>
    <s v="SBG - Desktop"/>
    <x v="1"/>
    <s v="Bug"/>
    <s v="DESK-3563"/>
    <s v="Modify Conversion Tag for Commission Factory (Desktop + Mobile)"/>
    <s v="Bug"/>
    <x v="1"/>
    <d v="2016-01-19T10:33:00"/>
    <x v="10"/>
    <x v="1"/>
    <x v="30"/>
    <n v="4"/>
    <m/>
    <n v="141.1"/>
    <n v="24.900000000000002"/>
  </r>
  <r>
    <s v="SBG - Desktop"/>
    <x v="1"/>
    <s v="Bug"/>
    <s v="DESK-3594"/>
    <s v="DE/AT/CH Domains link to wrong blog address"/>
    <s v="Bug"/>
    <x v="1"/>
    <d v="2016-01-19T18:16:00"/>
    <x v="10"/>
    <x v="1"/>
    <x v="30"/>
    <n v="4"/>
    <m/>
    <n v="141.1"/>
    <n v="24.900000000000002"/>
  </r>
  <r>
    <s v="SBG - Desktop"/>
    <x v="2"/>
    <s v="Bug"/>
    <s v="DESK-3594"/>
    <s v="DE/AT/CH Domains link to wrong blog address"/>
    <s v="Bug"/>
    <x v="1"/>
    <d v="2016-01-20T11:13:00"/>
    <x v="10"/>
    <x v="1"/>
    <x v="22"/>
    <n v="2"/>
    <m/>
    <n v="141.1"/>
    <n v="24.900000000000002"/>
  </r>
  <r>
    <s v="SBG - Desktop"/>
    <x v="1"/>
    <s v="Bug"/>
    <s v="DESK-3594"/>
    <s v="DE/AT/CH Domains link to wrong blog address"/>
    <s v="Bug"/>
    <x v="1"/>
    <d v="2016-01-21T16:51:00"/>
    <x v="10"/>
    <x v="1"/>
    <x v="30"/>
    <n v="1"/>
    <m/>
    <n v="141.1"/>
    <n v="24.900000000000002"/>
  </r>
  <r>
    <s v="SBG - Desktop"/>
    <x v="2"/>
    <s v="Bug"/>
    <s v="DESK-3594"/>
    <s v="DE/AT/CH Domains link to wrong blog address"/>
    <s v="Bug"/>
    <x v="1"/>
    <d v="2016-01-21T17:26:00"/>
    <x v="10"/>
    <x v="1"/>
    <x v="22"/>
    <n v="1"/>
    <m/>
    <n v="141.1"/>
    <n v="24.900000000000002"/>
  </r>
  <r>
    <s v="SBG - Desktop"/>
    <x v="1"/>
    <s v="Bug"/>
    <s v="DESK-3594"/>
    <s v="DE/AT/CH Domains link to wrong blog address"/>
    <s v="Bug"/>
    <x v="1"/>
    <d v="2016-01-25T12:28:00"/>
    <x v="10"/>
    <x v="1"/>
    <x v="30"/>
    <n v="1"/>
    <m/>
    <n v="141.1"/>
    <n v="24.900000000000002"/>
  </r>
  <r>
    <s v="SBG - Desktop"/>
    <x v="1"/>
    <s v="Bug"/>
    <s v="DESK-3601"/>
    <s v="once click on &quot;Size&quot; on product page, prescription button disappears"/>
    <s v="Bug"/>
    <x v="1"/>
    <d v="2015-12-10T12:33:00"/>
    <x v="9"/>
    <x v="0"/>
    <x v="8"/>
    <n v="1"/>
    <m/>
    <n v="147.9"/>
    <n v="26.100000000000005"/>
  </r>
  <r>
    <s v="SBG - Desktop"/>
    <x v="2"/>
    <s v="Bug"/>
    <s v="DESK-3601"/>
    <s v="once click on &quot;Size&quot; on product page, prescription button disappears"/>
    <s v="Bug"/>
    <x v="1"/>
    <d v="2015-12-10T18:00:00"/>
    <x v="9"/>
    <x v="0"/>
    <x v="10"/>
    <n v="2"/>
    <m/>
    <n v="147.9"/>
    <n v="26.100000000000005"/>
  </r>
  <r>
    <s v="SBG - Desktop"/>
    <x v="1"/>
    <s v="Bug"/>
    <s v="DESK-3601"/>
    <s v="once click on &quot;Size&quot; on product page, prescription button disappears"/>
    <s v="Bug"/>
    <x v="1"/>
    <d v="2015-12-11T15:58:00"/>
    <x v="9"/>
    <x v="0"/>
    <x v="26"/>
    <n v="0.5"/>
    <m/>
    <n v="147.9"/>
    <n v="26.100000000000005"/>
  </r>
  <r>
    <s v="SBG - Desktop"/>
    <x v="1"/>
    <s v="Bug"/>
    <s v="DESK-3612"/>
    <s v="Sports Sunglasses Page Bug (Ski Goggles)"/>
    <s v="Bug"/>
    <x v="1"/>
    <d v="2015-12-09T12:26:00"/>
    <x v="9"/>
    <x v="0"/>
    <x v="21"/>
    <n v="8"/>
    <m/>
    <n v="147.9"/>
    <n v="26.100000000000005"/>
  </r>
  <r>
    <s v="SBG - Desktop"/>
    <x v="1"/>
    <s v="Bug"/>
    <s v="DESK-3612"/>
    <s v="Sports Sunglasses Page Bug (Ski Goggles)"/>
    <s v="Bug"/>
    <x v="1"/>
    <d v="2015-12-10T10:54:00"/>
    <x v="9"/>
    <x v="0"/>
    <x v="21"/>
    <n v="4"/>
    <m/>
    <n v="147.9"/>
    <n v="26.100000000000005"/>
  </r>
  <r>
    <s v="SBG - Desktop"/>
    <x v="1"/>
    <s v="Bug"/>
    <s v="DESK-3612"/>
    <s v="Sports Sunglasses Page Bug (Ski Goggles)"/>
    <s v="Bug"/>
    <x v="1"/>
    <d v="2015-12-11T17:42:00"/>
    <x v="9"/>
    <x v="0"/>
    <x v="21"/>
    <n v="3"/>
    <m/>
    <n v="147.9"/>
    <n v="26.100000000000005"/>
  </r>
  <r>
    <s v="SBG - Desktop"/>
    <x v="2"/>
    <s v="Bug"/>
    <s v="DESK-3612"/>
    <s v="Sports Sunglasses Page Bug (Ski Goggles)"/>
    <s v="Bug"/>
    <x v="1"/>
    <d v="2015-12-28T15:39:00"/>
    <x v="9"/>
    <x v="0"/>
    <x v="29"/>
    <n v="24"/>
    <m/>
    <n v="147.9"/>
    <n v="26.100000000000005"/>
  </r>
  <r>
    <s v="SBG - Desktop"/>
    <x v="1"/>
    <s v="Bug"/>
    <s v="DESK-3612"/>
    <s v="Sports Sunglasses Page Bug (Ski Goggles)"/>
    <s v="Bug"/>
    <x v="1"/>
    <d v="2016-01-04T12:53:00"/>
    <x v="10"/>
    <x v="1"/>
    <x v="21"/>
    <n v="3"/>
    <m/>
    <n v="141.1"/>
    <n v="24.900000000000002"/>
  </r>
  <r>
    <s v="SBG - Desktop"/>
    <x v="1"/>
    <s v="Bug"/>
    <s v="DESK-3612"/>
    <s v="Sports Sunglasses Page Bug (Ski Goggles)"/>
    <s v="Bug"/>
    <x v="1"/>
    <d v="2016-01-05T12:51:00"/>
    <x v="10"/>
    <x v="1"/>
    <x v="21"/>
    <n v="8"/>
    <m/>
    <n v="141.1"/>
    <n v="24.900000000000002"/>
  </r>
  <r>
    <s v="SBG - Desktop"/>
    <x v="2"/>
    <s v="Bug"/>
    <s v="DESK-3613"/>
    <s v="Contact lens - volume pricing - minor wrong calculation on cart page"/>
    <s v="Bug"/>
    <x v="1"/>
    <d v="2015-12-09T14:12:00"/>
    <x v="9"/>
    <x v="0"/>
    <x v="10"/>
    <n v="3"/>
    <m/>
    <n v="147.9"/>
    <n v="26.100000000000005"/>
  </r>
  <r>
    <s v="SBG - Desktop"/>
    <x v="2"/>
    <s v="Bug"/>
    <s v="DESK-3613"/>
    <s v="Contact lens - volume pricing - minor wrong calculation on cart page"/>
    <s v="Bug"/>
    <x v="1"/>
    <d v="2015-12-09T18:28:00"/>
    <x v="9"/>
    <x v="0"/>
    <x v="10"/>
    <n v="2"/>
    <m/>
    <n v="147.9"/>
    <n v="26.100000000000005"/>
  </r>
  <r>
    <s v="SBG - Desktop"/>
    <x v="1"/>
    <s v="Bug"/>
    <s v="DESK-3613"/>
    <s v="Contact lens - volume pricing - minor wrong calculation on cart page"/>
    <s v="Bug"/>
    <x v="1"/>
    <d v="2015-12-10T10:53:00"/>
    <x v="9"/>
    <x v="0"/>
    <x v="21"/>
    <n v="2"/>
    <m/>
    <n v="147.9"/>
    <n v="26.100000000000005"/>
  </r>
  <r>
    <s v="SBG - Desktop"/>
    <x v="0"/>
    <s v="Bug"/>
    <s v="DESK-3641"/>
    <s v="AU_health email is missing health providers"/>
    <s v="Bug"/>
    <x v="1"/>
    <d v="2015-12-01T14:15:00"/>
    <x v="9"/>
    <x v="0"/>
    <x v="19"/>
    <n v="3"/>
    <m/>
    <n v="87"/>
    <n v="87"/>
  </r>
  <r>
    <s v="SBG - Desktop"/>
    <x v="2"/>
    <s v="Bug"/>
    <s v="DESK-3641"/>
    <s v="AU_health email is missing health providers"/>
    <s v="Bug"/>
    <x v="1"/>
    <d v="2015-12-01T18:38:00"/>
    <x v="9"/>
    <x v="0"/>
    <x v="2"/>
    <n v="2"/>
    <m/>
    <n v="147.9"/>
    <n v="26.100000000000005"/>
  </r>
  <r>
    <s v="SBG - Desktop"/>
    <x v="0"/>
    <s v="Bug"/>
    <s v="DESK-3641"/>
    <s v="AU_health email is missing health providers"/>
    <s v="Bug"/>
    <x v="1"/>
    <d v="2015-12-04T14:16:00"/>
    <x v="9"/>
    <x v="0"/>
    <x v="19"/>
    <n v="3"/>
    <m/>
    <n v="87"/>
    <n v="87"/>
  </r>
  <r>
    <s v="SBG - Desktop"/>
    <x v="2"/>
    <s v="Bug"/>
    <s v="DESK-3641"/>
    <s v="AU_health email is missing health providers"/>
    <s v="Bug"/>
    <x v="1"/>
    <d v="2015-12-08T16:37:00"/>
    <x v="9"/>
    <x v="0"/>
    <x v="2"/>
    <n v="3"/>
    <m/>
    <n v="147.9"/>
    <n v="26.100000000000005"/>
  </r>
  <r>
    <s v="SBG - Desktop"/>
    <x v="0"/>
    <s v="Bug"/>
    <s v="DESK-3641"/>
    <s v="AU_health email is missing health providers"/>
    <s v="Bug"/>
    <x v="1"/>
    <d v="2015-12-08T18:40:00"/>
    <x v="9"/>
    <x v="0"/>
    <x v="19"/>
    <n v="2"/>
    <m/>
    <n v="87"/>
    <n v="87"/>
  </r>
  <r>
    <s v="SBG - Desktop"/>
    <x v="2"/>
    <s v="Bug"/>
    <s v="DESK-3641"/>
    <s v="AU_health email is missing health providers"/>
    <s v="Bug"/>
    <x v="1"/>
    <d v="2015-12-11T17:23:00"/>
    <x v="9"/>
    <x v="0"/>
    <x v="2"/>
    <n v="2"/>
    <m/>
    <n v="147.9"/>
    <n v="26.100000000000005"/>
  </r>
  <r>
    <s v="SBG - Desktop"/>
    <x v="2"/>
    <s v="Bug"/>
    <s v="DESK-3641"/>
    <s v="AU_health email is missing health providers"/>
    <s v="Bug"/>
    <x v="1"/>
    <d v="2015-12-14T18:27:00"/>
    <x v="9"/>
    <x v="0"/>
    <x v="2"/>
    <n v="2"/>
    <m/>
    <n v="147.9"/>
    <n v="26.100000000000005"/>
  </r>
  <r>
    <s v="SBG - Desktop"/>
    <x v="0"/>
    <s v="Bug"/>
    <s v="DESK-3641"/>
    <s v="AU_health email is missing health providers"/>
    <s v="Bug"/>
    <x v="1"/>
    <d v="2015-12-15T09:17:00"/>
    <x v="9"/>
    <x v="0"/>
    <x v="19"/>
    <n v="8"/>
    <m/>
    <n v="87"/>
    <n v="87"/>
  </r>
  <r>
    <s v="SBG - Desktop"/>
    <x v="2"/>
    <s v="Bug"/>
    <s v="DESK-3641"/>
    <s v="AU_health email is missing health providers"/>
    <s v="Bug"/>
    <x v="1"/>
    <d v="2015-12-16T10:18:00"/>
    <x v="9"/>
    <x v="0"/>
    <x v="2"/>
    <n v="5"/>
    <m/>
    <n v="147.9"/>
    <n v="26.100000000000005"/>
  </r>
  <r>
    <s v="SBG - Desktop"/>
    <x v="0"/>
    <s v="Bug"/>
    <s v="DESK-3641"/>
    <s v="AU_health email is missing health providers"/>
    <s v="Bug"/>
    <x v="1"/>
    <d v="2015-12-18T10:18:00"/>
    <x v="9"/>
    <x v="0"/>
    <x v="19"/>
    <n v="7"/>
    <m/>
    <n v="87"/>
    <n v="87"/>
  </r>
  <r>
    <s v="SBG - Desktop"/>
    <x v="2"/>
    <s v="Bug"/>
    <s v="DESK-3655"/>
    <s v="fix the granify tracking problem on header cart icon"/>
    <s v="Bug"/>
    <x v="1"/>
    <d v="2016-01-06T16:31:00"/>
    <x v="10"/>
    <x v="1"/>
    <x v="10"/>
    <n v="1"/>
    <m/>
    <n v="141.1"/>
    <n v="24.900000000000002"/>
  </r>
  <r>
    <s v="SBG - Desktop"/>
    <x v="1"/>
    <s v="Bug"/>
    <s v="DESK-3655"/>
    <s v="fix the granify tracking problem on header cart icon"/>
    <s v="Bug"/>
    <x v="1"/>
    <d v="2016-01-12T18:13:00"/>
    <x v="10"/>
    <x v="1"/>
    <x v="30"/>
    <n v="4"/>
    <m/>
    <n v="141.1"/>
    <n v="24.900000000000002"/>
  </r>
  <r>
    <s v="SBG - Desktop"/>
    <x v="1"/>
    <s v="Bug"/>
    <s v="DESK-3655"/>
    <s v="fix the granify tracking problem on header cart icon"/>
    <s v="Bug"/>
    <x v="1"/>
    <d v="2016-01-15T12:42:00"/>
    <x v="10"/>
    <x v="1"/>
    <x v="30"/>
    <n v="1"/>
    <m/>
    <n v="141.1"/>
    <n v="24.900000000000002"/>
  </r>
  <r>
    <s v="SBG - Desktop"/>
    <x v="1"/>
    <s v="Bug"/>
    <s v="DESK-3655"/>
    <s v="fix the granify tracking problem on header cart icon"/>
    <s v="Bug"/>
    <x v="1"/>
    <d v="2016-01-18T15:20:00"/>
    <x v="10"/>
    <x v="1"/>
    <x v="30"/>
    <n v="2"/>
    <m/>
    <n v="141.1"/>
    <n v="24.900000000000002"/>
  </r>
  <r>
    <s v="SBG - Desktop"/>
    <x v="2"/>
    <s v="Bug"/>
    <s v="DESK-3673"/>
    <s v="DE: 100 DAYS - FREE RETURN in header (wrong language)"/>
    <s v="Bug"/>
    <x v="1"/>
    <d v="2015-12-14T11:27:00"/>
    <x v="9"/>
    <x v="0"/>
    <x v="22"/>
    <n v="5"/>
    <m/>
    <n v="147.9"/>
    <n v="26.100000000000005"/>
  </r>
  <r>
    <s v="SBG - Desktop"/>
    <x v="1"/>
    <s v="Bug"/>
    <s v="DESK-3673"/>
    <s v="DE: 100 DAYS - FREE RETURN in header (wrong language)"/>
    <s v="Bug"/>
    <x v="1"/>
    <d v="2015-12-21T09:14:00"/>
    <x v="9"/>
    <x v="0"/>
    <x v="26"/>
    <n v="1"/>
    <m/>
    <n v="147.9"/>
    <n v="26.100000000000005"/>
  </r>
  <r>
    <s v="SBG - Desktop"/>
    <x v="2"/>
    <s v="Bug"/>
    <s v="DESK-3673"/>
    <s v="DE: 100 DAYS - FREE RETURN in header (wrong language)"/>
    <s v="Bug"/>
    <x v="1"/>
    <d v="2015-12-22T09:46:00"/>
    <x v="9"/>
    <x v="0"/>
    <x v="22"/>
    <n v="8"/>
    <m/>
    <n v="147.9"/>
    <n v="26.100000000000005"/>
  </r>
  <r>
    <s v="SBG - Desktop"/>
    <x v="2"/>
    <s v="Bug"/>
    <s v="DESK-3673"/>
    <s v="DE: 100 DAYS - FREE RETURN in header (wrong language)"/>
    <s v="Bug"/>
    <x v="1"/>
    <d v="2015-12-23T09:46:00"/>
    <x v="9"/>
    <x v="0"/>
    <x v="22"/>
    <n v="8"/>
    <m/>
    <n v="147.9"/>
    <n v="26.100000000000005"/>
  </r>
  <r>
    <s v="SBG - Desktop"/>
    <x v="2"/>
    <s v="Bug"/>
    <s v="DESK-3678"/>
    <s v="Product links are not working - ski goggles - all domains"/>
    <s v="Bug"/>
    <x v="1"/>
    <d v="2016-01-13T17:03:00"/>
    <x v="10"/>
    <x v="1"/>
    <x v="22"/>
    <n v="2"/>
    <m/>
    <n v="141.1"/>
    <n v="24.900000000000002"/>
  </r>
  <r>
    <s v="SBG - Desktop"/>
    <x v="2"/>
    <s v="Bug"/>
    <s v="DESK-3678"/>
    <s v="Product links are not working - ski goggles - all domains"/>
    <s v="Bug"/>
    <x v="1"/>
    <d v="2016-01-14T17:41:00"/>
    <x v="10"/>
    <x v="1"/>
    <x v="22"/>
    <n v="8"/>
    <m/>
    <n v="141.1"/>
    <n v="24.900000000000002"/>
  </r>
  <r>
    <s v="SBG - Desktop"/>
    <x v="2"/>
    <s v="Bug"/>
    <s v="DESK-3678"/>
    <s v="Product links are not working - ski goggles - all domains"/>
    <s v="Bug"/>
    <x v="1"/>
    <d v="2016-01-18T17:42:00"/>
    <x v="10"/>
    <x v="1"/>
    <x v="22"/>
    <n v="8"/>
    <m/>
    <n v="141.1"/>
    <n v="24.900000000000002"/>
  </r>
  <r>
    <s v="SBG - Desktop"/>
    <x v="2"/>
    <s v="Bug"/>
    <s v="DESK-3678"/>
    <s v="Product links are not working - ski goggles - all domains"/>
    <s v="Bug"/>
    <x v="1"/>
    <d v="2016-01-20T11:00:00"/>
    <x v="10"/>
    <x v="1"/>
    <x v="22"/>
    <n v="2"/>
    <m/>
    <n v="141.1"/>
    <n v="24.900000000000002"/>
  </r>
  <r>
    <s v="SBG - Desktop"/>
    <x v="1"/>
    <s v="Bug"/>
    <s v="DESK-3678"/>
    <s v="Product links are not working - ski goggles - all domains"/>
    <s v="Bug"/>
    <x v="1"/>
    <d v="2016-01-21T16:52:00"/>
    <x v="10"/>
    <x v="1"/>
    <x v="23"/>
    <n v="2"/>
    <m/>
    <n v="141.1"/>
    <n v="24.900000000000002"/>
  </r>
  <r>
    <s v="SBG - Desktop"/>
    <x v="1"/>
    <s v="Bug"/>
    <s v="DESK-3678"/>
    <s v="Product links are not working - ski goggles - all domains"/>
    <s v="Bug"/>
    <x v="1"/>
    <d v="2016-01-22T15:34:00"/>
    <x v="10"/>
    <x v="1"/>
    <x v="23"/>
    <n v="2"/>
    <m/>
    <n v="141.1"/>
    <n v="24.900000000000002"/>
  </r>
  <r>
    <s v="SBG - Desktop"/>
    <x v="1"/>
    <s v="Bug"/>
    <s v="DESK-3678"/>
    <s v="Product links are not working - ski goggles - all domains"/>
    <s v="Bug"/>
    <x v="1"/>
    <d v="2016-01-25T17:25:00"/>
    <x v="10"/>
    <x v="1"/>
    <x v="23"/>
    <n v="1"/>
    <m/>
    <n v="141.1"/>
    <n v="24.900000000000002"/>
  </r>
  <r>
    <s v="SBG - Desktop"/>
    <x v="1"/>
    <s v="Bug"/>
    <s v="DESK-3699"/>
    <s v="Ski goggles landing page optimization - US, CA"/>
    <s v="Bug"/>
    <x v="1"/>
    <d v="2016-01-21T16:51:00"/>
    <x v="10"/>
    <x v="1"/>
    <x v="23"/>
    <n v="2"/>
    <m/>
    <n v="141.1"/>
    <n v="24.900000000000002"/>
  </r>
  <r>
    <s v="SBG - Desktop"/>
    <x v="1"/>
    <s v="Bug"/>
    <s v="DESK-3699"/>
    <s v="Ski goggles landing page optimization - US, CA"/>
    <s v="Bug"/>
    <x v="1"/>
    <d v="2016-01-22T15:34:00"/>
    <x v="10"/>
    <x v="1"/>
    <x v="23"/>
    <n v="1"/>
    <m/>
    <n v="141.1"/>
    <n v="24.900000000000002"/>
  </r>
  <r>
    <s v="SBG - Desktop"/>
    <x v="1"/>
    <s v="Bug"/>
    <s v="DESK-3699"/>
    <s v="Ski goggles landing page optimization - US, CA"/>
    <s v="Bug"/>
    <x v="1"/>
    <d v="2016-01-25T17:25:00"/>
    <x v="10"/>
    <x v="1"/>
    <x v="23"/>
    <n v="1"/>
    <m/>
    <n v="141.1"/>
    <n v="24.900000000000002"/>
  </r>
  <r>
    <s v="SBG - Desktop"/>
    <x v="1"/>
    <s v="Bug"/>
    <s v="DESK-3706"/>
    <s v="Spanish language sitemaps mismatched with actual URLs"/>
    <s v="Bug"/>
    <x v="1"/>
    <d v="2015-12-07T16:40:00"/>
    <x v="9"/>
    <x v="0"/>
    <x v="1"/>
    <n v="2"/>
    <m/>
    <n v="147.9"/>
    <n v="26.100000000000005"/>
  </r>
  <r>
    <s v="SBG - Desktop"/>
    <x v="2"/>
    <s v="Bug"/>
    <s v="DESK-3714"/>
    <s v="Size Missing From Products"/>
    <s v="Bug"/>
    <x v="1"/>
    <d v="2015-12-10T18:00:00"/>
    <x v="9"/>
    <x v="0"/>
    <x v="10"/>
    <n v="3"/>
    <m/>
    <n v="147.9"/>
    <n v="26.100000000000005"/>
  </r>
  <r>
    <s v="SBG - Desktop"/>
    <x v="1"/>
    <s v="Bug"/>
    <s v="DESK-3714"/>
    <s v="Size Missing From Products"/>
    <s v="Bug"/>
    <x v="1"/>
    <d v="2015-12-14T11:51:00"/>
    <x v="9"/>
    <x v="0"/>
    <x v="23"/>
    <n v="4"/>
    <m/>
    <n v="147.9"/>
    <n v="26.100000000000005"/>
  </r>
  <r>
    <s v="SBG - Desktop"/>
    <x v="1"/>
    <s v="Bug"/>
    <s v="DESK-3714"/>
    <s v="Size Missing From Products"/>
    <s v="Bug"/>
    <x v="1"/>
    <d v="2015-12-17T18:12:00"/>
    <x v="9"/>
    <x v="0"/>
    <x v="23"/>
    <n v="1"/>
    <m/>
    <n v="147.9"/>
    <n v="26.100000000000005"/>
  </r>
  <r>
    <s v="SBG - Desktop"/>
    <x v="2"/>
    <s v="Bug"/>
    <s v="DESK-3795"/>
    <s v="Set discount code to 0"/>
    <s v="Bug"/>
    <x v="1"/>
    <d v="2015-12-08T18:16:00"/>
    <x v="9"/>
    <x v="0"/>
    <x v="22"/>
    <n v="4"/>
    <m/>
    <n v="147.9"/>
    <n v="26.100000000000005"/>
  </r>
  <r>
    <s v="SBG - Desktop"/>
    <x v="1"/>
    <s v="Bug"/>
    <s v="DESK-3795"/>
    <s v="Set discount code to 0"/>
    <s v="Bug"/>
    <x v="1"/>
    <d v="2015-12-10T10:53:00"/>
    <x v="9"/>
    <x v="0"/>
    <x v="21"/>
    <n v="2"/>
    <m/>
    <n v="147.9"/>
    <n v="26.100000000000005"/>
  </r>
  <r>
    <s v="SBG - Desktop"/>
    <x v="1"/>
    <s v="Bug"/>
    <s v="DESK-3799"/>
    <s v="Broken Luxottica Banners - all countries - desktop"/>
    <s v="Bug"/>
    <x v="1"/>
    <d v="2016-01-21T08:31:00"/>
    <x v="10"/>
    <x v="1"/>
    <x v="26"/>
    <n v="7"/>
    <m/>
    <n v="141.1"/>
    <n v="24.900000000000002"/>
  </r>
  <r>
    <s v="SBG - Desktop"/>
    <x v="1"/>
    <s v="Bug"/>
    <s v="DESK-3799"/>
    <s v="Broken Luxottica Banners - all countries - desktop"/>
    <s v="Bug"/>
    <x v="1"/>
    <d v="2016-01-25T18:56:00"/>
    <x v="10"/>
    <x v="1"/>
    <x v="26"/>
    <n v="2"/>
    <m/>
    <n v="141.1"/>
    <n v="24.900000000000002"/>
  </r>
  <r>
    <s v="SBG - Desktop"/>
    <x v="2"/>
    <s v="Bug"/>
    <s v="DESK-3815"/>
    <s v="RX side banner title &quot;Add lenses...&quot; - displayed in spanish with MX$ in CA"/>
    <s v="Bug"/>
    <x v="1"/>
    <d v="2016-01-29T10:24:00"/>
    <x v="10"/>
    <x v="1"/>
    <x v="29"/>
    <n v="1"/>
    <m/>
    <n v="141.1"/>
    <n v="24.900000000000002"/>
  </r>
  <r>
    <s v="SBG - Desktop"/>
    <x v="1"/>
    <s v="Bug"/>
    <s v="DESK-3829"/>
    <s v="The datafeed url bug in co, mx , cl ,ar es country"/>
    <s v="Bug"/>
    <x v="1"/>
    <d v="2015-12-11T17:50:00"/>
    <x v="9"/>
    <x v="0"/>
    <x v="1"/>
    <n v="1"/>
    <m/>
    <n v="147.9"/>
    <n v="26.100000000000005"/>
  </r>
  <r>
    <s v="SBG - Desktop"/>
    <x v="1"/>
    <s v="Bug"/>
    <s v="DESK-3829"/>
    <s v="The datafeed url bug in co, mx , cl ,ar es country"/>
    <s v="Bug"/>
    <x v="1"/>
    <d v="2015-12-14T18:00:00"/>
    <x v="9"/>
    <x v="0"/>
    <x v="1"/>
    <n v="1"/>
    <m/>
    <n v="147.9"/>
    <n v="26.100000000000005"/>
  </r>
  <r>
    <s v="SBG - Desktop"/>
    <x v="2"/>
    <s v="Bug"/>
    <s v="DESK-3829"/>
    <s v="The datafeed url bug in co, mx , cl ,ar es country"/>
    <s v="Bug"/>
    <x v="1"/>
    <d v="2015-12-14T18:26:00"/>
    <x v="9"/>
    <x v="0"/>
    <x v="2"/>
    <n v="1"/>
    <m/>
    <n v="147.9"/>
    <n v="26.100000000000005"/>
  </r>
  <r>
    <s v="SBG - Desktop"/>
    <x v="2"/>
    <s v="Bug"/>
    <s v="DESK-3831"/>
    <s v="Product Assortment Problem- Not Displaying ALL products"/>
    <s v="Bug"/>
    <x v="1"/>
    <d v="2015-12-10T18:00:00"/>
    <x v="9"/>
    <x v="0"/>
    <x v="10"/>
    <n v="3"/>
    <m/>
    <n v="147.9"/>
    <n v="26.100000000000005"/>
  </r>
  <r>
    <s v="SBG - Desktop"/>
    <x v="2"/>
    <s v="Bug"/>
    <s v="DESK-3845"/>
    <s v="AU Health Email (2 versions, 1x without Medibank)"/>
    <s v="Bug"/>
    <x v="1"/>
    <d v="2015-12-01T18:39:00"/>
    <x v="9"/>
    <x v="0"/>
    <x v="2"/>
    <n v="4"/>
    <m/>
    <n v="147.9"/>
    <n v="26.100000000000005"/>
  </r>
  <r>
    <s v="SBG - Desktop"/>
    <x v="1"/>
    <s v="Bug"/>
    <s v="DESK-3845"/>
    <s v="AU Health Email (2 versions, 1x without Medibank)"/>
    <s v="Bug"/>
    <x v="1"/>
    <d v="2015-12-11T12:33:00"/>
    <x v="9"/>
    <x v="0"/>
    <x v="21"/>
    <n v="3"/>
    <m/>
    <n v="147.9"/>
    <n v="26.100000000000005"/>
  </r>
  <r>
    <s v="SBG - Desktop"/>
    <x v="2"/>
    <s v="Bug"/>
    <s v="DESK-3862"/>
    <s v="Remove Tracking code for Desktop CN and Mobile CN"/>
    <s v="Bug"/>
    <x v="1"/>
    <d v="2016-01-28T19:54:00"/>
    <x v="10"/>
    <x v="1"/>
    <x v="18"/>
    <n v="6"/>
    <m/>
    <n v="141.1"/>
    <n v="24.900000000000002"/>
  </r>
  <r>
    <s v="SBG - Desktop"/>
    <x v="1"/>
    <s v="Bug"/>
    <s v="DESK-3862"/>
    <s v="Remove Tracking code for Desktop CN and Mobile CN"/>
    <s v="Bug"/>
    <x v="1"/>
    <d v="2016-01-28T19:55:00"/>
    <x v="10"/>
    <x v="1"/>
    <x v="1"/>
    <n v="4"/>
    <m/>
    <n v="141.1"/>
    <n v="24.900000000000002"/>
  </r>
  <r>
    <s v="SBG - Desktop"/>
    <x v="1"/>
    <s v="Bug"/>
    <s v="DESK-3862"/>
    <s v="Remove Tracking code for Desktop CN and Mobile CN"/>
    <s v="Bug"/>
    <x v="1"/>
    <d v="2016-01-29T16:50:00"/>
    <x v="10"/>
    <x v="1"/>
    <x v="1"/>
    <n v="2"/>
    <m/>
    <n v="141.1"/>
    <n v="24.900000000000002"/>
  </r>
  <r>
    <s v="SBG - Desktop"/>
    <x v="2"/>
    <s v="Bug"/>
    <s v="DESK-3876"/>
    <s v="Fast Shipping display bug"/>
    <s v="Bug"/>
    <x v="1"/>
    <d v="2015-12-14T16:08:00"/>
    <x v="9"/>
    <x v="0"/>
    <x v="11"/>
    <n v="2"/>
    <m/>
    <n v="147.9"/>
    <n v="26.100000000000005"/>
  </r>
  <r>
    <s v="SBG - Desktop"/>
    <x v="2"/>
    <s v="Bug"/>
    <s v="DESK-3876"/>
    <s v="Fast Shipping display bug"/>
    <s v="Bug"/>
    <x v="1"/>
    <d v="2016-01-14T09:30:00"/>
    <x v="10"/>
    <x v="1"/>
    <x v="11"/>
    <n v="8"/>
    <s v="fix log, was 2d"/>
    <n v="141.1"/>
    <n v="24.900000000000002"/>
  </r>
  <r>
    <s v="SBG - Desktop"/>
    <x v="1"/>
    <s v="Bug"/>
    <s v="DESK-3876"/>
    <s v="Fast Shipping display bug"/>
    <s v="Bug"/>
    <x v="1"/>
    <d v="2016-01-18T14:56:00"/>
    <x v="10"/>
    <x v="1"/>
    <x v="23"/>
    <n v="1"/>
    <m/>
    <n v="141.1"/>
    <n v="24.900000000000002"/>
  </r>
  <r>
    <s v="SBG - Desktop"/>
    <x v="2"/>
    <s v="Bug"/>
    <s v="DESK-3876"/>
    <s v="Fast Shipping display bug"/>
    <s v="Bug"/>
    <x v="1"/>
    <d v="2016-01-19T21:30:00"/>
    <x v="10"/>
    <x v="1"/>
    <x v="11"/>
    <n v="16"/>
    <m/>
    <n v="141.1"/>
    <n v="24.900000000000002"/>
  </r>
  <r>
    <s v="SBG - Desktop"/>
    <x v="1"/>
    <s v="Bug"/>
    <s v="DESK-3876"/>
    <s v="Fast Shipping display bug"/>
    <s v="Bug"/>
    <x v="1"/>
    <d v="2016-01-21T16:53:00"/>
    <x v="10"/>
    <x v="1"/>
    <x v="23"/>
    <n v="1"/>
    <m/>
    <n v="141.1"/>
    <n v="24.900000000000002"/>
  </r>
  <r>
    <s v="SBG - Desktop"/>
    <x v="1"/>
    <s v="Bug"/>
    <s v="DESK-3876"/>
    <s v="Fast Shipping display bug"/>
    <s v="Bug"/>
    <x v="1"/>
    <d v="2016-01-22T14:26:00"/>
    <x v="10"/>
    <x v="1"/>
    <x v="23"/>
    <n v="1.5"/>
    <m/>
    <n v="141.1"/>
    <n v="24.900000000000002"/>
  </r>
  <r>
    <s v="SBG - Desktop"/>
    <x v="1"/>
    <s v="Bug"/>
    <s v="DESK-3876"/>
    <s v="Fast Shipping display bug"/>
    <s v="Bug"/>
    <x v="1"/>
    <d v="2016-01-25T11:39:00"/>
    <x v="10"/>
    <x v="1"/>
    <x v="30"/>
    <n v="1"/>
    <m/>
    <n v="141.1"/>
    <n v="24.900000000000002"/>
  </r>
  <r>
    <s v="SBG - Desktop"/>
    <x v="2"/>
    <s v="Bug"/>
    <s v="DESK-3876"/>
    <s v="Fast Shipping display bug"/>
    <s v="Bug"/>
    <x v="1"/>
    <d v="2016-01-25T12:53:00"/>
    <x v="10"/>
    <x v="1"/>
    <x v="11"/>
    <n v="5"/>
    <m/>
    <n v="141.1"/>
    <n v="24.900000000000002"/>
  </r>
  <r>
    <s v="SBG - Desktop"/>
    <x v="1"/>
    <s v="Bug"/>
    <s v="DESK-3876"/>
    <s v="Fast Shipping display bug"/>
    <s v="Bug"/>
    <x v="1"/>
    <d v="2016-01-25T18:56:00"/>
    <x v="10"/>
    <x v="1"/>
    <x v="30"/>
    <n v="1"/>
    <m/>
    <n v="141.1"/>
    <n v="24.900000000000002"/>
  </r>
  <r>
    <s v="SBG - Desktop"/>
    <x v="2"/>
    <s v="Bug"/>
    <s v="DESK-3876"/>
    <s v="Fast Shipping display bug"/>
    <s v="Bug"/>
    <x v="1"/>
    <d v="2016-01-25T23:30:00"/>
    <x v="10"/>
    <x v="1"/>
    <x v="11"/>
    <n v="2"/>
    <m/>
    <n v="141.1"/>
    <n v="24.900000000000002"/>
  </r>
  <r>
    <s v="SBG - Desktop"/>
    <x v="2"/>
    <s v="Bug"/>
    <s v="DESK-3876"/>
    <s v="Fast Shipping display bug"/>
    <s v="Bug"/>
    <x v="1"/>
    <d v="2016-01-26T21:30:00"/>
    <x v="10"/>
    <x v="1"/>
    <x v="11"/>
    <n v="4"/>
    <m/>
    <n v="141.1"/>
    <n v="24.900000000000002"/>
  </r>
  <r>
    <s v="SBG - Desktop"/>
    <x v="2"/>
    <s v="Bug"/>
    <s v="DESK-3876"/>
    <s v="Fast Shipping display bug"/>
    <s v="Bug"/>
    <x v="1"/>
    <d v="2016-01-28T09:36:00"/>
    <x v="10"/>
    <x v="1"/>
    <x v="11"/>
    <n v="12"/>
    <m/>
    <n v="141.1"/>
    <n v="24.900000000000002"/>
  </r>
  <r>
    <s v="SBG - Desktop"/>
    <x v="1"/>
    <s v="Bug"/>
    <s v="DESK-3876"/>
    <s v="Fast Shipping display bug"/>
    <s v="Bug"/>
    <x v="1"/>
    <d v="2016-01-29T11:58:00"/>
    <x v="10"/>
    <x v="1"/>
    <x v="23"/>
    <n v="4"/>
    <m/>
    <n v="141.1"/>
    <n v="24.900000000000002"/>
  </r>
  <r>
    <s v="SBG - Desktop"/>
    <x v="1"/>
    <s v="Bug"/>
    <s v="DESK-3876"/>
    <s v="Fast Shipping display bug"/>
    <s v="Bug"/>
    <x v="1"/>
    <d v="2016-01-29T12:22:00"/>
    <x v="10"/>
    <x v="1"/>
    <x v="30"/>
    <n v="2"/>
    <m/>
    <n v="141.1"/>
    <n v="24.900000000000002"/>
  </r>
  <r>
    <s v="SBG - Desktop"/>
    <x v="0"/>
    <s v="Bug"/>
    <s v="DESK-3893"/>
    <s v="Shopping limits DE - message displaying in chinese"/>
    <s v="Bug"/>
    <x v="1"/>
    <d v="2016-01-26T16:23:00"/>
    <x v="10"/>
    <x v="1"/>
    <x v="19"/>
    <n v="1"/>
    <m/>
    <n v="83"/>
    <n v="83"/>
  </r>
  <r>
    <s v="SBG - Desktop"/>
    <x v="2"/>
    <s v="Bug"/>
    <s v="DESK-3898"/>
    <s v="image url encoding issue"/>
    <s v="Bug"/>
    <x v="1"/>
    <d v="2015-12-09T16:27:00"/>
    <x v="9"/>
    <x v="0"/>
    <x v="2"/>
    <n v="2"/>
    <s v="testing"/>
    <n v="147.9"/>
    <n v="26.100000000000005"/>
  </r>
  <r>
    <s v="SBG - Desktop"/>
    <x v="1"/>
    <s v="Bug"/>
    <s v="DESK-3898"/>
    <s v="image url encoding issue"/>
    <s v="Bug"/>
    <x v="1"/>
    <d v="2015-12-11T17:50:00"/>
    <x v="9"/>
    <x v="0"/>
    <x v="1"/>
    <n v="1"/>
    <m/>
    <n v="147.9"/>
    <n v="26.100000000000005"/>
  </r>
  <r>
    <s v="SBG - Desktop"/>
    <x v="1"/>
    <s v="Bug"/>
    <s v="DESK-3898"/>
    <s v="image url encoding issue"/>
    <s v="Bug"/>
    <x v="1"/>
    <d v="2015-12-14T18:00:00"/>
    <x v="9"/>
    <x v="0"/>
    <x v="1"/>
    <n v="1"/>
    <m/>
    <n v="147.9"/>
    <n v="26.100000000000005"/>
  </r>
  <r>
    <s v="SBG - Desktop"/>
    <x v="2"/>
    <s v="Bug"/>
    <s v="DESK-3901"/>
    <s v="Feed refresh issue"/>
    <s v="Bug"/>
    <x v="1"/>
    <d v="2015-12-15T10:31:00"/>
    <x v="9"/>
    <x v="0"/>
    <x v="16"/>
    <n v="4"/>
    <m/>
    <n v="147.9"/>
    <n v="26.100000000000005"/>
  </r>
  <r>
    <s v="SBG - Desktop"/>
    <x v="1"/>
    <s v="Bug"/>
    <s v="DESK-3928"/>
    <s v="Remove optical center on secondary english domain"/>
    <s v="Bug"/>
    <x v="1"/>
    <d v="2016-01-04T11:18:00"/>
    <x v="10"/>
    <x v="1"/>
    <x v="21"/>
    <n v="3"/>
    <m/>
    <n v="141.1"/>
    <n v="24.900000000000002"/>
  </r>
  <r>
    <s v="SBG - Desktop"/>
    <x v="1"/>
    <s v="Bug"/>
    <s v="DESK-3928"/>
    <s v="Remove optical center on secondary english domain"/>
    <s v="Bug"/>
    <x v="1"/>
    <d v="2016-01-04T15:33:00"/>
    <x v="10"/>
    <x v="1"/>
    <x v="21"/>
    <n v="2"/>
    <m/>
    <n v="141.1"/>
    <n v="24.900000000000002"/>
  </r>
  <r>
    <s v="SBG - Desktop"/>
    <x v="1"/>
    <s v="Bug"/>
    <s v="DESK-3928"/>
    <s v="Remove optical center on secondary english domain"/>
    <s v="Bug"/>
    <x v="1"/>
    <d v="2016-01-06T12:51:00"/>
    <x v="10"/>
    <x v="1"/>
    <x v="21"/>
    <n v="8"/>
    <m/>
    <n v="141.1"/>
    <n v="24.900000000000002"/>
  </r>
  <r>
    <s v="SBG - Desktop"/>
    <x v="2"/>
    <s v="Bug"/>
    <s v="DESK-3929"/>
    <s v="Wrong image for countries on servers using GIT"/>
    <s v="Bug"/>
    <x v="1"/>
    <d v="2016-01-20T16:37:00"/>
    <x v="10"/>
    <x v="1"/>
    <x v="29"/>
    <n v="0.5"/>
    <m/>
    <n v="141.1"/>
    <n v="24.900000000000002"/>
  </r>
  <r>
    <s v="SBG - Desktop"/>
    <x v="1"/>
    <s v="Bug"/>
    <s v="DESK-3929"/>
    <s v="Wrong image for countries on servers using GIT"/>
    <s v="Bug"/>
    <x v="1"/>
    <d v="2016-01-21T11:01:00"/>
    <x v="10"/>
    <x v="1"/>
    <x v="26"/>
    <n v="1"/>
    <m/>
    <n v="141.1"/>
    <n v="24.900000000000002"/>
  </r>
  <r>
    <s v="SBG - Desktop"/>
    <x v="2"/>
    <s v="Bug"/>
    <s v="DESK-3935"/>
    <s v="Bug on live chat display"/>
    <s v="Bug"/>
    <x v="1"/>
    <d v="2016-01-21T08:39:00"/>
    <x v="10"/>
    <x v="1"/>
    <x v="10"/>
    <n v="2"/>
    <m/>
    <n v="141.1"/>
    <n v="24.900000000000002"/>
  </r>
  <r>
    <s v="SBG - Desktop"/>
    <x v="0"/>
    <s v="Bug"/>
    <s v="DESK-3935"/>
    <s v="Bug on live chat display"/>
    <s v="Bug"/>
    <x v="1"/>
    <d v="2016-01-26T09:30:00"/>
    <x v="10"/>
    <x v="1"/>
    <x v="19"/>
    <n v="7"/>
    <m/>
    <n v="83"/>
    <n v="83"/>
  </r>
  <r>
    <s v="SBG - Desktop"/>
    <x v="1"/>
    <s v="Bug"/>
    <s v="DESK-3935"/>
    <s v="Bug on live chat display"/>
    <s v="Bug"/>
    <x v="1"/>
    <d v="2016-01-26T16:19:00"/>
    <x v="10"/>
    <x v="1"/>
    <x v="1"/>
    <n v="1"/>
    <m/>
    <n v="141.1"/>
    <n v="24.900000000000002"/>
  </r>
  <r>
    <s v="SBG - Desktop"/>
    <x v="2"/>
    <s v="Bug"/>
    <s v="DESK-3935"/>
    <s v="Bug on live chat display"/>
    <s v="Bug"/>
    <x v="1"/>
    <d v="2016-01-26T17:22:00"/>
    <x v="10"/>
    <x v="1"/>
    <x v="10"/>
    <n v="2"/>
    <m/>
    <n v="141.1"/>
    <n v="24.900000000000002"/>
  </r>
  <r>
    <s v="SBG - Desktop"/>
    <x v="0"/>
    <s v="Bug"/>
    <s v="DESK-3935"/>
    <s v="Bug on live chat display"/>
    <s v="Bug"/>
    <x v="1"/>
    <d v="2016-01-27T09:22:00"/>
    <x v="10"/>
    <x v="1"/>
    <x v="19"/>
    <n v="8"/>
    <m/>
    <n v="83"/>
    <n v="83"/>
  </r>
  <r>
    <s v="SBG - Desktop"/>
    <x v="0"/>
    <s v="Bug"/>
    <s v="DESK-3935"/>
    <s v="Bug on live chat display"/>
    <s v="Bug"/>
    <x v="1"/>
    <d v="2016-01-29T15:22:00"/>
    <x v="10"/>
    <x v="1"/>
    <x v="19"/>
    <n v="2"/>
    <m/>
    <n v="83"/>
    <n v="83"/>
  </r>
  <r>
    <s v="SBG - Desktop"/>
    <x v="0"/>
    <s v="Bug"/>
    <s v="DESK-3935"/>
    <s v="Bug on live chat display"/>
    <s v="Bug"/>
    <x v="1"/>
    <d v="2016-01-29T15:23:00"/>
    <x v="10"/>
    <x v="1"/>
    <x v="19"/>
    <n v="2"/>
    <m/>
    <n v="83"/>
    <n v="83"/>
  </r>
  <r>
    <s v="SBG - Desktop"/>
    <x v="1"/>
    <s v="Bug"/>
    <s v="DESK-3969"/>
    <s v="SW0236249210G This new order doesn´t show in Cx´s account. Please add it and get back within 24 hours."/>
    <s v="Bug"/>
    <x v="1"/>
    <d v="2016-01-11T14:55:00"/>
    <x v="10"/>
    <x v="1"/>
    <x v="23"/>
    <n v="1"/>
    <m/>
    <n v="141.1"/>
    <n v="24.900000000000002"/>
  </r>
  <r>
    <s v="SBG - Desktop"/>
    <x v="1"/>
    <s v="Bug"/>
    <s v="DESK-3969"/>
    <s v="SW0236249210G This new order doesn´t show in Cx´s account. Please add it and get back within 24 hours."/>
    <s v="Bug"/>
    <x v="1"/>
    <d v="2016-01-13T11:35:00"/>
    <x v="10"/>
    <x v="1"/>
    <x v="23"/>
    <n v="2"/>
    <m/>
    <n v="141.1"/>
    <n v="24.900000000000002"/>
  </r>
  <r>
    <s v="SBG - Desktop"/>
    <x v="1"/>
    <s v="Bug"/>
    <s v="DESK-3969"/>
    <s v="SW0236249210G This new order doesn´t show in Cx´s account. Please add it and get back within 24 hours."/>
    <s v="Bug"/>
    <x v="1"/>
    <d v="2016-01-15T12:56:00"/>
    <x v="10"/>
    <x v="1"/>
    <x v="23"/>
    <n v="3"/>
    <m/>
    <n v="141.1"/>
    <n v="24.900000000000002"/>
  </r>
  <r>
    <s v="SBG - Desktop"/>
    <x v="1"/>
    <s v="Bug"/>
    <s v="DESK-3972"/>
    <s v="Progressive Lens - Send Later - Essilor 1.50 missing in lens recommendation"/>
    <s v="Bug"/>
    <x v="1"/>
    <d v="2015-12-10T17:12:00"/>
    <x v="9"/>
    <x v="0"/>
    <x v="23"/>
    <n v="2"/>
    <m/>
    <n v="147.9"/>
    <n v="26.100000000000005"/>
  </r>
  <r>
    <s v="SBG - Desktop"/>
    <x v="1"/>
    <s v="Bug"/>
    <s v="DESK-3972"/>
    <s v="Progressive Lens - Send Later - Essilor 1.50 missing in lens recommendation"/>
    <s v="Bug"/>
    <x v="1"/>
    <d v="2015-12-11T17:27:00"/>
    <x v="9"/>
    <x v="0"/>
    <x v="23"/>
    <n v="2"/>
    <m/>
    <n v="147.9"/>
    <n v="26.100000000000005"/>
  </r>
  <r>
    <s v="SBG - Desktop"/>
    <x v="2"/>
    <s v="Bug"/>
    <s v="DESK-3988"/>
    <s v="BLOC- Ski Goggles Filter Not Activated"/>
    <s v="Bug"/>
    <x v="1"/>
    <d v="2016-01-29T16:55:00"/>
    <x v="10"/>
    <x v="1"/>
    <x v="29"/>
    <n v="3"/>
    <m/>
    <n v="141.1"/>
    <n v="24.900000000000002"/>
  </r>
  <r>
    <s v="SBG - Desktop"/>
    <x v="1"/>
    <s v="Bug"/>
    <s v="DESK-4019"/>
    <s v="Product pages cant be access from mobile"/>
    <s v="Bug"/>
    <x v="1"/>
    <d v="2016-01-04T16:00:00"/>
    <x v="10"/>
    <x v="1"/>
    <x v="30"/>
    <n v="3"/>
    <m/>
    <n v="141.1"/>
    <n v="24.900000000000002"/>
  </r>
  <r>
    <s v="SBG - Desktop"/>
    <x v="1"/>
    <s v="Sub-task"/>
    <s v="DESK-4041"/>
    <s v="DESK-3712&gt; Test case design and execution"/>
    <s v="Sub-task"/>
    <x v="0"/>
    <d v="2015-12-03T18:32:00"/>
    <x v="9"/>
    <x v="0"/>
    <x v="30"/>
    <n v="1"/>
    <m/>
    <n v="147.9"/>
    <n v="26.100000000000005"/>
  </r>
  <r>
    <s v="SBG - Desktop"/>
    <x v="2"/>
    <s v="Sub-task"/>
    <s v="DESK-4083"/>
    <s v="DESK-3921&gt; paypal icon position"/>
    <s v="Sub-task"/>
    <x v="0"/>
    <d v="2015-12-21T16:09:00"/>
    <x v="9"/>
    <x v="0"/>
    <x v="4"/>
    <n v="3"/>
    <m/>
    <n v="87"/>
    <n v="87"/>
  </r>
  <r>
    <s v="SBG - Desktop"/>
    <x v="1"/>
    <s v="Technical task"/>
    <s v="DESK-4099"/>
    <s v="DESK-3549&gt; Test case design and execution"/>
    <s v="Technical task"/>
    <x v="0"/>
    <d v="2015-12-01T15:18:00"/>
    <x v="9"/>
    <x v="0"/>
    <x v="1"/>
    <n v="1"/>
    <m/>
    <n v="147.9"/>
    <n v="26.100000000000005"/>
  </r>
  <r>
    <s v="SBG - Desktop"/>
    <x v="1"/>
    <s v="Technical task"/>
    <s v="DESK-4113"/>
    <s v="DESK-3706&gt; Test case design and execution"/>
    <s v="Technical task"/>
    <x v="0"/>
    <d v="2015-12-02T15:45:00"/>
    <x v="9"/>
    <x v="0"/>
    <x v="1"/>
    <n v="2"/>
    <m/>
    <n v="147.9"/>
    <n v="26.100000000000005"/>
  </r>
  <r>
    <s v="SBG - Desktop"/>
    <x v="1"/>
    <s v="Technical task"/>
    <s v="DESK-4113"/>
    <s v="DESK-3706&gt; Test case design and execution"/>
    <s v="Technical task"/>
    <x v="0"/>
    <d v="2015-12-07T16:41:00"/>
    <x v="9"/>
    <x v="0"/>
    <x v="1"/>
    <n v="1"/>
    <m/>
    <n v="147.9"/>
    <n v="26.100000000000005"/>
  </r>
  <r>
    <s v="SBG - Desktop"/>
    <x v="1"/>
    <s v="Technical task"/>
    <s v="DESK-4113"/>
    <s v="DESK-3706&gt; Test case design and execution"/>
    <s v="Technical task"/>
    <x v="0"/>
    <d v="2015-12-07T17:11:00"/>
    <x v="9"/>
    <x v="0"/>
    <x v="1"/>
    <n v="2"/>
    <m/>
    <n v="147.9"/>
    <n v="26.100000000000005"/>
  </r>
  <r>
    <s v="SBG - Desktop"/>
    <x v="1"/>
    <s v="Technical task"/>
    <s v="DESK-4113"/>
    <s v="DESK-3706&gt; Test case design and execution"/>
    <s v="Technical task"/>
    <x v="0"/>
    <d v="2015-12-08T11:47:00"/>
    <x v="9"/>
    <x v="0"/>
    <x v="26"/>
    <n v="0.1"/>
    <m/>
    <n v="147.9"/>
    <n v="26.100000000000005"/>
  </r>
  <r>
    <s v="SBG - Desktop"/>
    <x v="1"/>
    <s v="Technical task"/>
    <s v="DESK-4113"/>
    <s v="DESK-3706&gt; Test case design and execution"/>
    <s v="Technical task"/>
    <x v="0"/>
    <d v="2015-12-08T17:43:00"/>
    <x v="9"/>
    <x v="0"/>
    <x v="1"/>
    <n v="1"/>
    <m/>
    <n v="147.9"/>
    <n v="26.100000000000005"/>
  </r>
  <r>
    <s v="SBG - Desktop"/>
    <x v="1"/>
    <s v="Sub-task"/>
    <s v="DESK-5393"/>
    <s v="DESK-5033&gt; Test case design and execution"/>
    <s v="Sub-task"/>
    <x v="0"/>
    <d v="2015-12-04T18:47:00"/>
    <x v="9"/>
    <x v="0"/>
    <x v="26"/>
    <n v="1"/>
    <m/>
    <n v="147.9"/>
    <n v="26.100000000000005"/>
  </r>
  <r>
    <s v="SBG - Desktop"/>
    <x v="2"/>
    <s v="Bug"/>
    <s v="DESK-6793"/>
    <s v="Error in code for Affiliate Window (UK affiliate network)"/>
    <s v="Bug"/>
    <x v="1"/>
    <d v="2016-01-20T16:06:00"/>
    <x v="10"/>
    <x v="1"/>
    <x v="10"/>
    <n v="2"/>
    <m/>
    <n v="141.1"/>
    <n v="24.900000000000002"/>
  </r>
  <r>
    <s v="SBG - Desktop"/>
    <x v="1"/>
    <s v="Bug"/>
    <s v="DESK-6793"/>
    <s v="Error in code for Affiliate Window (UK affiliate network)"/>
    <s v="Bug"/>
    <x v="1"/>
    <d v="2016-01-20T18:37:00"/>
    <x v="10"/>
    <x v="1"/>
    <x v="30"/>
    <n v="1"/>
    <m/>
    <n v="141.1"/>
    <n v="24.900000000000002"/>
  </r>
  <r>
    <s v="SBG - Desktop"/>
    <x v="1"/>
    <s v="Bug"/>
    <s v="DESK-6805"/>
    <s v="No sitemap .xml files for TR, pls generate it"/>
    <s v="Bug"/>
    <x v="1"/>
    <d v="2015-12-10T16:12:00"/>
    <x v="9"/>
    <x v="0"/>
    <x v="1"/>
    <n v="1"/>
    <m/>
    <n v="147.9"/>
    <n v="26.100000000000005"/>
  </r>
  <r>
    <s v="SBG - Desktop"/>
    <x v="2"/>
    <s v="Bug"/>
    <s v="DESK-6831"/>
    <s v="Invoice Update---some bugs need to fix"/>
    <s v="Bug"/>
    <x v="1"/>
    <d v="2015-12-02T11:05:00"/>
    <x v="9"/>
    <x v="0"/>
    <x v="18"/>
    <n v="8"/>
    <m/>
    <n v="147.9"/>
    <n v="26.100000000000005"/>
  </r>
  <r>
    <s v="SBG - Desktop"/>
    <x v="2"/>
    <s v="Bug"/>
    <s v="DESK-6831"/>
    <s v="Invoice Update---some bugs need to fix"/>
    <s v="Bug"/>
    <x v="1"/>
    <d v="2016-01-27T17:25:00"/>
    <x v="10"/>
    <x v="1"/>
    <x v="18"/>
    <n v="1"/>
    <m/>
    <n v="141.1"/>
    <n v="24.900000000000002"/>
  </r>
  <r>
    <s v="SBG - Desktop"/>
    <x v="2"/>
    <s v="Task"/>
    <s v="DESK-6949"/>
    <s v="Update Tags Effiliation/Effinity BR"/>
    <s v="Task"/>
    <x v="0"/>
    <d v="2016-01-28T15:33:00"/>
    <x v="10"/>
    <x v="1"/>
    <x v="29"/>
    <n v="1"/>
    <m/>
    <n v="141.1"/>
    <n v="24.900000000000002"/>
  </r>
  <r>
    <s v="SBG - Desktop"/>
    <x v="2"/>
    <s v="Task"/>
    <s v="DESK-6954"/>
    <s v="add a new column into color feed and place the image URL from new amazon cdn into it"/>
    <s v="Task"/>
    <x v="0"/>
    <d v="2015-12-28T14:32:00"/>
    <x v="9"/>
    <x v="0"/>
    <x v="16"/>
    <n v="2"/>
    <m/>
    <n v="147.9"/>
    <n v="26.100000000000005"/>
  </r>
  <r>
    <s v="SBG - Desktop"/>
    <x v="2"/>
    <s v="Task"/>
    <s v="DESK-6954"/>
    <s v="add a new column into color feed and place the image URL from new amazon cdn into it"/>
    <s v="Task"/>
    <x v="0"/>
    <d v="2015-12-29T10:31:00"/>
    <x v="9"/>
    <x v="0"/>
    <x v="16"/>
    <n v="1"/>
    <m/>
    <n v="147.9"/>
    <n v="26.100000000000005"/>
  </r>
  <r>
    <s v="SBG - Desktop"/>
    <x v="2"/>
    <s v="Task"/>
    <s v="DESK-6954"/>
    <s v="add a new column into color feed and place the image URL from new amazon cdn into it"/>
    <s v="Task"/>
    <x v="0"/>
    <d v="2015-12-31T10:47:00"/>
    <x v="9"/>
    <x v="0"/>
    <x v="16"/>
    <n v="1"/>
    <m/>
    <n v="147.9"/>
    <n v="26.100000000000005"/>
  </r>
  <r>
    <s v="SBG - Desktop"/>
    <x v="2"/>
    <s v="Task"/>
    <s v="DESK-6963"/>
    <s v="please minimize the number of DB connection on header&amp;footer"/>
    <s v="Task"/>
    <x v="0"/>
    <d v="2016-01-27T17:32:00"/>
    <x v="10"/>
    <x v="1"/>
    <x v="22"/>
    <n v="2"/>
    <m/>
    <n v="141.1"/>
    <n v="24.900000000000002"/>
  </r>
  <r>
    <s v="SBG - Desktop"/>
    <x v="1"/>
    <s v="Task"/>
    <s v="DESK-6977"/>
    <s v="Replace Top Right HomePage Banners"/>
    <s v="Task"/>
    <x v="0"/>
    <d v="2016-01-08T12:22:00"/>
    <x v="10"/>
    <x v="1"/>
    <x v="30"/>
    <n v="4"/>
    <m/>
    <n v="141.1"/>
    <n v="24.900000000000002"/>
  </r>
  <r>
    <s v="SBG - Desktop"/>
    <x v="0"/>
    <s v="Task"/>
    <s v="DESK-6977"/>
    <s v="Replace Top Right HomePage Banners"/>
    <s v="Task"/>
    <x v="0"/>
    <d v="2016-01-11T12:03:00"/>
    <x v="10"/>
    <x v="1"/>
    <x v="7"/>
    <n v="0.5"/>
    <m/>
    <n v="83"/>
    <n v="83"/>
  </r>
  <r>
    <s v="SBG - Desktop"/>
    <x v="1"/>
    <s v="Task"/>
    <s v="DESK-6977"/>
    <s v="Replace Top Right HomePage Banners"/>
    <s v="Task"/>
    <x v="0"/>
    <d v="2016-01-11T16:49:00"/>
    <x v="10"/>
    <x v="1"/>
    <x v="30"/>
    <n v="2"/>
    <m/>
    <n v="141.1"/>
    <n v="24.900000000000002"/>
  </r>
  <r>
    <s v="SBG - Desktop"/>
    <x v="2"/>
    <s v="Task"/>
    <s v="DESK-6977"/>
    <s v="Replace Top Right HomePage Banners"/>
    <s v="Task"/>
    <x v="0"/>
    <d v="2016-01-11T17:28:00"/>
    <x v="10"/>
    <x v="1"/>
    <x v="31"/>
    <n v="1"/>
    <m/>
    <n v="141.1"/>
    <n v="24.900000000000002"/>
  </r>
  <r>
    <s v="SBG - Desktop"/>
    <x v="2"/>
    <s v="Task"/>
    <s v="DESK-6977"/>
    <s v="Replace Top Right HomePage Banners"/>
    <s v="Task"/>
    <x v="0"/>
    <d v="2016-01-27T17:32:00"/>
    <x v="10"/>
    <x v="1"/>
    <x v="31"/>
    <n v="4"/>
    <m/>
    <n v="141.1"/>
    <n v="24.900000000000002"/>
  </r>
  <r>
    <s v="SBG - Desktop"/>
    <x v="1"/>
    <s v="Task"/>
    <s v="DESK-6987"/>
    <s v="Remove Old conversion tag for Commission Factory"/>
    <s v="Task"/>
    <x v="0"/>
    <d v="2015-12-04T17:32:00"/>
    <x v="9"/>
    <x v="0"/>
    <x v="30"/>
    <n v="2"/>
    <m/>
    <n v="147.9"/>
    <n v="26.100000000000005"/>
  </r>
  <r>
    <s v="SBG - Desktop"/>
    <x v="1"/>
    <s v="Task"/>
    <s v="DESK-6987"/>
    <s v="Remove Old conversion tag for Commission Factory"/>
    <s v="Task"/>
    <x v="0"/>
    <d v="2015-12-14T17:46:00"/>
    <x v="9"/>
    <x v="0"/>
    <x v="30"/>
    <n v="3"/>
    <m/>
    <n v="147.9"/>
    <n v="26.100000000000005"/>
  </r>
  <r>
    <s v="SBG - Desktop"/>
    <x v="2"/>
    <s v="Task"/>
    <s v="DESK-6987"/>
    <s v="Remove Old conversion tag for Commission Factory"/>
    <s v="Task"/>
    <x v="0"/>
    <d v="2015-12-17T12:17:00"/>
    <x v="9"/>
    <x v="0"/>
    <x v="29"/>
    <n v="2"/>
    <m/>
    <n v="147.9"/>
    <n v="26.100000000000005"/>
  </r>
  <r>
    <s v="SBG - Desktop"/>
    <x v="1"/>
    <s v="Task"/>
    <s v="DESK-6987"/>
    <s v="Remove Old conversion tag for Commission Factory"/>
    <s v="Task"/>
    <x v="0"/>
    <d v="2015-12-18T15:33:00"/>
    <x v="9"/>
    <x v="0"/>
    <x v="30"/>
    <n v="1"/>
    <m/>
    <n v="147.9"/>
    <n v="26.100000000000005"/>
  </r>
  <r>
    <s v="SBG - Desktop"/>
    <x v="1"/>
    <s v="Task"/>
    <s v="DESK-6987"/>
    <s v="Remove Old conversion tag for Commission Factory"/>
    <s v="Task"/>
    <x v="0"/>
    <d v="2015-12-25T17:57:00"/>
    <x v="9"/>
    <x v="0"/>
    <x v="30"/>
    <n v="4"/>
    <m/>
    <n v="147.9"/>
    <n v="26.100000000000005"/>
  </r>
  <r>
    <s v="SBG - Desktop"/>
    <x v="2"/>
    <s v="Task"/>
    <s v="DESK-7018"/>
    <s v="Live Chat Function on CN"/>
    <s v="Task"/>
    <x v="0"/>
    <d v="2015-12-17T13:35:00"/>
    <x v="9"/>
    <x v="0"/>
    <x v="10"/>
    <n v="5"/>
    <m/>
    <n v="147.9"/>
    <n v="26.100000000000005"/>
  </r>
  <r>
    <s v="SBG - Desktop"/>
    <x v="2"/>
    <s v="Task"/>
    <s v="DESK-7018"/>
    <s v="Live Chat Function on CN"/>
    <s v="Task"/>
    <x v="0"/>
    <d v="2016-01-18T16:38:00"/>
    <x v="10"/>
    <x v="1"/>
    <x v="10"/>
    <n v="2"/>
    <m/>
    <n v="141.1"/>
    <n v="24.900000000000002"/>
  </r>
  <r>
    <s v="SBG - Desktop"/>
    <x v="2"/>
    <s v="Task"/>
    <s v="DESK-7018"/>
    <s v="Live Chat Function on CN"/>
    <s v="Task"/>
    <x v="0"/>
    <d v="2016-01-19T06:40:00"/>
    <x v="10"/>
    <x v="1"/>
    <x v="10"/>
    <n v="4"/>
    <m/>
    <n v="141.1"/>
    <n v="24.900000000000002"/>
  </r>
  <r>
    <s v="SBG - Desktop"/>
    <x v="2"/>
    <s v="Task"/>
    <s v="DESK-7018"/>
    <s v="Live Chat Function on CN"/>
    <s v="Task"/>
    <x v="0"/>
    <d v="2016-01-25T17:24:00"/>
    <x v="10"/>
    <x v="1"/>
    <x v="10"/>
    <n v="4"/>
    <m/>
    <n v="141.1"/>
    <n v="24.900000000000002"/>
  </r>
  <r>
    <s v="SBG - Desktop"/>
    <x v="1"/>
    <s v="Task"/>
    <s v="DESK-7018"/>
    <s v="Live Chat Function on CN"/>
    <s v="Task"/>
    <x v="0"/>
    <d v="2016-01-26T16:20:00"/>
    <x v="10"/>
    <x v="1"/>
    <x v="1"/>
    <n v="1"/>
    <m/>
    <n v="141.1"/>
    <n v="24.900000000000002"/>
  </r>
  <r>
    <s v="SBG - Desktop"/>
    <x v="2"/>
    <s v="Task"/>
    <s v="DESK-7024"/>
    <s v="Urgent EDM HTMLs Updates"/>
    <s v="Task"/>
    <x v="0"/>
    <d v="2016-01-13T18:09:00"/>
    <x v="10"/>
    <x v="1"/>
    <x v="9"/>
    <n v="0.5"/>
    <m/>
    <n v="141.1"/>
    <n v="24.900000000000002"/>
  </r>
  <r>
    <s v="SBG - Desktop"/>
    <x v="2"/>
    <s v="Task"/>
    <s v="DESK-7033"/>
    <s v="Brand Update"/>
    <s v="Task"/>
    <x v="0"/>
    <d v="2015-12-23T14:36:00"/>
    <x v="9"/>
    <x v="0"/>
    <x v="10"/>
    <n v="4"/>
    <m/>
    <n v="147.9"/>
    <n v="26.100000000000005"/>
  </r>
  <r>
    <s v="SBG - Desktop"/>
    <x v="2"/>
    <s v="Task"/>
    <s v="DESK-7033"/>
    <s v="Brand Update"/>
    <s v="Task"/>
    <x v="0"/>
    <d v="2015-12-28T09:26:00"/>
    <x v="9"/>
    <x v="0"/>
    <x v="10"/>
    <n v="3"/>
    <m/>
    <n v="147.9"/>
    <n v="26.100000000000005"/>
  </r>
  <r>
    <s v="SBG - Desktop"/>
    <x v="2"/>
    <s v="Task"/>
    <s v="DESK-7033"/>
    <s v="Brand Update"/>
    <s v="Task"/>
    <x v="0"/>
    <d v="2015-12-28T18:41:00"/>
    <x v="9"/>
    <x v="0"/>
    <x v="2"/>
    <n v="3"/>
    <m/>
    <n v="147.9"/>
    <n v="26.100000000000005"/>
  </r>
  <r>
    <s v="SBG - Desktop"/>
    <x v="1"/>
    <s v="Task"/>
    <s v="DESK-7033"/>
    <s v="Brand Update"/>
    <s v="Task"/>
    <x v="0"/>
    <d v="2015-12-28T19:26:00"/>
    <x v="9"/>
    <x v="0"/>
    <x v="8"/>
    <n v="6"/>
    <m/>
    <n v="147.9"/>
    <n v="26.100000000000005"/>
  </r>
  <r>
    <s v="SBG - Desktop"/>
    <x v="1"/>
    <s v="Task"/>
    <s v="DESK-7033"/>
    <s v="Brand Update"/>
    <s v="Task"/>
    <x v="0"/>
    <d v="2015-12-28T19:37:00"/>
    <x v="9"/>
    <x v="0"/>
    <x v="1"/>
    <n v="2"/>
    <m/>
    <n v="147.9"/>
    <n v="26.100000000000005"/>
  </r>
  <r>
    <s v="SBG - Desktop"/>
    <x v="1"/>
    <s v="Task"/>
    <s v="DESK-7067"/>
    <s v="PL EDM Template Launch"/>
    <s v="Task"/>
    <x v="0"/>
    <d v="2016-01-04T18:07:00"/>
    <x v="10"/>
    <x v="1"/>
    <x v="30"/>
    <n v="1"/>
    <m/>
    <n v="141.1"/>
    <n v="24.900000000000002"/>
  </r>
  <r>
    <s v="SBG - Desktop"/>
    <x v="1"/>
    <s v="Task"/>
    <s v="DESK-7067"/>
    <s v="PL EDM Template Launch"/>
    <s v="Task"/>
    <x v="0"/>
    <d v="2016-01-28T10:56:00"/>
    <x v="10"/>
    <x v="1"/>
    <x v="30"/>
    <n v="2"/>
    <m/>
    <n v="141.1"/>
    <n v="24.900000000000002"/>
  </r>
  <r>
    <s v="SBG - Desktop"/>
    <x v="1"/>
    <s v="Task"/>
    <s v="DESK-7067"/>
    <s v="PL EDM Template Launch"/>
    <s v="Task"/>
    <x v="0"/>
    <d v="2016-01-28T12:00:00"/>
    <x v="10"/>
    <x v="1"/>
    <x v="30"/>
    <n v="2"/>
    <m/>
    <n v="141.1"/>
    <n v="24.900000000000002"/>
  </r>
  <r>
    <s v="SBG - Desktop"/>
    <x v="2"/>
    <s v="Task"/>
    <s v="DESK-7156"/>
    <s v="Brand Promotion Manager investigation"/>
    <s v="Task"/>
    <x v="0"/>
    <d v="2015-12-01T14:10:00"/>
    <x v="9"/>
    <x v="0"/>
    <x v="22"/>
    <n v="4"/>
    <m/>
    <n v="147.9"/>
    <n v="26.100000000000005"/>
  </r>
  <r>
    <s v="SBG - Desktop"/>
    <x v="2"/>
    <s v="Task"/>
    <s v="DESK-7156"/>
    <s v="Brand Promotion Manager investigation"/>
    <s v="Task"/>
    <x v="0"/>
    <d v="2015-12-30T14:09:00"/>
    <x v="9"/>
    <x v="0"/>
    <x v="22"/>
    <n v="4"/>
    <m/>
    <n v="147.9"/>
    <n v="26.100000000000005"/>
  </r>
  <r>
    <s v="SBG - Desktop"/>
    <x v="2"/>
    <s v="Task"/>
    <s v="DESK-7156"/>
    <s v="Brand Promotion Manager investigation"/>
    <s v="Task"/>
    <x v="0"/>
    <d v="2016-01-22T16:50:00"/>
    <x v="10"/>
    <x v="1"/>
    <x v="22"/>
    <n v="1"/>
    <m/>
    <n v="141.1"/>
    <n v="24.900000000000002"/>
  </r>
  <r>
    <s v="SBG - Desktop"/>
    <x v="2"/>
    <s v="Task"/>
    <s v="DESK-7156"/>
    <s v="Brand Promotion Manager investigation"/>
    <s v="Task"/>
    <x v="0"/>
    <d v="2016-01-27T13:20:00"/>
    <x v="10"/>
    <x v="1"/>
    <x v="22"/>
    <n v="4.5"/>
    <m/>
    <n v="141.1"/>
    <n v="24.900000000000002"/>
  </r>
  <r>
    <s v="SBG - Desktop"/>
    <x v="2"/>
    <s v="Task"/>
    <s v="DESK-7186"/>
    <s v="Ray-Ban unisex products not loading for women"/>
    <s v="Task"/>
    <x v="0"/>
    <d v="2016-01-28T11:58:00"/>
    <x v="10"/>
    <x v="1"/>
    <x v="29"/>
    <n v="2"/>
    <m/>
    <n v="141.1"/>
    <n v="24.900000000000002"/>
  </r>
  <r>
    <s v="SBG - Desktop"/>
    <x v="1"/>
    <s v="Task"/>
    <s v="DESK-7186"/>
    <s v="Ray-Ban unisex products not loading for women"/>
    <s v="Task"/>
    <x v="0"/>
    <d v="2016-01-28T18:33:00"/>
    <x v="10"/>
    <x v="1"/>
    <x v="21"/>
    <n v="3"/>
    <m/>
    <n v="141.1"/>
    <n v="24.900000000000002"/>
  </r>
  <r>
    <s v="SBG - Desktop"/>
    <x v="1"/>
    <s v="Task"/>
    <s v="DESK-7240"/>
    <s v="Christmas Hat on Motion Global Logo"/>
    <s v="Task"/>
    <x v="0"/>
    <d v="2015-12-14T12:08:00"/>
    <x v="9"/>
    <x v="0"/>
    <x v="26"/>
    <n v="0.5"/>
    <m/>
    <n v="147.9"/>
    <n v="26.100000000000005"/>
  </r>
  <r>
    <s v="SBG - Desktop"/>
    <x v="0"/>
    <s v="Task"/>
    <s v="DESK-7242"/>
    <s v="Add optical center links on the website"/>
    <s v="Task"/>
    <x v="0"/>
    <d v="2015-12-07T14:48:00"/>
    <x v="9"/>
    <x v="0"/>
    <x v="19"/>
    <n v="2"/>
    <m/>
    <n v="87"/>
    <n v="87"/>
  </r>
  <r>
    <s v="SBG - Desktop"/>
    <x v="0"/>
    <s v="Task"/>
    <s v="DESK-7242"/>
    <s v="Add optical center links on the website"/>
    <s v="Task"/>
    <x v="0"/>
    <d v="2015-12-08T10:49:00"/>
    <x v="9"/>
    <x v="0"/>
    <x v="19"/>
    <n v="1"/>
    <m/>
    <n v="87"/>
    <n v="87"/>
  </r>
  <r>
    <s v="SBG - Desktop"/>
    <x v="0"/>
    <s v="Task"/>
    <s v="DESK-7242"/>
    <s v="Add optical center links on the website"/>
    <s v="Task"/>
    <x v="0"/>
    <d v="2015-12-08T14:02:00"/>
    <x v="9"/>
    <x v="0"/>
    <x v="19"/>
    <n v="2"/>
    <m/>
    <n v="87"/>
    <n v="87"/>
  </r>
  <r>
    <s v="SBG - Desktop"/>
    <x v="0"/>
    <s v="Task"/>
    <s v="DESK-7259"/>
    <s v="Add Hotline button to EDM - AU US UK"/>
    <s v="Task"/>
    <x v="0"/>
    <d v="2016-01-25T18:42:00"/>
    <x v="10"/>
    <x v="1"/>
    <x v="7"/>
    <n v="4"/>
    <m/>
    <n v="83"/>
    <n v="83"/>
  </r>
  <r>
    <s v="SBG - Desktop"/>
    <x v="0"/>
    <s v="Task"/>
    <s v="DESK-7259"/>
    <s v="Add Hotline button to EDM - AU US UK"/>
    <s v="Task"/>
    <x v="0"/>
    <d v="2016-01-26T18:11:00"/>
    <x v="10"/>
    <x v="1"/>
    <x v="7"/>
    <n v="7"/>
    <m/>
    <n v="83"/>
    <n v="83"/>
  </r>
  <r>
    <s v="SBG - Desktop"/>
    <x v="1"/>
    <s v="Task"/>
    <s v="DESK-7259"/>
    <s v="Add Hotline button to EDM - AU US UK"/>
    <s v="Task"/>
    <x v="0"/>
    <d v="2016-01-28T15:09:00"/>
    <x v="10"/>
    <x v="1"/>
    <x v="30"/>
    <n v="2"/>
    <m/>
    <n v="141.1"/>
    <n v="24.900000000000002"/>
  </r>
  <r>
    <s v="SBG - Desktop"/>
    <x v="1"/>
    <s v="Task"/>
    <s v="DESK-7259"/>
    <s v="Add Hotline button to EDM - AU US UK"/>
    <s v="Task"/>
    <x v="0"/>
    <d v="2016-01-29T12:22:00"/>
    <x v="10"/>
    <x v="1"/>
    <x v="30"/>
    <n v="1"/>
    <m/>
    <n v="141.1"/>
    <n v="24.900000000000002"/>
  </r>
  <r>
    <s v="SBG - Desktop"/>
    <x v="1"/>
    <s v="Task"/>
    <s v="DESK-7269"/>
    <s v="Upload profiler to live site"/>
    <s v="Task"/>
    <x v="0"/>
    <d v="2015-12-11T15:26:00"/>
    <x v="9"/>
    <x v="0"/>
    <x v="26"/>
    <n v="1"/>
    <m/>
    <n v="147.9"/>
    <n v="26.100000000000005"/>
  </r>
  <r>
    <s v="SBG - Desktop"/>
    <x v="1"/>
    <s v="Task"/>
    <s v="DESK-7274"/>
    <s v="Create function country() for easier check current country id"/>
    <s v="Task"/>
    <x v="0"/>
    <d v="2016-01-27T10:40:00"/>
    <x v="10"/>
    <x v="1"/>
    <x v="26"/>
    <n v="8"/>
    <m/>
    <n v="141.1"/>
    <n v="24.900000000000002"/>
  </r>
  <r>
    <s v="SBG - Desktop"/>
    <x v="2"/>
    <s v="Task"/>
    <s v="DESK-7274"/>
    <s v="Create function country() for easier check current country id"/>
    <s v="Task"/>
    <x v="0"/>
    <d v="2016-01-27T15:35:00"/>
    <x v="10"/>
    <x v="1"/>
    <x v="29"/>
    <n v="2"/>
    <m/>
    <n v="141.1"/>
    <n v="24.900000000000002"/>
  </r>
  <r>
    <s v="SBG - Desktop"/>
    <x v="1"/>
    <s v="Task"/>
    <s v="DESK-7274"/>
    <s v="Create function country() for easier check current country id"/>
    <s v="Task"/>
    <x v="0"/>
    <d v="2016-01-29T17:55:00"/>
    <x v="10"/>
    <x v="1"/>
    <x v="26"/>
    <n v="1"/>
    <m/>
    <n v="141.1"/>
    <n v="24.900000000000002"/>
  </r>
  <r>
    <s v="SBG - Desktop"/>
    <x v="1"/>
    <s v="Task"/>
    <s v="DESK-7295"/>
    <s v="ipad order tracking page js issue"/>
    <s v="Task"/>
    <x v="0"/>
    <d v="2015-12-14T18:16:00"/>
    <x v="9"/>
    <x v="0"/>
    <x v="8"/>
    <n v="1"/>
    <m/>
    <n v="147.9"/>
    <n v="26.100000000000005"/>
  </r>
  <r>
    <s v="SBG - Desktop"/>
    <x v="1"/>
    <s v="Task"/>
    <s v="DESK-7295"/>
    <s v="ipad order tracking page js issue"/>
    <s v="Task"/>
    <x v="0"/>
    <d v="2015-12-15T15:30:00"/>
    <x v="9"/>
    <x v="0"/>
    <x v="8"/>
    <n v="1"/>
    <m/>
    <n v="147.9"/>
    <n v="26.100000000000005"/>
  </r>
  <r>
    <s v="SBG - Desktop"/>
    <x v="2"/>
    <s v="Task"/>
    <s v="DESK-7320"/>
    <s v="PHPUnit presentation to all SBG team members"/>
    <s v="Task"/>
    <x v="0"/>
    <d v="2016-01-29T12:08:00"/>
    <x v="10"/>
    <x v="1"/>
    <x v="29"/>
    <n v="8"/>
    <m/>
    <n v="141.1"/>
    <n v="24.900000000000002"/>
  </r>
  <r>
    <s v="SBG - Desktop"/>
    <x v="0"/>
    <s v="Task"/>
    <s v="DESK-7327"/>
    <s v="VD Health Rebate - edit text in dropdown box"/>
    <s v="Task"/>
    <x v="0"/>
    <d v="2016-01-29T14:21:00"/>
    <x v="10"/>
    <x v="1"/>
    <x v="19"/>
    <n v="2"/>
    <m/>
    <n v="83"/>
    <n v="83"/>
  </r>
  <r>
    <s v="SBG - Desktop"/>
    <x v="2"/>
    <s v="Improvement"/>
    <s v="DESK-7341"/>
    <s v="Missing quantity for gift card purchase VD0214033203GF"/>
    <s v="Improvement"/>
    <x v="0"/>
    <d v="2015-12-09T17:21:00"/>
    <x v="9"/>
    <x v="0"/>
    <x v="22"/>
    <n v="6"/>
    <m/>
    <n v="147.9"/>
    <n v="26.100000000000005"/>
  </r>
  <r>
    <s v="SBG - Desktop"/>
    <x v="2"/>
    <s v="Improvement"/>
    <s v="DESK-7341"/>
    <s v="Missing quantity for gift card purchase VD0214033203GF"/>
    <s v="Improvement"/>
    <x v="0"/>
    <d v="2015-12-14T14:47:00"/>
    <x v="9"/>
    <x v="0"/>
    <x v="22"/>
    <n v="3"/>
    <m/>
    <n v="147.9"/>
    <n v="26.100000000000005"/>
  </r>
  <r>
    <s v="SBG - Desktop"/>
    <x v="2"/>
    <s v="Improvement"/>
    <s v="DESK-7341"/>
    <s v="Missing quantity for gift card purchase VD0214033203GF"/>
    <s v="Improvement"/>
    <x v="0"/>
    <d v="2015-12-15T09:47:00"/>
    <x v="9"/>
    <x v="0"/>
    <x v="22"/>
    <n v="8"/>
    <m/>
    <n v="147.9"/>
    <n v="26.100000000000005"/>
  </r>
  <r>
    <s v="SBG - Desktop"/>
    <x v="2"/>
    <s v="Improvement"/>
    <s v="DESK-7341"/>
    <s v="Missing quantity for gift card purchase VD0214033203GF"/>
    <s v="Improvement"/>
    <x v="0"/>
    <d v="2015-12-16T09:47:00"/>
    <x v="9"/>
    <x v="0"/>
    <x v="22"/>
    <n v="8"/>
    <m/>
    <n v="147.9"/>
    <n v="26.100000000000005"/>
  </r>
  <r>
    <s v="SBG - Desktop"/>
    <x v="1"/>
    <s v="Improvement"/>
    <s v="DESK-7341"/>
    <s v="Missing quantity for gift card purchase VD0214033203GF"/>
    <s v="Improvement"/>
    <x v="0"/>
    <d v="2015-12-18T18:54:00"/>
    <x v="9"/>
    <x v="0"/>
    <x v="26"/>
    <n v="1"/>
    <m/>
    <n v="147.9"/>
    <n v="26.100000000000005"/>
  </r>
  <r>
    <s v="SBG - Desktop"/>
    <x v="1"/>
    <s v="Improvement"/>
    <s v="DESK-7341"/>
    <s v="Missing quantity for gift card purchase VD0214033203GF"/>
    <s v="Improvement"/>
    <x v="0"/>
    <d v="2015-12-21T12:02:00"/>
    <x v="9"/>
    <x v="0"/>
    <x v="26"/>
    <n v="0.2"/>
    <m/>
    <n v="147.9"/>
    <n v="26.100000000000005"/>
  </r>
  <r>
    <s v="SBG - Desktop"/>
    <x v="1"/>
    <s v="Task"/>
    <s v="DESK-7352"/>
    <s v="PHP code and configuration file change for PHP upgrade from 5.2 to 5.6"/>
    <s v="Task"/>
    <x v="0"/>
    <d v="2015-12-16T18:40:00"/>
    <x v="9"/>
    <x v="0"/>
    <x v="26"/>
    <n v="1"/>
    <m/>
    <n v="147.9"/>
    <n v="26.100000000000005"/>
  </r>
  <r>
    <s v="SBG - Desktop"/>
    <x v="1"/>
    <s v="Task"/>
    <s v="DESK-7358"/>
    <s v="create granify tracking code for category page"/>
    <s v="Task"/>
    <x v="0"/>
    <d v="2015-12-11T16:43:00"/>
    <x v="9"/>
    <x v="0"/>
    <x v="26"/>
    <n v="0.5"/>
    <m/>
    <n v="147.9"/>
    <n v="26.100000000000005"/>
  </r>
  <r>
    <s v="SBG - Desktop"/>
    <x v="0"/>
    <s v="Bug"/>
    <s v="DESK-7363"/>
    <s v="Valentine's Day Campaign Banners - Language Errors"/>
    <s v="Bug"/>
    <x v="1"/>
    <d v="2016-01-04T15:29:00"/>
    <x v="10"/>
    <x v="1"/>
    <x v="24"/>
    <n v="3"/>
    <m/>
    <n v="83"/>
    <n v="83"/>
  </r>
  <r>
    <s v="SBG - Desktop"/>
    <x v="0"/>
    <s v="Bug"/>
    <s v="DESK-7363"/>
    <s v="Valentine's Day Campaign Banners - Language Errors"/>
    <s v="Bug"/>
    <x v="1"/>
    <d v="2016-01-20T10:28:00"/>
    <x v="10"/>
    <x v="1"/>
    <x v="24"/>
    <n v="8"/>
    <m/>
    <n v="83"/>
    <n v="83"/>
  </r>
  <r>
    <s v="SBG - Desktop"/>
    <x v="0"/>
    <s v="Bug"/>
    <s v="DESK-7363"/>
    <s v="Valentine's Day Campaign Banners - Language Errors"/>
    <s v="Bug"/>
    <x v="1"/>
    <d v="2016-01-21T10:28:00"/>
    <x v="10"/>
    <x v="1"/>
    <x v="24"/>
    <n v="8"/>
    <m/>
    <n v="83"/>
    <n v="83"/>
  </r>
  <r>
    <s v="SBG - Desktop"/>
    <x v="2"/>
    <s v="Bugs"/>
    <s v="DESK-7366"/>
    <s v="DESK-7279&gt; The AU eyeglasses page missing the Ray Ban brand logo"/>
    <s v="Bugs"/>
    <x v="1"/>
    <d v="2015-12-17T09:47:00"/>
    <x v="9"/>
    <x v="0"/>
    <x v="22"/>
    <n v="8"/>
    <m/>
    <n v="147.9"/>
    <n v="26.100000000000005"/>
  </r>
  <r>
    <s v="SBG - Desktop"/>
    <x v="1"/>
    <s v="Technical task"/>
    <s v="DESK-7538"/>
    <s v="DESK-7279&gt; Test case design and execution"/>
    <s v="Technical task"/>
    <x v="0"/>
    <d v="2015-12-01T09:49:00"/>
    <x v="9"/>
    <x v="0"/>
    <x v="23"/>
    <n v="6"/>
    <m/>
    <n v="147.9"/>
    <n v="26.100000000000005"/>
  </r>
  <r>
    <s v="SBG - Desktop"/>
    <x v="1"/>
    <s v="Technical task"/>
    <s v="DESK-7539"/>
    <s v="DESK-7295&gt; Test case design and execution"/>
    <s v="Technical task"/>
    <x v="0"/>
    <d v="2015-12-14T18:15:00"/>
    <x v="9"/>
    <x v="0"/>
    <x v="8"/>
    <n v="0.5"/>
    <m/>
    <n v="147.9"/>
    <n v="26.100000000000005"/>
  </r>
  <r>
    <s v="SBG - Desktop"/>
    <x v="1"/>
    <s v="Bug"/>
    <s v="DESK-7543"/>
    <s v="View previous order and add back to cart go to error link in membership"/>
    <s v="Bug"/>
    <x v="1"/>
    <d v="2016-01-27T19:21:00"/>
    <x v="10"/>
    <x v="1"/>
    <x v="1"/>
    <n v="1"/>
    <m/>
    <n v="141.1"/>
    <n v="24.900000000000002"/>
  </r>
  <r>
    <s v="SBG - Desktop"/>
    <x v="2"/>
    <s v="Bug"/>
    <s v="DESK-7544"/>
    <s v="All CL products in Algolia search lack of pictures."/>
    <s v="Bug"/>
    <x v="1"/>
    <d v="2016-01-27T17:25:00"/>
    <x v="10"/>
    <x v="1"/>
    <x v="31"/>
    <n v="2"/>
    <m/>
    <n v="141.1"/>
    <n v="24.900000000000002"/>
  </r>
  <r>
    <s v="SBG - Desktop"/>
    <x v="1"/>
    <s v="Task"/>
    <s v="DESK-7547"/>
    <s v="Move CSS/JS/Font to S3 for CN domain on Desktop"/>
    <s v="Task"/>
    <x v="0"/>
    <d v="2016-01-07T19:58:00"/>
    <x v="10"/>
    <x v="1"/>
    <x v="1"/>
    <n v="4"/>
    <m/>
    <n v="141.1"/>
    <n v="24.900000000000002"/>
  </r>
  <r>
    <s v="SBG - Desktop"/>
    <x v="1"/>
    <s v="Task"/>
    <s v="DESK-7547"/>
    <s v="Move CSS/JS/Font to S3 for CN domain on Desktop"/>
    <s v="Task"/>
    <x v="0"/>
    <d v="2016-01-13T11:38:00"/>
    <x v="10"/>
    <x v="1"/>
    <x v="1"/>
    <n v="2"/>
    <m/>
    <n v="141.1"/>
    <n v="24.900000000000002"/>
  </r>
  <r>
    <s v="SBG - Desktop"/>
    <x v="1"/>
    <s v="Task"/>
    <s v="DESK-7547"/>
    <s v="Move CSS/JS/Font to S3 for CN domain on Desktop"/>
    <s v="Task"/>
    <x v="0"/>
    <d v="2016-01-20T19:59:00"/>
    <x v="10"/>
    <x v="1"/>
    <x v="1"/>
    <n v="5"/>
    <m/>
    <n v="141.1"/>
    <n v="24.900000000000002"/>
  </r>
  <r>
    <s v="SBG - Desktop"/>
    <x v="0"/>
    <s v="Task"/>
    <s v="DESK-7547"/>
    <s v="Move CSS/JS/Font to S3 for CN domain on Desktop"/>
    <s v="Task"/>
    <x v="0"/>
    <d v="2016-01-21T19:13:00"/>
    <x v="10"/>
    <x v="1"/>
    <x v="7"/>
    <n v="7"/>
    <m/>
    <n v="83"/>
    <n v="83"/>
  </r>
  <r>
    <s v="SBG - Desktop"/>
    <x v="1"/>
    <s v="Task"/>
    <s v="DESK-7547"/>
    <s v="Move CSS/JS/Font to S3 for CN domain on Desktop"/>
    <s v="Task"/>
    <x v="0"/>
    <d v="2016-01-22T15:46:00"/>
    <x v="10"/>
    <x v="1"/>
    <x v="1"/>
    <n v="2"/>
    <m/>
    <n v="141.1"/>
    <n v="24.900000000000002"/>
  </r>
  <r>
    <s v="SBG - Desktop"/>
    <x v="1"/>
    <s v="Task"/>
    <s v="DESK-7547"/>
    <s v="Move CSS/JS/Font to S3 for CN domain on Desktop"/>
    <s v="Task"/>
    <x v="0"/>
    <d v="2016-01-25T18:45:00"/>
    <x v="10"/>
    <x v="1"/>
    <x v="1"/>
    <n v="1"/>
    <m/>
    <n v="141.1"/>
    <n v="24.900000000000002"/>
  </r>
  <r>
    <s v="SBG - Desktop"/>
    <x v="1"/>
    <s v="Task"/>
    <s v="DESK-7547"/>
    <s v="Move CSS/JS/Font to S3 for CN domain on Desktop"/>
    <s v="Task"/>
    <x v="0"/>
    <d v="2016-01-26T16:20:00"/>
    <x v="10"/>
    <x v="1"/>
    <x v="1"/>
    <n v="1"/>
    <m/>
    <n v="141.1"/>
    <n v="24.900000000000002"/>
  </r>
  <r>
    <s v="SBG - Desktop"/>
    <x v="2"/>
    <s v="Task"/>
    <s v="DESK-7547"/>
    <s v="Move CSS/JS/Font to S3 for CN domain on Desktop"/>
    <s v="Task"/>
    <x v="0"/>
    <d v="2016-01-28T10:52:00"/>
    <x v="10"/>
    <x v="1"/>
    <x v="31"/>
    <n v="1"/>
    <m/>
    <n v="141.1"/>
    <n v="24.900000000000002"/>
  </r>
  <r>
    <s v="SBG - Desktop"/>
    <x v="2"/>
    <s v="Task"/>
    <s v="DESK-7547"/>
    <s v="Move CSS/JS/Font to S3 for CN domain on Desktop"/>
    <s v="Task"/>
    <x v="0"/>
    <d v="2016-01-28T10:53:00"/>
    <x v="10"/>
    <x v="1"/>
    <x v="31"/>
    <n v="1"/>
    <m/>
    <n v="141.1"/>
    <n v="24.900000000000002"/>
  </r>
  <r>
    <s v="SBG - Desktop"/>
    <x v="2"/>
    <s v="Bug"/>
    <s v="DESK-7548"/>
    <s v="Cannot receive Send Later's prescription confirm email"/>
    <s v="Bug"/>
    <x v="1"/>
    <d v="2016-01-27T17:29:00"/>
    <x v="10"/>
    <x v="1"/>
    <x v="31"/>
    <n v="2"/>
    <m/>
    <n v="141.1"/>
    <n v="24.900000000000002"/>
  </r>
  <r>
    <s v="SBG - Desktop"/>
    <x v="2"/>
    <s v="Bug"/>
    <s v="DESK-7549"/>
    <s v="Some invalid products under some brands filters"/>
    <s v="Bug"/>
    <x v="1"/>
    <d v="2016-01-27T17:28:00"/>
    <x v="10"/>
    <x v="1"/>
    <x v="31"/>
    <n v="2"/>
    <m/>
    <n v="141.1"/>
    <n v="24.900000000000002"/>
  </r>
  <r>
    <s v="SBG - Desktop"/>
    <x v="1"/>
    <s v="Bug"/>
    <s v="DESK-7550"/>
    <s v="URLs are invalid"/>
    <s v="Bug"/>
    <x v="1"/>
    <d v="2016-01-15T18:54:00"/>
    <x v="10"/>
    <x v="1"/>
    <x v="1"/>
    <n v="1"/>
    <m/>
    <n v="141.1"/>
    <n v="24.900000000000002"/>
  </r>
  <r>
    <s v="SBG - Desktop"/>
    <x v="2"/>
    <s v="Bug"/>
    <s v="DESK-7550"/>
    <s v="URLs are invalid"/>
    <s v="Bug"/>
    <x v="1"/>
    <d v="2016-01-27T17:28:00"/>
    <x v="10"/>
    <x v="1"/>
    <x v="31"/>
    <n v="1"/>
    <m/>
    <n v="141.1"/>
    <n v="24.900000000000002"/>
  </r>
  <r>
    <s v="SBG - Desktop"/>
    <x v="2"/>
    <s v="Bug"/>
    <s v="DESK-7552"/>
    <s v="If there are no products under the brand, it's better to hide the brand."/>
    <s v="Bug"/>
    <x v="1"/>
    <d v="2016-01-27T17:29:00"/>
    <x v="10"/>
    <x v="1"/>
    <x v="31"/>
    <n v="1"/>
    <m/>
    <n v="141.1"/>
    <n v="24.900000000000002"/>
  </r>
  <r>
    <s v="SBG - Desktop"/>
    <x v="2"/>
    <s v="Bug"/>
    <s v="DESK-7553"/>
    <s v="CSS issues in many filter pages"/>
    <s v="Bug"/>
    <x v="1"/>
    <d v="2016-01-27T17:25:00"/>
    <x v="10"/>
    <x v="1"/>
    <x v="31"/>
    <n v="1"/>
    <m/>
    <n v="141.1"/>
    <n v="24.900000000000002"/>
  </r>
  <r>
    <s v="SBG - Desktop"/>
    <x v="0"/>
    <s v="Bug"/>
    <s v="DESK-7556"/>
    <s v="Adjust CSS/JS style to display all texts."/>
    <s v="Bug"/>
    <x v="1"/>
    <d v="2016-01-14T18:46:00"/>
    <x v="10"/>
    <x v="1"/>
    <x v="7"/>
    <n v="7"/>
    <m/>
    <n v="83"/>
    <n v="83"/>
  </r>
  <r>
    <s v="SBG - Desktop"/>
    <x v="1"/>
    <s v="Bug"/>
    <s v="DESK-7559"/>
    <s v="CN Website displaying &quot;Free Lenses&quot;"/>
    <s v="Bug"/>
    <x v="1"/>
    <d v="2016-01-15T18:54:00"/>
    <x v="10"/>
    <x v="1"/>
    <x v="1"/>
    <n v="0.5"/>
    <m/>
    <n v="141.1"/>
    <n v="24.900000000000002"/>
  </r>
  <r>
    <s v="SBG - Desktop"/>
    <x v="1"/>
    <s v="Bug"/>
    <s v="DESK-7560"/>
    <s v="Adjust CSS on payment page"/>
    <s v="Bug"/>
    <x v="1"/>
    <d v="2015-12-17T18:50:00"/>
    <x v="9"/>
    <x v="0"/>
    <x v="1"/>
    <n v="1"/>
    <m/>
    <n v="147.9"/>
    <n v="26.100000000000005"/>
  </r>
  <r>
    <s v="SBG - Desktop"/>
    <x v="1"/>
    <s v="Bug"/>
    <s v="DESK-7561"/>
    <s v="Mobile CN Thank you page blank page"/>
    <s v="Bug"/>
    <x v="1"/>
    <d v="2016-01-22T15:45:00"/>
    <x v="10"/>
    <x v="1"/>
    <x v="1"/>
    <n v="1"/>
    <m/>
    <n v="141.1"/>
    <n v="24.900000000000002"/>
  </r>
  <r>
    <s v="SBG - Desktop"/>
    <x v="1"/>
    <s v="Bug"/>
    <s v="DESK-7561"/>
    <s v="Mobile CN Thank you page blank page"/>
    <s v="Bug"/>
    <x v="1"/>
    <d v="2016-01-25T18:45:00"/>
    <x v="10"/>
    <x v="1"/>
    <x v="1"/>
    <n v="1"/>
    <m/>
    <n v="141.1"/>
    <n v="24.900000000000002"/>
  </r>
  <r>
    <s v="SBG - Desktop"/>
    <x v="2"/>
    <s v="Bug"/>
    <s v="DESK-7561"/>
    <s v="Mobile CN Thank you page blank page"/>
    <s v="Bug"/>
    <x v="1"/>
    <d v="2016-01-26T17:23:00"/>
    <x v="10"/>
    <x v="1"/>
    <x v="10"/>
    <n v="2"/>
    <m/>
    <n v="141.1"/>
    <n v="24.900000000000002"/>
  </r>
  <r>
    <s v="SBG - Desktop"/>
    <x v="2"/>
    <s v="Bug"/>
    <s v="DESK-7564"/>
    <s v="Lack of a picture for one Rayban sunglasses"/>
    <s v="Bug"/>
    <x v="1"/>
    <d v="2016-01-27T17:27:00"/>
    <x v="10"/>
    <x v="1"/>
    <x v="31"/>
    <n v="1"/>
    <m/>
    <n v="141.1"/>
    <n v="24.900000000000002"/>
  </r>
  <r>
    <s v="SBG - Desktop"/>
    <x v="1"/>
    <s v="Task"/>
    <s v="DESK-7565"/>
    <s v="Move CSS/JS/Font to S3 for CN domain on mobile"/>
    <s v="Task"/>
    <x v="0"/>
    <d v="2016-01-22T15:46:00"/>
    <x v="10"/>
    <x v="1"/>
    <x v="1"/>
    <n v="1"/>
    <m/>
    <n v="141.1"/>
    <n v="24.900000000000002"/>
  </r>
  <r>
    <s v="SBG - Desktop"/>
    <x v="0"/>
    <s v="Task"/>
    <s v="DESK-7565"/>
    <s v="Move CSS/JS/Font to S3 for CN domain on mobile"/>
    <s v="Task"/>
    <x v="0"/>
    <d v="2016-01-22T18:54:00"/>
    <x v="10"/>
    <x v="1"/>
    <x v="7"/>
    <n v="4.5"/>
    <m/>
    <n v="83"/>
    <n v="83"/>
  </r>
  <r>
    <s v="SBG - Desktop"/>
    <x v="0"/>
    <s v="Task"/>
    <s v="DESK-7565"/>
    <s v="Move CSS/JS/Font to S3 for CN domain on mobile"/>
    <s v="Task"/>
    <x v="0"/>
    <d v="2016-01-25T18:40:00"/>
    <x v="10"/>
    <x v="1"/>
    <x v="7"/>
    <n v="3"/>
    <m/>
    <n v="83"/>
    <n v="83"/>
  </r>
  <r>
    <s v="SBG - Desktop"/>
    <x v="1"/>
    <s v="Task"/>
    <s v="DESK-7565"/>
    <s v="Move CSS/JS/Font to S3 for CN domain on mobile"/>
    <s v="Task"/>
    <x v="0"/>
    <d v="2016-01-25T18:45:00"/>
    <x v="10"/>
    <x v="1"/>
    <x v="1"/>
    <n v="2"/>
    <m/>
    <n v="141.1"/>
    <n v="24.900000000000002"/>
  </r>
  <r>
    <s v="SBG - Desktop"/>
    <x v="1"/>
    <s v="Task"/>
    <s v="DESK-7565"/>
    <s v="Move CSS/JS/Font to S3 for CN domain on mobile"/>
    <s v="Task"/>
    <x v="0"/>
    <d v="2016-01-26T16:20:00"/>
    <x v="10"/>
    <x v="1"/>
    <x v="1"/>
    <n v="1"/>
    <m/>
    <n v="141.1"/>
    <n v="24.900000000000002"/>
  </r>
  <r>
    <s v="SBG - Desktop"/>
    <x v="2"/>
    <s v="Task"/>
    <s v="DESK-7565"/>
    <s v="Move CSS/JS/Font to S3 for CN domain on mobile"/>
    <s v="Task"/>
    <x v="0"/>
    <d v="2016-01-28T10:52:00"/>
    <x v="10"/>
    <x v="1"/>
    <x v="31"/>
    <n v="3"/>
    <m/>
    <n v="141.1"/>
    <n v="24.900000000000002"/>
  </r>
  <r>
    <s v="SBG - Desktop"/>
    <x v="2"/>
    <s v="Bug"/>
    <s v="DESK-7566"/>
    <s v="Cart value is not the same when buy Rx eyeglasses"/>
    <s v="Bug"/>
    <x v="1"/>
    <d v="2016-01-18T16:44:00"/>
    <x v="10"/>
    <x v="1"/>
    <x v="18"/>
    <n v="1"/>
    <m/>
    <n v="141.1"/>
    <n v="24.900000000000002"/>
  </r>
  <r>
    <s v="SBG - Desktop"/>
    <x v="1"/>
    <s v="Bug"/>
    <s v="DESK-7568"/>
    <s v="Desktop CN GC payment finish, thank you page blank"/>
    <s v="Bug"/>
    <x v="1"/>
    <d v="2016-01-13T11:38:00"/>
    <x v="10"/>
    <x v="1"/>
    <x v="1"/>
    <n v="1"/>
    <m/>
    <n v="141.1"/>
    <n v="24.900000000000002"/>
  </r>
  <r>
    <s v="SBG - Desktop"/>
    <x v="1"/>
    <s v="Bug"/>
    <s v="DESK-7568"/>
    <s v="Desktop CN GC payment finish, thank you page blank"/>
    <s v="Bug"/>
    <x v="1"/>
    <d v="2016-01-22T15:45:00"/>
    <x v="10"/>
    <x v="1"/>
    <x v="1"/>
    <n v="1"/>
    <m/>
    <n v="141.1"/>
    <n v="24.900000000000002"/>
  </r>
  <r>
    <s v="SBG - Desktop"/>
    <x v="2"/>
    <s v="Bug"/>
    <s v="DESK-7568"/>
    <s v="Desktop CN GC payment finish, thank you page blank"/>
    <s v="Bug"/>
    <x v="1"/>
    <d v="2016-01-22T17:22:00"/>
    <x v="10"/>
    <x v="1"/>
    <x v="10"/>
    <n v="1"/>
    <m/>
    <n v="141.1"/>
    <n v="24.900000000000002"/>
  </r>
  <r>
    <s v="SBG - Desktop"/>
    <x v="1"/>
    <s v="Bug"/>
    <s v="DESK-7568"/>
    <s v="Desktop CN GC payment finish, thank you page blank"/>
    <s v="Bug"/>
    <x v="1"/>
    <d v="2016-01-25T18:45:00"/>
    <x v="10"/>
    <x v="1"/>
    <x v="1"/>
    <n v="1"/>
    <m/>
    <n v="141.1"/>
    <n v="24.900000000000002"/>
  </r>
  <r>
    <s v="SBG - Desktop"/>
    <x v="2"/>
    <s v="Bug"/>
    <s v="DESK-7568"/>
    <s v="Desktop CN GC payment finish, thank you page blank"/>
    <s v="Bug"/>
    <x v="1"/>
    <d v="2016-01-26T17:23:00"/>
    <x v="10"/>
    <x v="1"/>
    <x v="10"/>
    <n v="1"/>
    <m/>
    <n v="141.1"/>
    <n v="24.900000000000002"/>
  </r>
  <r>
    <s v="SBG - Desktop"/>
    <x v="1"/>
    <s v="Bug"/>
    <s v="DESK-7569"/>
    <s v="Alipay Order cannot be searched out"/>
    <s v="Bug"/>
    <x v="1"/>
    <d v="2015-12-16T18:20:00"/>
    <x v="9"/>
    <x v="0"/>
    <x v="1"/>
    <n v="2"/>
    <m/>
    <n v="147.9"/>
    <n v="26.100000000000005"/>
  </r>
  <r>
    <s v="SBG - Desktop"/>
    <x v="1"/>
    <s v="Bug"/>
    <s v="DESK-7569"/>
    <s v="Alipay Order cannot be searched out"/>
    <s v="Bug"/>
    <x v="1"/>
    <d v="2015-12-17T18:51:00"/>
    <x v="9"/>
    <x v="0"/>
    <x v="1"/>
    <n v="4"/>
    <m/>
    <n v="147.9"/>
    <n v="26.100000000000005"/>
  </r>
  <r>
    <s v="SBG - Desktop"/>
    <x v="2"/>
    <s v="Bug"/>
    <s v="DESK-7569"/>
    <s v="Alipay Order cannot be searched out"/>
    <s v="Bug"/>
    <x v="1"/>
    <d v="2016-01-27T17:30:00"/>
    <x v="10"/>
    <x v="1"/>
    <x v="31"/>
    <n v="5"/>
    <m/>
    <n v="141.1"/>
    <n v="24.900000000000002"/>
  </r>
  <r>
    <s v="SBG - Desktop"/>
    <x v="2"/>
    <s v="Bug"/>
    <s v="DESK-7574"/>
    <s v="No Prescription Info in Cart page if buy RX Sun with Send later"/>
    <s v="Bug"/>
    <x v="1"/>
    <d v="2016-01-27T17:28:00"/>
    <x v="10"/>
    <x v="1"/>
    <x v="31"/>
    <n v="2"/>
    <m/>
    <n v="141.1"/>
    <n v="24.900000000000002"/>
  </r>
  <r>
    <s v="SBG - Desktop"/>
    <x v="1"/>
    <s v="Improvement"/>
    <s v="DESK-7578"/>
    <s v="Remove logic for Paypal"/>
    <s v="Improvement"/>
    <x v="0"/>
    <d v="2015-12-15T19:54:00"/>
    <x v="9"/>
    <x v="0"/>
    <x v="1"/>
    <n v="4"/>
    <m/>
    <n v="147.9"/>
    <n v="26.100000000000005"/>
  </r>
  <r>
    <s v="SBG - Desktop"/>
    <x v="1"/>
    <s v="Improvement"/>
    <s v="DESK-7578"/>
    <s v="Remove logic for Paypal"/>
    <s v="Improvement"/>
    <x v="0"/>
    <d v="2015-12-17T18:50:00"/>
    <x v="9"/>
    <x v="0"/>
    <x v="1"/>
    <n v="3"/>
    <m/>
    <n v="147.9"/>
    <n v="26.100000000000005"/>
  </r>
  <r>
    <s v="SBG - Desktop"/>
    <x v="1"/>
    <s v="Improvement"/>
    <s v="DESK-7578"/>
    <s v="Remove logic for Paypal"/>
    <s v="Improvement"/>
    <x v="0"/>
    <d v="2015-12-21T19:55:00"/>
    <x v="9"/>
    <x v="0"/>
    <x v="1"/>
    <n v="8"/>
    <m/>
    <n v="147.9"/>
    <n v="26.100000000000005"/>
  </r>
  <r>
    <s v="SBG - Desktop"/>
    <x v="2"/>
    <s v="Improvement"/>
    <s v="DESK-7578"/>
    <s v="Remove logic for Paypal"/>
    <s v="Improvement"/>
    <x v="0"/>
    <d v="2016-01-27T17:30:00"/>
    <x v="10"/>
    <x v="1"/>
    <x v="31"/>
    <n v="3"/>
    <m/>
    <n v="141.1"/>
    <n v="24.900000000000002"/>
  </r>
  <r>
    <s v="SBG - Desktop"/>
    <x v="0"/>
    <s v="Improvement"/>
    <s v="DESK-7581"/>
    <s v="Adjust UI Style for CN Desktop"/>
    <s v="Improvement"/>
    <x v="0"/>
    <d v="2015-12-02T09:43:00"/>
    <x v="9"/>
    <x v="0"/>
    <x v="24"/>
    <n v="1"/>
    <s v="home banner design"/>
    <n v="87"/>
    <n v="87"/>
  </r>
  <r>
    <s v="SBG - Desktop"/>
    <x v="1"/>
    <s v="Improvement"/>
    <s v="DESK-7581"/>
    <s v="Adjust UI Style for CN Desktop"/>
    <s v="Improvement"/>
    <x v="0"/>
    <d v="2015-12-02T18:36:00"/>
    <x v="9"/>
    <x v="0"/>
    <x v="1"/>
    <n v="2"/>
    <m/>
    <n v="147.9"/>
    <n v="26.100000000000005"/>
  </r>
  <r>
    <s v="SBG - Desktop"/>
    <x v="1"/>
    <s v="Improvement"/>
    <s v="DESK-7581"/>
    <s v="Adjust UI Style for CN Desktop"/>
    <s v="Improvement"/>
    <x v="0"/>
    <d v="2015-12-22T19:55:00"/>
    <x v="9"/>
    <x v="0"/>
    <x v="1"/>
    <n v="8"/>
    <m/>
    <n v="147.9"/>
    <n v="26.100000000000005"/>
  </r>
  <r>
    <s v="SBG - Desktop"/>
    <x v="1"/>
    <s v="Improvement"/>
    <s v="DESK-7581"/>
    <s v="Adjust UI Style for CN Desktop"/>
    <s v="Improvement"/>
    <x v="0"/>
    <d v="2015-12-23T18:57:00"/>
    <x v="9"/>
    <x v="0"/>
    <x v="1"/>
    <n v="6"/>
    <m/>
    <n v="147.9"/>
    <n v="26.100000000000005"/>
  </r>
  <r>
    <s v="SBG - Desktop"/>
    <x v="0"/>
    <s v="Improvement"/>
    <s v="DESK-7581"/>
    <s v="Adjust UI Style for CN Desktop"/>
    <s v="Improvement"/>
    <x v="0"/>
    <d v="2015-12-31T16:34:00"/>
    <x v="9"/>
    <x v="0"/>
    <x v="7"/>
    <n v="0.5"/>
    <m/>
    <n v="87"/>
    <n v="87"/>
  </r>
  <r>
    <s v="SBG - Desktop"/>
    <x v="0"/>
    <s v="Improvement"/>
    <s v="DESK-7581"/>
    <s v="Adjust UI Style for CN Desktop"/>
    <s v="Improvement"/>
    <x v="0"/>
    <d v="2016-01-15T18:41:00"/>
    <x v="10"/>
    <x v="1"/>
    <x v="7"/>
    <n v="7.5"/>
    <m/>
    <n v="83"/>
    <n v="83"/>
  </r>
  <r>
    <s v="SBG - Desktop"/>
    <x v="0"/>
    <s v="Improvement"/>
    <s v="DESK-7581"/>
    <s v="Adjust UI Style for CN Desktop"/>
    <s v="Improvement"/>
    <x v="0"/>
    <d v="2016-01-19T18:38:00"/>
    <x v="10"/>
    <x v="1"/>
    <x v="7"/>
    <n v="7"/>
    <m/>
    <n v="83"/>
    <n v="83"/>
  </r>
  <r>
    <s v="SBG - Desktop"/>
    <x v="1"/>
    <s v="New Feature"/>
    <s v="DESK-7582"/>
    <s v="Implement Algolia Search for CN"/>
    <s v="New Feature"/>
    <x v="0"/>
    <d v="2016-01-29T17:40:00"/>
    <x v="10"/>
    <x v="1"/>
    <x v="1"/>
    <n v="4"/>
    <m/>
    <n v="141.1"/>
    <n v="24.900000000000002"/>
  </r>
  <r>
    <s v="SBG - Desktop"/>
    <x v="1"/>
    <s v="New Feature"/>
    <s v="DESK-7584"/>
    <s v="Add Baidu Analytics for www.smartbuyglasses.cn"/>
    <s v="New Feature"/>
    <x v="0"/>
    <d v="2016-01-28T19:55:00"/>
    <x v="10"/>
    <x v="1"/>
    <x v="1"/>
    <n v="4"/>
    <m/>
    <n v="141.1"/>
    <n v="24.900000000000002"/>
  </r>
  <r>
    <s v="SBG - Desktop"/>
    <x v="1"/>
    <s v="New Feature"/>
    <s v="DESK-7584"/>
    <s v="Add Baidu Analytics for www.smartbuyglasses.cn"/>
    <s v="New Feature"/>
    <x v="0"/>
    <d v="2016-01-29T16:50:00"/>
    <x v="10"/>
    <x v="1"/>
    <x v="1"/>
    <n v="2"/>
    <m/>
    <n v="141.1"/>
    <n v="24.900000000000002"/>
  </r>
  <r>
    <s v="SBG - Desktop"/>
    <x v="1"/>
    <s v="New Feature"/>
    <s v="DESK-7586"/>
    <s v="Make CN Sitemap work"/>
    <s v="New Feature"/>
    <x v="0"/>
    <d v="2015-12-03T17:24:00"/>
    <x v="9"/>
    <x v="0"/>
    <x v="1"/>
    <n v="2"/>
    <m/>
    <n v="147.9"/>
    <n v="26.100000000000005"/>
  </r>
  <r>
    <s v="SBG - Desktop"/>
    <x v="1"/>
    <s v="New Feature"/>
    <s v="DESK-7586"/>
    <s v="Make CN Sitemap work"/>
    <s v="New Feature"/>
    <x v="0"/>
    <d v="2015-12-28T19:38:00"/>
    <x v="9"/>
    <x v="0"/>
    <x v="1"/>
    <n v="2"/>
    <m/>
    <n v="147.9"/>
    <n v="26.100000000000005"/>
  </r>
  <r>
    <s v="SBG - Desktop"/>
    <x v="0"/>
    <s v="New Feature"/>
    <s v="DESK-7587"/>
    <s v="Put all Images for CN to China CDN"/>
    <s v="New Feature"/>
    <x v="0"/>
    <d v="2015-12-10T18:29:00"/>
    <x v="9"/>
    <x v="0"/>
    <x v="7"/>
    <n v="3.5"/>
    <m/>
    <n v="87"/>
    <n v="87"/>
  </r>
  <r>
    <s v="SBG - Desktop"/>
    <x v="0"/>
    <s v="New Feature"/>
    <s v="DESK-7587"/>
    <s v="Put all Images for CN to China CDN"/>
    <s v="New Feature"/>
    <x v="0"/>
    <d v="2015-12-11T18:43:00"/>
    <x v="9"/>
    <x v="0"/>
    <x v="7"/>
    <n v="7"/>
    <m/>
    <n v="87"/>
    <n v="87"/>
  </r>
  <r>
    <s v="SBG - Desktop"/>
    <x v="0"/>
    <s v="New Feature"/>
    <s v="DESK-7587"/>
    <s v="Put all Images for CN to China CDN"/>
    <s v="New Feature"/>
    <x v="0"/>
    <d v="2015-12-14T18:45:00"/>
    <x v="9"/>
    <x v="0"/>
    <x v="7"/>
    <n v="8"/>
    <m/>
    <n v="87"/>
    <n v="87"/>
  </r>
  <r>
    <s v="SBG - Desktop"/>
    <x v="0"/>
    <s v="New Feature"/>
    <s v="DESK-7587"/>
    <s v="Put all Images for CN to China CDN"/>
    <s v="New Feature"/>
    <x v="0"/>
    <d v="2015-12-15T18:37:00"/>
    <x v="9"/>
    <x v="0"/>
    <x v="7"/>
    <n v="8"/>
    <m/>
    <n v="87"/>
    <n v="87"/>
  </r>
  <r>
    <s v="SBG - Desktop"/>
    <x v="0"/>
    <s v="New Feature"/>
    <s v="DESK-7587"/>
    <s v="Put all Images for CN to China CDN"/>
    <s v="New Feature"/>
    <x v="0"/>
    <d v="2015-12-17T18:31:00"/>
    <x v="9"/>
    <x v="0"/>
    <x v="7"/>
    <n v="2"/>
    <m/>
    <n v="87"/>
    <n v="87"/>
  </r>
  <r>
    <s v="SBG - Desktop"/>
    <x v="1"/>
    <s v="New Feature"/>
    <s v="DESK-7587"/>
    <s v="Put all Images for CN to China CDN"/>
    <s v="New Feature"/>
    <x v="0"/>
    <d v="2015-12-18T18:46:00"/>
    <x v="9"/>
    <x v="0"/>
    <x v="1"/>
    <n v="5"/>
    <s v="1. Prepare to move images. 2. Test for CN Chinese SEO."/>
    <n v="147.9"/>
    <n v="26.100000000000005"/>
  </r>
  <r>
    <s v="SBG - Desktop"/>
    <x v="1"/>
    <s v="New Feature"/>
    <s v="DESK-7587"/>
    <s v="Put all Images for CN to China CDN"/>
    <s v="New Feature"/>
    <x v="0"/>
    <d v="2015-12-24T16:35:00"/>
    <x v="9"/>
    <x v="0"/>
    <x v="1"/>
    <n v="2"/>
    <m/>
    <n v="147.9"/>
    <n v="26.100000000000005"/>
  </r>
  <r>
    <s v="SBG - Desktop"/>
    <x v="0"/>
    <s v="New Feature"/>
    <s v="DESK-7587"/>
    <s v="Put all Images for CN to China CDN"/>
    <s v="New Feature"/>
    <x v="0"/>
    <d v="2015-12-28T18:34:00"/>
    <x v="9"/>
    <x v="0"/>
    <x v="7"/>
    <n v="4.5"/>
    <m/>
    <n v="87"/>
    <n v="87"/>
  </r>
  <r>
    <s v="SBG - Desktop"/>
    <x v="1"/>
    <s v="New Feature"/>
    <s v="DESK-7587"/>
    <s v="Put all Images for CN to China CDN"/>
    <s v="New Feature"/>
    <x v="0"/>
    <d v="2015-12-29T17:48:00"/>
    <x v="9"/>
    <x v="0"/>
    <x v="1"/>
    <n v="4"/>
    <m/>
    <n v="147.9"/>
    <n v="26.100000000000005"/>
  </r>
  <r>
    <s v="SBG - Desktop"/>
    <x v="0"/>
    <s v="New Feature"/>
    <s v="DESK-7587"/>
    <s v="Put all Images for CN to China CDN"/>
    <s v="New Feature"/>
    <x v="0"/>
    <d v="2016-01-04T18:38:00"/>
    <x v="10"/>
    <x v="1"/>
    <x v="7"/>
    <n v="3.5"/>
    <m/>
    <n v="83"/>
    <n v="83"/>
  </r>
  <r>
    <s v="SBG - Desktop"/>
    <x v="0"/>
    <s v="New Feature"/>
    <s v="DESK-7587"/>
    <s v="Put all Images for CN to China CDN"/>
    <s v="New Feature"/>
    <x v="0"/>
    <d v="2016-01-05T18:35:00"/>
    <x v="10"/>
    <x v="1"/>
    <x v="7"/>
    <n v="4"/>
    <m/>
    <n v="83"/>
    <n v="83"/>
  </r>
  <r>
    <s v="SBG - Desktop"/>
    <x v="1"/>
    <s v="New Feature"/>
    <s v="DESK-7587"/>
    <s v="Put all Images for CN to China CDN"/>
    <s v="New Feature"/>
    <x v="0"/>
    <d v="2016-01-06T15:41:00"/>
    <x v="10"/>
    <x v="1"/>
    <x v="1"/>
    <n v="4"/>
    <m/>
    <n v="141.1"/>
    <n v="24.900000000000002"/>
  </r>
  <r>
    <s v="SBG - Desktop"/>
    <x v="0"/>
    <s v="New Feature"/>
    <s v="DESK-7587"/>
    <s v="Put all Images for CN to China CDN"/>
    <s v="New Feature"/>
    <x v="0"/>
    <d v="2016-01-07T18:40:00"/>
    <x v="10"/>
    <x v="1"/>
    <x v="7"/>
    <n v="7"/>
    <m/>
    <n v="83"/>
    <n v="83"/>
  </r>
  <r>
    <s v="SBG - Desktop"/>
    <x v="1"/>
    <s v="New Feature"/>
    <s v="DESK-7587"/>
    <s v="Put all Images for CN to China CDN"/>
    <s v="New Feature"/>
    <x v="0"/>
    <d v="2016-01-08T15:42:00"/>
    <x v="10"/>
    <x v="1"/>
    <x v="1"/>
    <n v="4"/>
    <m/>
    <n v="141.1"/>
    <n v="24.900000000000002"/>
  </r>
  <r>
    <s v="SBG - Desktop"/>
    <x v="0"/>
    <s v="New Feature"/>
    <s v="DESK-7587"/>
    <s v="Put all Images for CN to China CDN"/>
    <s v="New Feature"/>
    <x v="0"/>
    <d v="2016-01-08T18:36:00"/>
    <x v="10"/>
    <x v="1"/>
    <x v="7"/>
    <n v="4.5"/>
    <m/>
    <n v="83"/>
    <n v="83"/>
  </r>
  <r>
    <s v="SBG - Desktop"/>
    <x v="0"/>
    <s v="New Feature"/>
    <s v="DESK-7587"/>
    <s v="Put all Images for CN to China CDN"/>
    <s v="New Feature"/>
    <x v="0"/>
    <d v="2016-01-13T18:39:00"/>
    <x v="10"/>
    <x v="1"/>
    <x v="7"/>
    <n v="7"/>
    <m/>
    <n v="83"/>
    <n v="83"/>
  </r>
  <r>
    <s v="SBG - Desktop"/>
    <x v="1"/>
    <s v="New Feature"/>
    <s v="DESK-7587"/>
    <s v="Put all Images for CN to China CDN"/>
    <s v="New Feature"/>
    <x v="0"/>
    <d v="2016-01-14T15:04:00"/>
    <x v="10"/>
    <x v="1"/>
    <x v="1"/>
    <n v="2"/>
    <m/>
    <n v="141.1"/>
    <n v="24.900000000000002"/>
  </r>
  <r>
    <s v="SBG - Desktop"/>
    <x v="1"/>
    <s v="Task"/>
    <s v="DESK-7593"/>
    <s v="Add livechat on CN website, both mobile and desktop"/>
    <s v="Task"/>
    <x v="0"/>
    <d v="2016-01-27T19:21:00"/>
    <x v="10"/>
    <x v="1"/>
    <x v="1"/>
    <n v="1"/>
    <m/>
    <n v="141.1"/>
    <n v="24.900000000000002"/>
  </r>
  <r>
    <s v="SBG - Desktop"/>
    <x v="1"/>
    <s v="Task"/>
    <s v="DESK-7597"/>
    <s v="Make sure Baidu analyze work well on mobile and desktop"/>
    <s v="Task"/>
    <x v="0"/>
    <d v="2016-01-21T19:18:00"/>
    <x v="10"/>
    <x v="1"/>
    <x v="1"/>
    <n v="4"/>
    <m/>
    <n v="141.1"/>
    <n v="24.900000000000002"/>
  </r>
  <r>
    <s v="SBG - Desktop"/>
    <x v="2"/>
    <s v="Task"/>
    <s v="DESK-7597"/>
    <s v="Make sure Baidu analyze work well on mobile and desktop"/>
    <s v="Task"/>
    <x v="0"/>
    <d v="2016-01-27T17:24:00"/>
    <x v="10"/>
    <x v="1"/>
    <x v="31"/>
    <n v="2"/>
    <m/>
    <n v="141.1"/>
    <n v="24.900000000000002"/>
  </r>
  <r>
    <s v="SBG - Desktop"/>
    <x v="1"/>
    <s v="Task"/>
    <s v="DESK-7601"/>
    <s v="Move CN Desktop to global"/>
    <s v="Task"/>
    <x v="0"/>
    <d v="2015-12-03T17:24:00"/>
    <x v="9"/>
    <x v="0"/>
    <x v="1"/>
    <n v="2"/>
    <m/>
    <n v="147.9"/>
    <n v="26.100000000000005"/>
  </r>
  <r>
    <s v="SBG - Desktop"/>
    <x v="1"/>
    <s v="Task"/>
    <s v="DESK-7601"/>
    <s v="Move CN Desktop to global"/>
    <s v="Task"/>
    <x v="0"/>
    <d v="2015-12-04T17:26:00"/>
    <x v="9"/>
    <x v="0"/>
    <x v="1"/>
    <n v="3"/>
    <m/>
    <n v="147.9"/>
    <n v="26.100000000000005"/>
  </r>
  <r>
    <s v="SBG - Desktop"/>
    <x v="1"/>
    <s v="Task"/>
    <s v="DESK-7601"/>
    <s v="Move CN Desktop to global"/>
    <s v="Task"/>
    <x v="0"/>
    <d v="2015-12-30T17:49:00"/>
    <x v="9"/>
    <x v="0"/>
    <x v="1"/>
    <n v="8"/>
    <m/>
    <n v="147.9"/>
    <n v="26.100000000000005"/>
  </r>
  <r>
    <s v="SBG - Desktop"/>
    <x v="1"/>
    <s v="Task"/>
    <s v="DESK-7601"/>
    <s v="Move CN Desktop to global"/>
    <s v="Task"/>
    <x v="0"/>
    <d v="2016-01-06T15:41:00"/>
    <x v="10"/>
    <x v="1"/>
    <x v="1"/>
    <n v="4"/>
    <m/>
    <n v="141.1"/>
    <n v="24.900000000000002"/>
  </r>
  <r>
    <s v="SBG - Desktop"/>
    <x v="1"/>
    <s v="Task"/>
    <s v="DESK-7601"/>
    <s v="Move CN Desktop to global"/>
    <s v="Task"/>
    <x v="0"/>
    <d v="2016-01-07T15:42:00"/>
    <x v="10"/>
    <x v="1"/>
    <x v="1"/>
    <n v="4"/>
    <m/>
    <n v="141.1"/>
    <n v="24.900000000000002"/>
  </r>
  <r>
    <s v="SBG - Desktop"/>
    <x v="1"/>
    <s v="Task"/>
    <s v="DESK-7601"/>
    <s v="Move CN Desktop to global"/>
    <s v="Task"/>
    <x v="0"/>
    <d v="2016-01-08T18:36:00"/>
    <x v="10"/>
    <x v="1"/>
    <x v="1"/>
    <n v="4"/>
    <m/>
    <n v="141.1"/>
    <n v="24.900000000000002"/>
  </r>
  <r>
    <s v="SBG - Desktop"/>
    <x v="1"/>
    <s v="Task"/>
    <s v="DESK-7601"/>
    <s v="Move CN Desktop to global"/>
    <s v="Task"/>
    <x v="0"/>
    <d v="2016-01-11T18:49:00"/>
    <x v="10"/>
    <x v="1"/>
    <x v="1"/>
    <n v="4"/>
    <m/>
    <n v="141.1"/>
    <n v="24.900000000000002"/>
  </r>
  <r>
    <s v="SBG - Desktop"/>
    <x v="1"/>
    <s v="Task"/>
    <s v="DESK-7601"/>
    <s v="Move CN Desktop to global"/>
    <s v="Task"/>
    <x v="0"/>
    <d v="2016-01-12T18:49:00"/>
    <x v="10"/>
    <x v="1"/>
    <x v="1"/>
    <n v="4"/>
    <m/>
    <n v="141.1"/>
    <n v="24.900000000000002"/>
  </r>
  <r>
    <s v="SBG - Desktop"/>
    <x v="1"/>
    <s v="Task"/>
    <s v="DESK-7601"/>
    <s v="Move CN Desktop to global"/>
    <s v="Task"/>
    <x v="0"/>
    <d v="2016-01-15T18:54:00"/>
    <x v="10"/>
    <x v="1"/>
    <x v="1"/>
    <n v="5"/>
    <m/>
    <n v="141.1"/>
    <n v="24.900000000000002"/>
  </r>
  <r>
    <s v="SBG - Desktop"/>
    <x v="1"/>
    <s v="Task"/>
    <s v="DESK-7601"/>
    <s v="Move CN Desktop to global"/>
    <s v="Task"/>
    <x v="0"/>
    <d v="2016-01-16T19:32:00"/>
    <x v="10"/>
    <x v="1"/>
    <x v="1"/>
    <n v="8"/>
    <m/>
    <n v="141.1"/>
    <n v="24.900000000000002"/>
  </r>
  <r>
    <s v="SBG - Desktop"/>
    <x v="1"/>
    <s v="Task"/>
    <s v="DESK-7601"/>
    <s v="Move CN Desktop to global"/>
    <s v="Task"/>
    <x v="0"/>
    <d v="2016-01-18T19:39:00"/>
    <x v="10"/>
    <x v="1"/>
    <x v="1"/>
    <n v="2"/>
    <m/>
    <n v="141.1"/>
    <n v="24.900000000000002"/>
  </r>
  <r>
    <s v="SBG - Desktop"/>
    <x v="1"/>
    <s v="Task"/>
    <s v="DESK-7601"/>
    <s v="Move CN Desktop to global"/>
    <s v="Task"/>
    <x v="0"/>
    <d v="2016-01-19T16:11:00"/>
    <x v="10"/>
    <x v="1"/>
    <x v="1"/>
    <n v="6"/>
    <m/>
    <n v="141.1"/>
    <n v="24.900000000000002"/>
  </r>
  <r>
    <s v="SBG - Desktop"/>
    <x v="2"/>
    <s v="Task"/>
    <s v="DESK-7601"/>
    <s v="Move CN Desktop to global"/>
    <s v="Task"/>
    <x v="0"/>
    <d v="2016-01-27T17:27:00"/>
    <x v="10"/>
    <x v="1"/>
    <x v="31"/>
    <n v="18"/>
    <m/>
    <n v="141.1"/>
    <n v="24.900000000000002"/>
  </r>
  <r>
    <s v="SBG - Desktop"/>
    <x v="2"/>
    <s v="Task"/>
    <s v="DESK-7601"/>
    <s v="Move CN Desktop to global"/>
    <s v="Task"/>
    <x v="0"/>
    <d v="2016-01-27T17:41:00"/>
    <x v="10"/>
    <x v="1"/>
    <x v="31"/>
    <n v="48"/>
    <m/>
    <n v="141.1"/>
    <n v="24.900000000000002"/>
  </r>
  <r>
    <s v="SBG - Desktop"/>
    <x v="1"/>
    <s v="Task"/>
    <s v="DESK-7605"/>
    <s v="New Tags Needed for SEO in Chinese"/>
    <s v="Task"/>
    <x v="0"/>
    <d v="2015-12-29T17:48:00"/>
    <x v="9"/>
    <x v="0"/>
    <x v="1"/>
    <n v="1"/>
    <m/>
    <n v="147.9"/>
    <n v="26.100000000000005"/>
  </r>
  <r>
    <s v="SBG - Desktop"/>
    <x v="1"/>
    <s v="Task"/>
    <s v="DESK-7605"/>
    <s v="New Tags Needed for SEO in Chinese"/>
    <s v="Task"/>
    <x v="0"/>
    <d v="2016-01-14T15:04:00"/>
    <x v="10"/>
    <x v="1"/>
    <x v="1"/>
    <n v="4"/>
    <m/>
    <n v="141.1"/>
    <n v="24.900000000000002"/>
  </r>
  <r>
    <s v="SBG - Desktop"/>
    <x v="1"/>
    <s v="Task"/>
    <s v="DESK-7609"/>
    <s v="Enable Alipay on mobile website"/>
    <s v="Task"/>
    <x v="0"/>
    <d v="2015-12-14T18:01:00"/>
    <x v="9"/>
    <x v="0"/>
    <x v="1"/>
    <n v="1"/>
    <m/>
    <n v="147.9"/>
    <n v="26.100000000000005"/>
  </r>
  <r>
    <s v="SBG - Desktop"/>
    <x v="1"/>
    <s v="Task"/>
    <s v="DESK-7609"/>
    <s v="Enable Alipay on mobile website"/>
    <s v="Task"/>
    <x v="0"/>
    <d v="2015-12-16T19:54:00"/>
    <x v="9"/>
    <x v="0"/>
    <x v="1"/>
    <n v="4"/>
    <m/>
    <n v="147.9"/>
    <n v="26.100000000000005"/>
  </r>
  <r>
    <s v="SBG - Desktop"/>
    <x v="1"/>
    <s v="Task"/>
    <s v="DESK-7610"/>
    <s v="Mobile CN migrate from HK to CN"/>
    <s v="Task"/>
    <x v="0"/>
    <d v="2015-12-29T18:42:00"/>
    <x v="9"/>
    <x v="0"/>
    <x v="1"/>
    <n v="6"/>
    <m/>
    <n v="147.9"/>
    <n v="26.100000000000005"/>
  </r>
  <r>
    <s v="SBG - Desktop"/>
    <x v="1"/>
    <s v="Task"/>
    <s v="DESK-7610"/>
    <s v="Mobile CN migrate from HK to CN"/>
    <s v="Task"/>
    <x v="0"/>
    <d v="2016-01-06T12:54:00"/>
    <x v="10"/>
    <x v="1"/>
    <x v="1"/>
    <n v="3"/>
    <m/>
    <n v="141.1"/>
    <n v="24.900000000000002"/>
  </r>
  <r>
    <s v="SBG - Desktop"/>
    <x v="0"/>
    <s v="Task"/>
    <s v="DESK-7610"/>
    <s v="Mobile CN migrate from HK to CN"/>
    <s v="Task"/>
    <x v="0"/>
    <d v="2016-01-11T18:27:00"/>
    <x v="10"/>
    <x v="1"/>
    <x v="7"/>
    <n v="1"/>
    <m/>
    <n v="83"/>
    <n v="83"/>
  </r>
  <r>
    <s v="SBG - Desktop"/>
    <x v="1"/>
    <s v="Task"/>
    <s v="DESK-7610"/>
    <s v="Mobile CN migrate from HK to CN"/>
    <s v="Task"/>
    <x v="0"/>
    <d v="2016-01-18T19:39:00"/>
    <x v="10"/>
    <x v="1"/>
    <x v="1"/>
    <n v="7"/>
    <m/>
    <n v="141.1"/>
    <n v="24.900000000000002"/>
  </r>
  <r>
    <s v="SBG - Desktop"/>
    <x v="1"/>
    <s v="Task"/>
    <s v="DESK-7610"/>
    <s v="Mobile CN migrate from HK to CN"/>
    <s v="Task"/>
    <x v="0"/>
    <d v="2016-01-19T16:11:00"/>
    <x v="10"/>
    <x v="1"/>
    <x v="1"/>
    <n v="2"/>
    <m/>
    <n v="141.1"/>
    <n v="24.900000000000002"/>
  </r>
  <r>
    <s v="SBG - Desktop"/>
    <x v="1"/>
    <s v="Sub-task"/>
    <s v="DESK-7631"/>
    <s v="DESK-7609&gt; Test case design and execution"/>
    <s v="Sub-task"/>
    <x v="0"/>
    <d v="2015-12-02T15:46:00"/>
    <x v="9"/>
    <x v="0"/>
    <x v="1"/>
    <n v="2"/>
    <m/>
    <n v="147.9"/>
    <n v="26.100000000000005"/>
  </r>
  <r>
    <s v="SBG - Desktop"/>
    <x v="1"/>
    <s v="Sub-task"/>
    <s v="DESK-7631"/>
    <s v="DESK-7609&gt; Test case design and execution"/>
    <s v="Sub-task"/>
    <x v="0"/>
    <d v="2015-12-14T18:01:00"/>
    <x v="9"/>
    <x v="0"/>
    <x v="1"/>
    <n v="3"/>
    <m/>
    <n v="147.9"/>
    <n v="26.100000000000005"/>
  </r>
  <r>
    <s v="SBG - Desktop"/>
    <x v="1"/>
    <s v="Sub-task"/>
    <s v="DESK-7631"/>
    <s v="DESK-7609&gt; Test case design and execution"/>
    <s v="Sub-task"/>
    <x v="0"/>
    <d v="2015-12-15T15:44:00"/>
    <x v="9"/>
    <x v="0"/>
    <x v="1"/>
    <n v="4"/>
    <m/>
    <n v="147.9"/>
    <n v="26.100000000000005"/>
  </r>
  <r>
    <s v="SBG - Desktop"/>
    <x v="0"/>
    <s v="Improvement"/>
    <s v="DESK-7642"/>
    <s v="Desktop CN Cart page Improvement"/>
    <s v="Improvement"/>
    <x v="0"/>
    <d v="2016-01-07T10:27:00"/>
    <x v="10"/>
    <x v="1"/>
    <x v="24"/>
    <n v="8"/>
    <m/>
    <n v="83"/>
    <n v="83"/>
  </r>
  <r>
    <s v="SBG - Desktop"/>
    <x v="0"/>
    <s v="Improvement"/>
    <s v="DESK-7642"/>
    <s v="Desktop CN Cart page Improvement"/>
    <s v="Improvement"/>
    <x v="0"/>
    <d v="2016-01-11T10:27:00"/>
    <x v="10"/>
    <x v="1"/>
    <x v="24"/>
    <n v="8"/>
    <m/>
    <n v="83"/>
    <n v="83"/>
  </r>
  <r>
    <s v="SBG - Desktop"/>
    <x v="0"/>
    <s v="Improvement"/>
    <s v="DESK-7642"/>
    <s v="Desktop CN Cart page Improvement"/>
    <s v="Improvement"/>
    <x v="0"/>
    <d v="2016-01-12T10:27:00"/>
    <x v="10"/>
    <x v="1"/>
    <x v="24"/>
    <n v="8"/>
    <m/>
    <n v="83"/>
    <n v="83"/>
  </r>
  <r>
    <s v="SBG - Desktop"/>
    <x v="0"/>
    <s v="Improvement"/>
    <s v="DESK-7642"/>
    <s v="Desktop CN Cart page Improvement"/>
    <s v="Improvement"/>
    <x v="0"/>
    <d v="2016-01-13T10:27:00"/>
    <x v="10"/>
    <x v="1"/>
    <x v="24"/>
    <n v="8"/>
    <m/>
    <n v="83"/>
    <n v="83"/>
  </r>
  <r>
    <s v="SBG - Desktop"/>
    <x v="0"/>
    <s v="Improvement"/>
    <s v="DESK-7642"/>
    <s v="Desktop CN Cart page Improvement"/>
    <s v="Improvement"/>
    <x v="0"/>
    <d v="2016-01-14T10:27:00"/>
    <x v="10"/>
    <x v="1"/>
    <x v="24"/>
    <n v="8"/>
    <m/>
    <n v="83"/>
    <n v="83"/>
  </r>
  <r>
    <s v="SBG - Desktop"/>
    <x v="0"/>
    <s v="Task"/>
    <s v="DESK-7644"/>
    <s v="Standardize video thumbnails"/>
    <s v="Task"/>
    <x v="0"/>
    <d v="2016-01-04T15:34:00"/>
    <x v="10"/>
    <x v="1"/>
    <x v="24"/>
    <n v="1"/>
    <m/>
    <n v="83"/>
    <n v="83"/>
  </r>
  <r>
    <s v="SBG - Desktop"/>
    <x v="0"/>
    <s v="Task"/>
    <s v="DESK-7644"/>
    <s v="Standardize video thumbnails"/>
    <s v="Task"/>
    <x v="0"/>
    <d v="2016-01-18T14:27:00"/>
    <x v="10"/>
    <x v="1"/>
    <x v="24"/>
    <n v="4"/>
    <m/>
    <n v="83"/>
    <n v="83"/>
  </r>
  <r>
    <s v="SBG - Desktop"/>
    <x v="0"/>
    <s v="Task"/>
    <s v="DESK-7672"/>
    <s v="Update the header/footer of Pimcore Optical Center to static version"/>
    <s v="Task"/>
    <x v="0"/>
    <d v="2016-01-01T10:26:00"/>
    <x v="10"/>
    <x v="1"/>
    <x v="24"/>
    <n v="8"/>
    <m/>
    <n v="83"/>
    <n v="83"/>
  </r>
  <r>
    <s v="SBG - Desktop"/>
    <x v="0"/>
    <s v="Task"/>
    <s v="DESK-7672"/>
    <s v="Update the header/footer of Pimcore Optical Center to static version"/>
    <s v="Task"/>
    <x v="0"/>
    <d v="2016-01-05T10:26:00"/>
    <x v="10"/>
    <x v="1"/>
    <x v="24"/>
    <n v="8"/>
    <m/>
    <n v="83"/>
    <n v="83"/>
  </r>
  <r>
    <s v="SBG - Desktop"/>
    <x v="2"/>
    <s v="New Feature"/>
    <s v="DESK-7681"/>
    <s v="Project Management for Pimcore"/>
    <s v="New Feature"/>
    <x v="0"/>
    <d v="2015-12-07T23:07:00"/>
    <x v="9"/>
    <x v="0"/>
    <x v="25"/>
    <n v="32"/>
    <m/>
    <n v="147.9"/>
    <n v="26.100000000000005"/>
  </r>
  <r>
    <s v="SBG - Desktop"/>
    <x v="2"/>
    <s v="New Feature"/>
    <s v="DESK-7681"/>
    <s v="Project Management for Pimcore"/>
    <s v="New Feature"/>
    <x v="0"/>
    <d v="2016-01-07T23:07:00"/>
    <x v="10"/>
    <x v="1"/>
    <x v="25"/>
    <n v="32"/>
    <m/>
    <n v="141.1"/>
    <n v="24.900000000000002"/>
  </r>
  <r>
    <s v="SBG - Desktop"/>
    <x v="2"/>
    <s v="Task"/>
    <s v="DESK-7682"/>
    <s v="Mobile Verison Header/Footer"/>
    <s v="Task"/>
    <x v="0"/>
    <d v="2015-12-03T17:29:00"/>
    <x v="9"/>
    <x v="0"/>
    <x v="2"/>
    <n v="2"/>
    <m/>
    <n v="147.9"/>
    <n v="26.100000000000005"/>
  </r>
  <r>
    <s v="SBG - Desktop"/>
    <x v="1"/>
    <s v="Task"/>
    <s v="DESK-7690"/>
    <s v="Ensure the mobile version for 4 English domains can work properly"/>
    <s v="Task"/>
    <x v="0"/>
    <d v="2015-12-11T11:35:00"/>
    <x v="9"/>
    <x v="0"/>
    <x v="21"/>
    <n v="2"/>
    <m/>
    <n v="147.9"/>
    <n v="26.100000000000005"/>
  </r>
  <r>
    <s v="SBG - Desktop"/>
    <x v="0"/>
    <s v="Task"/>
    <s v="DESK-7724"/>
    <s v="Optical Centre CSS Fixes"/>
    <s v="Task"/>
    <x v="0"/>
    <d v="2015-12-11T17:49:00"/>
    <x v="9"/>
    <x v="0"/>
    <x v="24"/>
    <n v="2"/>
    <m/>
    <n v="87"/>
    <n v="87"/>
  </r>
  <r>
    <s v="SBG - Desktop"/>
    <x v="1"/>
    <s v="Sub-task"/>
    <s v="DESK-7739"/>
    <s v="DESK-7682&gt; Test case design and execution"/>
    <s v="Sub-task"/>
    <x v="0"/>
    <d v="2015-12-07T15:07:00"/>
    <x v="9"/>
    <x v="0"/>
    <x v="21"/>
    <n v="4"/>
    <m/>
    <n v="147.9"/>
    <n v="26.100000000000005"/>
  </r>
  <r>
    <s v="SBG - Desktop"/>
    <x v="1"/>
    <s v="Sub-task"/>
    <s v="DESK-7739"/>
    <s v="DESK-7682&gt; Test case design and execution"/>
    <s v="Sub-task"/>
    <x v="0"/>
    <d v="2015-12-08T11:02:00"/>
    <x v="9"/>
    <x v="0"/>
    <x v="21"/>
    <n v="4"/>
    <m/>
    <n v="147.9"/>
    <n v="26.100000000000005"/>
  </r>
  <r>
    <s v="SBG - Desktop"/>
    <x v="1"/>
    <s v="Sub-task"/>
    <s v="DESK-7739"/>
    <s v="DESK-7682&gt; Test case design and execution"/>
    <s v="Sub-task"/>
    <x v="0"/>
    <d v="2015-12-08T11:50:00"/>
    <x v="9"/>
    <x v="0"/>
    <x v="26"/>
    <n v="0.1"/>
    <m/>
    <n v="147.9"/>
    <n v="26.100000000000005"/>
  </r>
  <r>
    <s v="SBG - Desktop"/>
    <x v="0"/>
    <s v="Sub-task"/>
    <s v="DESK-7740"/>
    <s v="DESK-7682&gt; css issue --- click shopping cart"/>
    <s v="Sub-task"/>
    <x v="0"/>
    <d v="2015-12-07T11:58:00"/>
    <x v="9"/>
    <x v="0"/>
    <x v="7"/>
    <n v="3.5"/>
    <m/>
    <n v="87"/>
    <n v="87"/>
  </r>
  <r>
    <s v="SBG - Desktop"/>
    <x v="0"/>
    <s v="Sub-task"/>
    <s v="DESK-7740"/>
    <s v="DESK-7682&gt; css issue --- click shopping cart"/>
    <s v="Sub-task"/>
    <x v="0"/>
    <d v="2015-12-07T15:08:00"/>
    <x v="9"/>
    <x v="0"/>
    <x v="7"/>
    <n v="0.5"/>
    <m/>
    <n v="87"/>
    <n v="87"/>
  </r>
  <r>
    <s v="SBG - Desktop"/>
    <x v="2"/>
    <s v="Task"/>
    <s v="DESK-7750"/>
    <s v="Change default string in Algolia search box"/>
    <s v="Task"/>
    <x v="0"/>
    <d v="2016-01-12T12:38:00"/>
    <x v="10"/>
    <x v="1"/>
    <x v="10"/>
    <n v="2"/>
    <m/>
    <n v="141.1"/>
    <n v="24.900000000000002"/>
  </r>
  <r>
    <s v="SBG - Desktop"/>
    <x v="2"/>
    <s v="Task"/>
    <s v="DESK-7750"/>
    <s v="Change default string in Algolia search box"/>
    <s v="Task"/>
    <x v="0"/>
    <d v="2016-01-20T16:40:00"/>
    <x v="10"/>
    <x v="1"/>
    <x v="10"/>
    <n v="2"/>
    <m/>
    <n v="141.1"/>
    <n v="24.900000000000002"/>
  </r>
  <r>
    <s v="SBG - Desktop"/>
    <x v="1"/>
    <s v="Bug"/>
    <s v="DESK-7789"/>
    <s v="cannot find contact lens brand name by Algolia search"/>
    <s v="Bug"/>
    <x v="1"/>
    <d v="2016-01-11T12:49:00"/>
    <x v="10"/>
    <x v="1"/>
    <x v="21"/>
    <n v="5"/>
    <m/>
    <n v="141.1"/>
    <n v="24.900000000000002"/>
  </r>
  <r>
    <s v="SBG - Desktop"/>
    <x v="1"/>
    <s v="Bug"/>
    <s v="DESK-7789"/>
    <s v="cannot find contact lens brand name by Algolia search"/>
    <s v="Bug"/>
    <x v="1"/>
    <d v="2016-01-12T12:49:00"/>
    <x v="10"/>
    <x v="1"/>
    <x v="21"/>
    <n v="6"/>
    <m/>
    <n v="141.1"/>
    <n v="24.900000000000002"/>
  </r>
  <r>
    <s v="SBG - Desktop"/>
    <x v="2"/>
    <s v="Improvement"/>
    <s v="DESK-7865"/>
    <s v="YJ Management Work log ticket-New Feature"/>
    <s v="Improvement"/>
    <x v="0"/>
    <d v="2015-12-25T17:20:00"/>
    <x v="9"/>
    <x v="0"/>
    <x v="14"/>
    <n v="136"/>
    <m/>
    <n v="147.9"/>
    <n v="26.100000000000005"/>
  </r>
  <r>
    <s v="SBG - Desktop"/>
    <x v="2"/>
    <s v="Improvement"/>
    <s v="DESK-7865"/>
    <s v="YJ Management Work log ticket-New Feature"/>
    <s v="Improvement"/>
    <x v="0"/>
    <d v="2016-01-25T17:20:00"/>
    <x v="10"/>
    <x v="1"/>
    <x v="14"/>
    <n v="136"/>
    <m/>
    <n v="141.1"/>
    <n v="24.900000000000002"/>
  </r>
  <r>
    <s v="SBG - Desktop"/>
    <x v="2"/>
    <s v="Bug"/>
    <s v="DESK-7866"/>
    <s v="YJ Management Work log ticket-maintainance"/>
    <s v="Bug"/>
    <x v="1"/>
    <d v="2015-12-25T17:22:00"/>
    <x v="9"/>
    <x v="0"/>
    <x v="14"/>
    <n v="24"/>
    <m/>
    <n v="147.9"/>
    <n v="26.100000000000005"/>
  </r>
  <r>
    <s v="SBG - Desktop"/>
    <x v="2"/>
    <s v="Bug"/>
    <s v="DESK-7866"/>
    <s v="YJ Management Work log ticket-maintainance"/>
    <s v="Bug"/>
    <x v="1"/>
    <d v="2016-01-25T17:22:00"/>
    <x v="10"/>
    <x v="1"/>
    <x v="14"/>
    <n v="24"/>
    <m/>
    <n v="141.1"/>
    <n v="24.900000000000002"/>
  </r>
  <r>
    <s v="Database Support"/>
    <x v="2"/>
    <s v="Enquiry (Order Status)"/>
    <s v="DS-2740"/>
    <s v="Update Lux HK STARs Assortment"/>
    <s v="Enquiry (Order Status)"/>
    <x v="1"/>
    <d v="2016-01-19T15:26:00"/>
    <x v="10"/>
    <x v="1"/>
    <x v="9"/>
    <n v="1"/>
    <m/>
    <n v="141.1"/>
    <n v="24.900000000000002"/>
  </r>
  <r>
    <s v="IT Support"/>
    <x v="3"/>
    <s v="Bug"/>
    <s v="IS-5403"/>
    <s v="Internet interruption"/>
    <s v="Bug"/>
    <x v="1"/>
    <d v="2016-01-08T09:58:00"/>
    <x v="10"/>
    <x v="1"/>
    <x v="32"/>
    <n v="8"/>
    <m/>
    <n v="83"/>
    <n v="83"/>
  </r>
  <r>
    <s v="IT Support"/>
    <x v="3"/>
    <s v="Bug"/>
    <s v="IS-5403"/>
    <s v="Internet interruption"/>
    <s v="Bug"/>
    <x v="1"/>
    <d v="2016-01-12T10:03:00"/>
    <x v="10"/>
    <x v="1"/>
    <x v="32"/>
    <n v="8"/>
    <m/>
    <n v="83"/>
    <n v="83"/>
  </r>
  <r>
    <s v="IT Support"/>
    <x v="3"/>
    <s v="Bug"/>
    <s v="IS-5403"/>
    <s v="Internet interruption"/>
    <s v="Bug"/>
    <x v="1"/>
    <d v="2016-01-13T10:03:00"/>
    <x v="10"/>
    <x v="1"/>
    <x v="32"/>
    <n v="8"/>
    <m/>
    <n v="83"/>
    <n v="83"/>
  </r>
  <r>
    <s v="IT Support"/>
    <x v="3"/>
    <s v="Bug"/>
    <s v="IS-5403"/>
    <s v="Internet interruption"/>
    <s v="Bug"/>
    <x v="1"/>
    <d v="2016-01-14T12:01:00"/>
    <x v="10"/>
    <x v="1"/>
    <x v="32"/>
    <n v="8.3000000000000004E-2"/>
    <s v="Plug, is solved"/>
    <n v="83"/>
    <n v="83"/>
  </r>
  <r>
    <s v="IT Routine"/>
    <x v="2"/>
    <s v="Improvement"/>
    <s v="ITR-4"/>
    <s v="Monthly Routine Jobs"/>
    <s v="Improvement"/>
    <x v="0"/>
    <d v="2015-12-07T23:14:00"/>
    <x v="9"/>
    <x v="0"/>
    <x v="25"/>
    <n v="16"/>
    <m/>
    <n v="147.9"/>
    <n v="26.100000000000005"/>
  </r>
  <r>
    <s v="IT Routine"/>
    <x v="2"/>
    <s v="Improvement"/>
    <s v="ITR-5"/>
    <s v="daily task"/>
    <s v="Improvement"/>
    <x v="0"/>
    <d v="2015-12-15T18:52:00"/>
    <x v="9"/>
    <x v="0"/>
    <x v="9"/>
    <n v="1"/>
    <s v="Help king to check po WHHK_20151214_1: [1:19:30 PM] KingCheung: HI Irene [1:19:30 PM] KingCheung: WHHK_20151214_1 [1:19:37 PM] KingCheung: Please coud you have a look on this PO [1:19:48 PM] KingCheung: we tried to summit yesterday and it still haven't update in OM [2:24:23 PM] KingCheung: 1100497692 is one of the example [2:24:33 PM] KingCheung: can you help us to finished the upload [2:27:07 PM] irene rao: OK I'll check it [2:33:09 PM | Edited 2:33:16 PM] irene rao: Hi King, do you mean the scan system? [2:35:16 PM] KingCheung: scan system and OM [2:35:19 PM] KingCheung: doesn't updated [2:35:24 PM] KingCheung: can you help us to update [2:36:24 PM] KingCheung: WHHK_20151214_1 [2:36:40 PM] KingCheung: this PO has a lot of items doesn't updated even the packing lady summited the PO"/>
    <n v="147.9"/>
    <n v="26.100000000000005"/>
  </r>
  <r>
    <s v="IT Routine"/>
    <x v="2"/>
    <s v="Improvement"/>
    <s v="ITR-5"/>
    <s v="daily task"/>
    <s v="Improvement"/>
    <x v="0"/>
    <d v="2015-12-16T18:56:00"/>
    <x v="9"/>
    <x v="0"/>
    <x v="9"/>
    <n v="1"/>
    <m/>
    <n v="147.9"/>
    <n v="26.100000000000005"/>
  </r>
  <r>
    <s v="IT Routine"/>
    <x v="2"/>
    <s v="Improvement"/>
    <s v="ITR-5"/>
    <s v="daily task"/>
    <s v="Improvement"/>
    <x v="0"/>
    <d v="2015-12-17T18:47:00"/>
    <x v="9"/>
    <x v="0"/>
    <x v="9"/>
    <n v="2"/>
    <s v="trigger missing lead to new upc can't synchronize to scan system, so that can't stock in . UPC:8055341170594 https://motionglobal.basecamphq.com/projects/13105580-2-7-2-database-change-request/posts/96122443/comments"/>
    <n v="147.9"/>
    <n v="26.100000000000005"/>
  </r>
  <r>
    <s v="IT Routine"/>
    <x v="2"/>
    <s v="Improvement"/>
    <s v="ITR-5"/>
    <s v="daily task"/>
    <s v="Improvement"/>
    <x v="0"/>
    <d v="2015-12-17T18:52:00"/>
    <x v="9"/>
    <x v="0"/>
    <x v="9"/>
    <n v="1"/>
    <s v="https://motionglobal.atlassian.net/browse/RE-8404"/>
    <n v="147.9"/>
    <n v="26.100000000000005"/>
  </r>
  <r>
    <s v="IT Routine"/>
    <x v="2"/>
    <s v="Improvement"/>
    <s v="ITR-5"/>
    <s v="daily task"/>
    <s v="Improvement"/>
    <x v="0"/>
    <d v="2015-12-21T18:56:00"/>
    <x v="9"/>
    <x v="0"/>
    <x v="9"/>
    <n v="4.5"/>
    <m/>
    <n v="147.9"/>
    <n v="26.100000000000005"/>
  </r>
  <r>
    <s v="IT Routine"/>
    <x v="2"/>
    <s v="Improvement"/>
    <s v="ITR-5"/>
    <s v="daily task"/>
    <s v="Improvement"/>
    <x v="0"/>
    <d v="2015-12-22T18:43:00"/>
    <x v="9"/>
    <x v="0"/>
    <x v="9"/>
    <n v="2"/>
    <m/>
    <n v="147.9"/>
    <n v="26.100000000000005"/>
  </r>
  <r>
    <s v="IT Routine"/>
    <x v="2"/>
    <s v="Improvement"/>
    <s v="ITR-5"/>
    <s v="daily task"/>
    <s v="Improvement"/>
    <x v="0"/>
    <d v="2015-12-23T19:06:00"/>
    <x v="9"/>
    <x v="0"/>
    <x v="9"/>
    <n v="2"/>
    <s v="meeting"/>
    <n v="147.9"/>
    <n v="26.100000000000005"/>
  </r>
  <r>
    <s v="IT Routine"/>
    <x v="2"/>
    <s v="Improvement"/>
    <s v="ITR-5"/>
    <s v="daily task"/>
    <s v="Improvement"/>
    <x v="0"/>
    <d v="2015-12-24T17:43:00"/>
    <x v="9"/>
    <x v="0"/>
    <x v="9"/>
    <n v="1"/>
    <s v="meeting"/>
    <n v="147.9"/>
    <n v="26.100000000000005"/>
  </r>
  <r>
    <s v="IT Routine"/>
    <x v="2"/>
    <s v="Improvement"/>
    <s v="ITR-5"/>
    <s v="daily task"/>
    <s v="Improvement"/>
    <x v="0"/>
    <d v="2015-12-24T17:44:00"/>
    <x v="9"/>
    <x v="0"/>
    <x v="9"/>
    <n v="1"/>
    <s v="other things"/>
    <n v="147.9"/>
    <n v="26.100000000000005"/>
  </r>
  <r>
    <s v="IT Routine"/>
    <x v="2"/>
    <s v="Improvement"/>
    <s v="ITR-5"/>
    <s v="daily task"/>
    <s v="Improvement"/>
    <x v="0"/>
    <d v="2015-12-25T17:42:00"/>
    <x v="9"/>
    <x v="0"/>
    <x v="9"/>
    <n v="4"/>
    <s v="1. team meeting. 2. meeting to training om system"/>
    <n v="147.9"/>
    <n v="26.100000000000005"/>
  </r>
  <r>
    <s v="IT Routine"/>
    <x v="2"/>
    <s v="Improvement"/>
    <s v="ITR-5"/>
    <s v="daily task"/>
    <s v="Improvement"/>
    <x v="0"/>
    <d v="2015-12-29T19:03:00"/>
    <x v="9"/>
    <x v="0"/>
    <x v="9"/>
    <n v="2"/>
    <s v="meeting"/>
    <n v="147.9"/>
    <n v="26.100000000000005"/>
  </r>
  <r>
    <s v="IT Routine"/>
    <x v="2"/>
    <s v="Improvement"/>
    <s v="ITR-5"/>
    <s v="daily task"/>
    <s v="Improvement"/>
    <x v="0"/>
    <d v="2015-12-30T10:17:00"/>
    <x v="9"/>
    <x v="0"/>
    <x v="9"/>
    <n v="1"/>
    <s v="Aramex API can't work, check the reason. the issue from Aramex side."/>
    <n v="147.9"/>
    <n v="26.100000000000005"/>
  </r>
  <r>
    <s v="IT Routine"/>
    <x v="2"/>
    <s v="Improvement"/>
    <s v="ITR-5"/>
    <s v="daily task"/>
    <s v="Improvement"/>
    <x v="0"/>
    <d v="2015-12-30T10:21:00"/>
    <x v="9"/>
    <x v="0"/>
    <x v="9"/>
    <n v="1"/>
    <s v="check the problem of RMA receive issue."/>
    <n v="147.9"/>
    <n v="26.100000000000005"/>
  </r>
  <r>
    <s v="IT Routine"/>
    <x v="2"/>
    <s v="Improvement"/>
    <s v="ITR-5"/>
    <s v="daily task"/>
    <s v="Improvement"/>
    <x v="0"/>
    <d v="2015-12-31T10:19:00"/>
    <x v="9"/>
    <x v="0"/>
    <x v="9"/>
    <n v="0.5"/>
    <s v="test Aramex API"/>
    <n v="147.9"/>
    <n v="26.100000000000005"/>
  </r>
  <r>
    <s v="IT Routine"/>
    <x v="2"/>
    <s v="Improvement"/>
    <s v="ITR-5"/>
    <s v="daily task"/>
    <s v="Improvement"/>
    <x v="0"/>
    <d v="2015-12-31T16:47:00"/>
    <x v="9"/>
    <x v="0"/>
    <x v="9"/>
    <n v="1.5"/>
    <s v="meeting, Git Traning ."/>
    <n v="147.9"/>
    <n v="26.100000000000005"/>
  </r>
  <r>
    <s v="IT Routine"/>
    <x v="2"/>
    <s v="Improvement"/>
    <s v="ITR-5"/>
    <s v="daily task"/>
    <s v="Improvement"/>
    <x v="0"/>
    <d v="2016-01-04T18:20:00"/>
    <x v="10"/>
    <x v="1"/>
    <x v="9"/>
    <n v="1.5"/>
    <s v="check why so many emails failed to send in HK and SW domains: reason : email send countries: 1, 2, 6, 16, 21, 23, 24, 30, 32, 34, 44, 46, 58, 60, 4, 7, 18, 11, 12, 39, 22, 51, 64, 14, 56, 8, 42, 49."/>
    <n v="141.1"/>
    <n v="24.900000000000002"/>
  </r>
  <r>
    <s v="IT Routine"/>
    <x v="2"/>
    <s v="Improvement"/>
    <s v="ITR-5"/>
    <s v="daily task"/>
    <s v="Improvement"/>
    <x v="0"/>
    <d v="2016-01-04T18:21:00"/>
    <x v="10"/>
    <x v="1"/>
    <x v="9"/>
    <n v="1"/>
    <s v="WHHK_20151231_1 order scanned, but stock not release."/>
    <n v="141.1"/>
    <n v="24.900000000000002"/>
  </r>
  <r>
    <s v="IT Routine"/>
    <x v="2"/>
    <s v="Improvement"/>
    <s v="ITR-5"/>
    <s v="daily task"/>
    <s v="Improvement"/>
    <x v="0"/>
    <d v="2016-01-08T18:45:00"/>
    <x v="10"/>
    <x v="1"/>
    <x v="9"/>
    <n v="1"/>
    <s v="meetting"/>
    <n v="141.1"/>
    <n v="24.900000000000002"/>
  </r>
  <r>
    <s v="IT Routine"/>
    <x v="2"/>
    <s v="Improvement"/>
    <s v="ITR-5"/>
    <s v="daily task"/>
    <s v="Improvement"/>
    <x v="0"/>
    <d v="2016-01-12T18:13:00"/>
    <x v="10"/>
    <x v="1"/>
    <x v="9"/>
    <n v="2"/>
    <s v="meeting"/>
    <n v="141.1"/>
    <n v="24.900000000000002"/>
  </r>
  <r>
    <s v="IT Routine"/>
    <x v="2"/>
    <s v="Improvement"/>
    <s v="ITR-5"/>
    <s v="daily task"/>
    <s v="Improvement"/>
    <x v="0"/>
    <d v="2016-01-12T18:16:00"/>
    <x v="10"/>
    <x v="1"/>
    <x v="9"/>
    <n v="0.5"/>
    <s v="Training the scan system to leo."/>
    <n v="141.1"/>
    <n v="24.900000000000002"/>
  </r>
  <r>
    <s v="IT Routine"/>
    <x v="2"/>
    <s v="Improvement"/>
    <s v="ITR-5"/>
    <s v="daily task"/>
    <s v="Improvement"/>
    <x v="0"/>
    <d v="2016-01-12T18:17:00"/>
    <x v="10"/>
    <x v="1"/>
    <x v="9"/>
    <n v="0.5"/>
    <s v="tidy the https://docs.google.com/spreadsheets/d/1XI5ExVQTpQ640wQUvVcpWUeJX8gqbcpfiJ6gwV40GIg/edit#gid=0 -- Database optimization"/>
    <n v="141.1"/>
    <n v="24.900000000000002"/>
  </r>
  <r>
    <s v="IT Routine"/>
    <x v="2"/>
    <s v="Improvement"/>
    <s v="ITR-5"/>
    <s v="daily task"/>
    <s v="Improvement"/>
    <x v="0"/>
    <d v="2016-01-14T19:24:00"/>
    <x v="10"/>
    <x v="1"/>
    <x v="9"/>
    <n v="1"/>
    <m/>
    <n v="141.1"/>
    <n v="24.900000000000002"/>
  </r>
  <r>
    <s v="IT Routine"/>
    <x v="2"/>
    <s v="Improvement"/>
    <s v="ITR-5"/>
    <s v="daily task"/>
    <s v="Improvement"/>
    <x v="0"/>
    <d v="2016-01-18T15:27:00"/>
    <x v="10"/>
    <x v="1"/>
    <x v="9"/>
    <n v="1"/>
    <m/>
    <n v="141.1"/>
    <n v="24.900000000000002"/>
  </r>
  <r>
    <s v="IT Routine"/>
    <x v="2"/>
    <s v="Improvement"/>
    <s v="ITR-5"/>
    <s v="daily task"/>
    <s v="Improvement"/>
    <x v="0"/>
    <d v="2016-01-20T19:05:00"/>
    <x v="10"/>
    <x v="1"/>
    <x v="9"/>
    <n v="1.5"/>
    <s v="meeting"/>
    <n v="141.1"/>
    <n v="24.900000000000002"/>
  </r>
  <r>
    <s v="IT Routine"/>
    <x v="2"/>
    <s v="Improvement"/>
    <s v="ITR-5"/>
    <s v="daily task"/>
    <s v="Improvement"/>
    <x v="0"/>
    <d v="2016-01-20T19:05:00"/>
    <x v="10"/>
    <x v="1"/>
    <x v="9"/>
    <n v="0.5"/>
    <s v="check the Aramex issue."/>
    <n v="141.1"/>
    <n v="24.900000000000002"/>
  </r>
  <r>
    <s v="IT Routine"/>
    <x v="2"/>
    <s v="Improvement"/>
    <s v="ITR-5"/>
    <s v="daily task"/>
    <s v="Improvement"/>
    <x v="0"/>
    <d v="2016-01-20T19:07:00"/>
    <x v="10"/>
    <x v="1"/>
    <x v="9"/>
    <n v="0.5"/>
    <s v="check IT scan issue: [1/19/2016 8:36:25 PM] Francesca: we think that you did not include in the change the country FR [1/19/2016 8:37:24 PM] Francesca: since for this country for WHPO frame we never get rx plano lens (RX prescription lens) orderCode:FR0236928910GM"/>
    <n v="141.1"/>
    <n v="24.900000000000002"/>
  </r>
  <r>
    <s v="IT Routine"/>
    <x v="2"/>
    <s v="Improvement"/>
    <s v="ITR-5"/>
    <s v="daily task"/>
    <s v="Improvement"/>
    <x v="0"/>
    <d v="2016-01-21T19:30:00"/>
    <x v="10"/>
    <x v="1"/>
    <x v="9"/>
    <n v="1"/>
    <s v="check RX manually shipped rule. Hi Alvin， I have a question is : for which case, we should ship the order manually? [5:38:23 PM] Alvin: hmmm order date more than 3 months. [5:38:28 PM] Alvin: RX status issue [5:38:45 PM] Alvin: or italy transfer item that cannot be created into manifest if the order is RX, how to send the RX lab? we will manually input the prescrion ? [6:05:24 PM | Edited 6:06:49 PM] Alvin: 1 scan to receive item in PO 2 RX slip is print 3 when RX done, scan to change the status in RXPO 4 shipping slip is print 5 ship away~ [6:06:19 PM | Edited 6:07:45 PM] Alvin: not many cases like this [6:06:27 PM] Alvin: if so, we will do it all manually. [6:06:55 PM] Alvin: hand write slip -&gt; send to lab -&gt; done and then ship"/>
    <n v="141.1"/>
    <n v="24.900000000000002"/>
  </r>
  <r>
    <s v="IT Routine"/>
    <x v="2"/>
    <s v="Improvement"/>
    <s v="ITR-5"/>
    <s v="daily task"/>
    <s v="Improvement"/>
    <x v="0"/>
    <d v="2016-01-22T17:44:00"/>
    <x v="10"/>
    <x v="1"/>
    <x v="9"/>
    <n v="2"/>
    <s v="meeting -- AWS traning"/>
    <n v="141.1"/>
    <n v="24.900000000000002"/>
  </r>
  <r>
    <s v="IT Routine"/>
    <x v="2"/>
    <s v="Improvement"/>
    <s v="ITR-5"/>
    <s v="daily task"/>
    <s v="Improvement"/>
    <x v="0"/>
    <d v="2016-01-22T17:45:00"/>
    <x v="10"/>
    <x v="1"/>
    <x v="9"/>
    <n v="1"/>
    <s v="familiar with CL-Au-health function."/>
    <n v="141.1"/>
    <n v="24.900000000000002"/>
  </r>
  <r>
    <s v="IT Routine"/>
    <x v="2"/>
    <s v="Improvement"/>
    <s v="ITR-5"/>
    <s v="daily task"/>
    <s v="Improvement"/>
    <x v="0"/>
    <d v="2016-01-22T17:46:00"/>
    <x v="10"/>
    <x v="1"/>
    <x v="9"/>
    <n v="1"/>
    <s v="help to check other things"/>
    <n v="141.1"/>
    <n v="24.900000000000002"/>
  </r>
  <r>
    <s v="IT Routine"/>
    <x v="2"/>
    <s v="Improvement"/>
    <s v="ITR-5"/>
    <s v="daily task"/>
    <s v="Improvement"/>
    <x v="0"/>
    <d v="2016-01-23T19:05:00"/>
    <x v="10"/>
    <x v="1"/>
    <x v="9"/>
    <n v="1.5"/>
    <s v="familiar with CL Health-fund function"/>
    <n v="141.1"/>
    <n v="24.900000000000002"/>
  </r>
  <r>
    <s v="IT Routine"/>
    <x v="2"/>
    <s v="Improvement"/>
    <s v="ITR-5"/>
    <s v="daily task"/>
    <s v="Improvement"/>
    <x v="0"/>
    <d v="2016-01-25T18:43:00"/>
    <x v="10"/>
    <x v="1"/>
    <x v="9"/>
    <n v="1.5"/>
    <s v="meeting to discuss the AU-CL"/>
    <n v="141.1"/>
    <n v="24.900000000000002"/>
  </r>
  <r>
    <s v="IT Routine"/>
    <x v="2"/>
    <s v="Improvement"/>
    <s v="ITR-5"/>
    <s v="daily task"/>
    <s v="Improvement"/>
    <x v="0"/>
    <d v="2016-01-27T18:43:00"/>
    <x v="10"/>
    <x v="1"/>
    <x v="9"/>
    <n v="0.5"/>
    <s v="meeting to discuss the AU-CL"/>
    <n v="141.1"/>
    <n v="24.900000000000002"/>
  </r>
  <r>
    <s v="IT Routine"/>
    <x v="2"/>
    <s v="Improvement"/>
    <s v="ITR-5"/>
    <s v="daily task"/>
    <s v="Improvement"/>
    <x v="0"/>
    <d v="2016-01-28T18:42:00"/>
    <x v="10"/>
    <x v="1"/>
    <x v="9"/>
    <n v="1"/>
    <s v="check WHPO submit error"/>
    <n v="141.1"/>
    <n v="24.900000000000002"/>
  </r>
  <r>
    <s v="IT Routine"/>
    <x v="2"/>
    <s v="Improvement"/>
    <s v="ITR-5"/>
    <s v="daily task"/>
    <s v="Improvement"/>
    <x v="0"/>
    <d v="2016-01-28T18:44:00"/>
    <x v="10"/>
    <x v="1"/>
    <x v="9"/>
    <n v="1"/>
    <s v="brand shipping time problem check. tables: sbg_product_glasses_color_ext sbg_shipping_time"/>
    <n v="141.1"/>
    <n v="24.900000000000002"/>
  </r>
  <r>
    <s v="IT Routine"/>
    <x v="2"/>
    <s v="Improvement"/>
    <s v="ITR-6"/>
    <s v="daily task"/>
    <s v="Improvement"/>
    <x v="0"/>
    <d v="2015-12-25T12:48:00"/>
    <x v="9"/>
    <x v="0"/>
    <x v="16"/>
    <n v="2"/>
    <m/>
    <n v="147.9"/>
    <n v="26.100000000000005"/>
  </r>
  <r>
    <s v="IT Routine"/>
    <x v="2"/>
    <s v="Improvement"/>
    <s v="ITR-6"/>
    <s v="daily task"/>
    <s v="Improvement"/>
    <x v="0"/>
    <d v="2015-12-25T12:48:00"/>
    <x v="9"/>
    <x v="0"/>
    <x v="16"/>
    <n v="4"/>
    <m/>
    <n v="147.9"/>
    <n v="26.100000000000005"/>
  </r>
  <r>
    <s v="SBG - Mobile"/>
    <x v="1"/>
    <s v="New Feature"/>
    <s v="MOBL-185"/>
    <s v="Sitemaps update - Mobile implementation"/>
    <s v="New Feature"/>
    <x v="0"/>
    <d v="2015-12-02T12:25:00"/>
    <x v="9"/>
    <x v="0"/>
    <x v="1"/>
    <n v="1"/>
    <s v="Try to find back the code."/>
    <n v="147.9"/>
    <n v="26.100000000000005"/>
  </r>
  <r>
    <s v="SBG - Mobile"/>
    <x v="2"/>
    <s v="New Feature"/>
    <s v="MOBL-185"/>
    <s v="Sitemaps update - Mobile implementation"/>
    <s v="New Feature"/>
    <x v="0"/>
    <d v="2015-12-08T09:32:00"/>
    <x v="9"/>
    <x v="0"/>
    <x v="11"/>
    <n v="4"/>
    <m/>
    <n v="147.9"/>
    <n v="26.100000000000005"/>
  </r>
  <r>
    <s v="SBG - Mobile"/>
    <x v="1"/>
    <s v="Bug"/>
    <s v="MOBL-573"/>
    <s v="special feature filter on mobile page doesn't work"/>
    <s v="Bug"/>
    <x v="1"/>
    <d v="2015-12-02T18:35:00"/>
    <x v="9"/>
    <x v="0"/>
    <x v="23"/>
    <n v="3"/>
    <m/>
    <n v="147.9"/>
    <n v="26.100000000000005"/>
  </r>
  <r>
    <s v="SBG - Mobile"/>
    <x v="1"/>
    <s v="Bug"/>
    <s v="MOBL-573"/>
    <s v="special feature filter on mobile page doesn't work"/>
    <s v="Bug"/>
    <x v="1"/>
    <d v="2015-12-09T11:51:00"/>
    <x v="9"/>
    <x v="0"/>
    <x v="23"/>
    <n v="4"/>
    <m/>
    <n v="147.9"/>
    <n v="26.100000000000005"/>
  </r>
  <r>
    <s v="SBG - Mobile"/>
    <x v="2"/>
    <s v="Bug"/>
    <s v="MOBL-573"/>
    <s v="special feature filter on mobile page doesn't work"/>
    <s v="Bug"/>
    <x v="1"/>
    <d v="2015-12-09T21:29:00"/>
    <x v="9"/>
    <x v="0"/>
    <x v="29"/>
    <n v="3"/>
    <m/>
    <n v="147.9"/>
    <n v="26.100000000000005"/>
  </r>
  <r>
    <s v="SBG - Mobile"/>
    <x v="1"/>
    <s v="Bug"/>
    <s v="MOBL-573"/>
    <s v="special feature filter on mobile page doesn't work"/>
    <s v="Bug"/>
    <x v="1"/>
    <d v="2015-12-17T14:51:00"/>
    <x v="9"/>
    <x v="0"/>
    <x v="23"/>
    <n v="1"/>
    <m/>
    <n v="147.9"/>
    <n v="26.100000000000005"/>
  </r>
  <r>
    <s v="SBG - Mobile"/>
    <x v="0"/>
    <s v="New Feature"/>
    <s v="MOBL-593"/>
    <s v="Social login on mobile"/>
    <s v="New Feature"/>
    <x v="0"/>
    <d v="2015-12-17T18:21:00"/>
    <x v="9"/>
    <x v="0"/>
    <x v="7"/>
    <n v="0.5"/>
    <m/>
    <n v="87"/>
    <n v="87"/>
  </r>
  <r>
    <s v="SBG - Mobile"/>
    <x v="1"/>
    <s v="New Feature"/>
    <s v="MOBL-593"/>
    <s v="Social login on mobile"/>
    <s v="New Feature"/>
    <x v="0"/>
    <d v="2015-12-28T19:37:00"/>
    <x v="9"/>
    <x v="0"/>
    <x v="1"/>
    <n v="1"/>
    <m/>
    <n v="147.9"/>
    <n v="26.100000000000005"/>
  </r>
  <r>
    <s v="SBG - Mobile"/>
    <x v="1"/>
    <s v="New Feature"/>
    <s v="MOBL-593"/>
    <s v="Social login on mobile"/>
    <s v="New Feature"/>
    <x v="0"/>
    <d v="2015-12-31T17:59:00"/>
    <x v="9"/>
    <x v="0"/>
    <x v="1"/>
    <n v="2"/>
    <m/>
    <n v="147.9"/>
    <n v="26.100000000000005"/>
  </r>
  <r>
    <s v="SBG - Mobile"/>
    <x v="1"/>
    <s v="New Feature"/>
    <s v="MOBL-593"/>
    <s v="Social login on mobile"/>
    <s v="New Feature"/>
    <x v="0"/>
    <d v="2016-01-04T17:47:00"/>
    <x v="10"/>
    <x v="1"/>
    <x v="1"/>
    <n v="1"/>
    <m/>
    <n v="141.1"/>
    <n v="24.900000000000002"/>
  </r>
  <r>
    <s v="SBG - Mobile"/>
    <x v="1"/>
    <s v="New Feature"/>
    <s v="MOBL-593"/>
    <s v="Social login on mobile"/>
    <s v="New Feature"/>
    <x v="0"/>
    <d v="2016-01-11T18:48:00"/>
    <x v="10"/>
    <x v="1"/>
    <x v="1"/>
    <n v="3"/>
    <m/>
    <n v="141.1"/>
    <n v="24.900000000000002"/>
  </r>
  <r>
    <s v="SBG - Mobile"/>
    <x v="2"/>
    <s v="New Feature"/>
    <s v="MOBL-593"/>
    <s v="Social login on mobile"/>
    <s v="New Feature"/>
    <x v="0"/>
    <d v="2016-01-27T17:32:00"/>
    <x v="10"/>
    <x v="1"/>
    <x v="31"/>
    <n v="20"/>
    <m/>
    <n v="141.1"/>
    <n v="24.900000000000002"/>
  </r>
  <r>
    <s v="SBG - Mobile"/>
    <x v="1"/>
    <s v="Improvement"/>
    <s v="MOBL-616"/>
    <s v="Top Bar for Mobile"/>
    <s v="Improvement"/>
    <x v="0"/>
    <d v="2015-12-07T07:50:00"/>
    <x v="9"/>
    <x v="0"/>
    <x v="23"/>
    <n v="8"/>
    <m/>
    <n v="147.9"/>
    <n v="26.100000000000005"/>
  </r>
  <r>
    <s v="SBG - Mobile"/>
    <x v="0"/>
    <s v="Bugs"/>
    <s v="MOBL-621"/>
    <s v="MOBL-592&gt; remove margin"/>
    <s v="Bugs"/>
    <x v="1"/>
    <d v="2015-12-02T11:14:00"/>
    <x v="9"/>
    <x v="0"/>
    <x v="19"/>
    <n v="6"/>
    <m/>
    <n v="87"/>
    <n v="87"/>
  </r>
  <r>
    <s v="SBG - Mobile"/>
    <x v="0"/>
    <s v="Bugs"/>
    <s v="MOBL-621"/>
    <s v="MOBL-592&gt; remove margin"/>
    <s v="Bugs"/>
    <x v="1"/>
    <d v="2015-12-14T11:17:00"/>
    <x v="9"/>
    <x v="0"/>
    <x v="19"/>
    <n v="6"/>
    <m/>
    <n v="87"/>
    <n v="87"/>
  </r>
  <r>
    <s v="SBG - Mobile"/>
    <x v="0"/>
    <s v="Bugs"/>
    <s v="MOBL-621"/>
    <s v="MOBL-592&gt; remove margin"/>
    <s v="Bugs"/>
    <x v="1"/>
    <d v="2015-12-21T15:18:00"/>
    <x v="9"/>
    <x v="0"/>
    <x v="19"/>
    <n v="2"/>
    <m/>
    <n v="87"/>
    <n v="87"/>
  </r>
  <r>
    <s v="SBG - Mobile"/>
    <x v="0"/>
    <s v="Bugs"/>
    <s v="MOBL-621"/>
    <s v="MOBL-592&gt; remove margin"/>
    <s v="Bugs"/>
    <x v="1"/>
    <d v="2015-12-29T09:19:00"/>
    <x v="9"/>
    <x v="0"/>
    <x v="19"/>
    <n v="8"/>
    <m/>
    <n v="87"/>
    <n v="87"/>
  </r>
  <r>
    <s v="SBG - Mobile"/>
    <x v="0"/>
    <s v="Bugs"/>
    <s v="MOBL-621"/>
    <s v="MOBL-592&gt; remove margin"/>
    <s v="Bugs"/>
    <x v="1"/>
    <d v="2015-12-31T09:20:00"/>
    <x v="9"/>
    <x v="0"/>
    <x v="19"/>
    <n v="8"/>
    <m/>
    <n v="87"/>
    <n v="87"/>
  </r>
  <r>
    <s v="SBG - Mobile"/>
    <x v="0"/>
    <s v="Bugs"/>
    <s v="MOBL-621"/>
    <s v="MOBL-592&gt; remove margin"/>
    <s v="Bugs"/>
    <x v="1"/>
    <d v="2016-01-07T09:21:00"/>
    <x v="10"/>
    <x v="1"/>
    <x v="19"/>
    <n v="8"/>
    <m/>
    <n v="83"/>
    <n v="83"/>
  </r>
  <r>
    <s v="SBG - Mobile"/>
    <x v="0"/>
    <s v="Bugs"/>
    <s v="MOBL-621"/>
    <s v="MOBL-592&gt; remove margin"/>
    <s v="Bugs"/>
    <x v="1"/>
    <d v="2016-01-08T09:21:00"/>
    <x v="10"/>
    <x v="1"/>
    <x v="19"/>
    <n v="8"/>
    <m/>
    <n v="83"/>
    <n v="83"/>
  </r>
  <r>
    <s v="SBG - Mobile"/>
    <x v="0"/>
    <s v="Bugs"/>
    <s v="MOBL-621"/>
    <s v="MOBL-592&gt; remove margin"/>
    <s v="Bugs"/>
    <x v="1"/>
    <d v="2016-01-12T09:21:00"/>
    <x v="10"/>
    <x v="1"/>
    <x v="19"/>
    <n v="8"/>
    <m/>
    <n v="83"/>
    <n v="83"/>
  </r>
  <r>
    <s v="SBG - Mobile"/>
    <x v="1"/>
    <s v="Technical task"/>
    <s v="MOBL-628"/>
    <s v="MOBL-185&gt; Test case design and execution"/>
    <s v="Technical task"/>
    <x v="0"/>
    <d v="2015-12-03T17:23:00"/>
    <x v="9"/>
    <x v="0"/>
    <x v="1"/>
    <n v="4"/>
    <m/>
    <n v="147.9"/>
    <n v="26.100000000000005"/>
  </r>
  <r>
    <s v="SBG - Mobile"/>
    <x v="1"/>
    <s v="Technical task"/>
    <s v="MOBL-628"/>
    <s v="MOBL-185&gt; Test case design and execution"/>
    <s v="Technical task"/>
    <x v="0"/>
    <d v="2015-12-04T17:26:00"/>
    <x v="9"/>
    <x v="0"/>
    <x v="1"/>
    <n v="4"/>
    <m/>
    <n v="147.9"/>
    <n v="26.100000000000005"/>
  </r>
  <r>
    <s v="SBG - Mobile"/>
    <x v="1"/>
    <s v="Technical task"/>
    <s v="MOBL-628"/>
    <s v="MOBL-185&gt; Test case design and execution"/>
    <s v="Technical task"/>
    <x v="0"/>
    <d v="2015-12-07T18:36:00"/>
    <x v="9"/>
    <x v="0"/>
    <x v="1"/>
    <n v="3"/>
    <m/>
    <n v="147.9"/>
    <n v="26.100000000000005"/>
  </r>
  <r>
    <s v="SBG - Mobile"/>
    <x v="1"/>
    <s v="Technical task"/>
    <s v="MOBL-628"/>
    <s v="MOBL-185&gt; Test case design and execution"/>
    <s v="Technical task"/>
    <x v="0"/>
    <d v="2015-12-08T12:52:00"/>
    <x v="9"/>
    <x v="0"/>
    <x v="26"/>
    <n v="0.1"/>
    <m/>
    <n v="147.9"/>
    <n v="26.100000000000005"/>
  </r>
  <r>
    <s v="SBG - Mobile"/>
    <x v="1"/>
    <s v="Technical task"/>
    <s v="MOBL-628"/>
    <s v="MOBL-185&gt; Test case design and execution"/>
    <s v="Technical task"/>
    <x v="0"/>
    <d v="2015-12-08T17:43:00"/>
    <x v="9"/>
    <x v="0"/>
    <x v="1"/>
    <n v="2"/>
    <m/>
    <n v="147.9"/>
    <n v="26.100000000000005"/>
  </r>
  <r>
    <s v="SBG - Mobile"/>
    <x v="1"/>
    <s v="Technical task"/>
    <s v="MOBL-628"/>
    <s v="MOBL-185&gt; Test case design and execution"/>
    <s v="Technical task"/>
    <x v="0"/>
    <d v="2015-12-09T17:23:00"/>
    <x v="9"/>
    <x v="0"/>
    <x v="1"/>
    <n v="2"/>
    <m/>
    <n v="147.9"/>
    <n v="26.100000000000005"/>
  </r>
  <r>
    <s v="SBG - Mobile"/>
    <x v="1"/>
    <s v="Technical task"/>
    <s v="MOBL-629"/>
    <s v="MOBL-573&gt; Test case design and execution"/>
    <s v="Technical task"/>
    <x v="0"/>
    <d v="2015-12-03T11:49:00"/>
    <x v="9"/>
    <x v="0"/>
    <x v="23"/>
    <n v="4"/>
    <m/>
    <n v="147.9"/>
    <n v="26.100000000000005"/>
  </r>
  <r>
    <s v="SBG - Mobile"/>
    <x v="1"/>
    <s v="Technical task"/>
    <s v="MOBL-629"/>
    <s v="MOBL-573&gt; Test case design and execution"/>
    <s v="Technical task"/>
    <x v="0"/>
    <d v="2015-12-04T17:55:00"/>
    <x v="9"/>
    <x v="0"/>
    <x v="23"/>
    <n v="2"/>
    <m/>
    <n v="147.9"/>
    <n v="26.100000000000005"/>
  </r>
  <r>
    <s v="SBG - Mobile"/>
    <x v="1"/>
    <s v="Technical task"/>
    <s v="MOBL-629"/>
    <s v="MOBL-573&gt; Test case design and execution"/>
    <s v="Technical task"/>
    <x v="0"/>
    <d v="2015-12-21T17:28:00"/>
    <x v="9"/>
    <x v="0"/>
    <x v="23"/>
    <n v="2"/>
    <m/>
    <n v="147.9"/>
    <n v="26.100000000000005"/>
  </r>
  <r>
    <s v="SBG - Mobile"/>
    <x v="1"/>
    <s v="Technical task"/>
    <s v="MOBL-629"/>
    <s v="MOBL-573&gt; Test case design and execution"/>
    <s v="Technical task"/>
    <x v="0"/>
    <d v="2015-12-28T13:52:00"/>
    <x v="9"/>
    <x v="0"/>
    <x v="23"/>
    <n v="2"/>
    <m/>
    <n v="147.9"/>
    <n v="26.100000000000005"/>
  </r>
  <r>
    <s v="SBG - Mobile"/>
    <x v="1"/>
    <s v="Technical task"/>
    <s v="MOBL-629"/>
    <s v="MOBL-573&gt; Test case design and execution"/>
    <s v="Technical task"/>
    <x v="0"/>
    <d v="2015-12-30T07:53:00"/>
    <x v="9"/>
    <x v="0"/>
    <x v="23"/>
    <n v="8"/>
    <m/>
    <n v="147.9"/>
    <n v="26.100000000000005"/>
  </r>
  <r>
    <s v="SBG - Mobile"/>
    <x v="2"/>
    <s v="Task"/>
    <s v="MOBL-632"/>
    <s v="Contact Lens Product Page - Improvement"/>
    <s v="Task"/>
    <x v="0"/>
    <d v="2016-01-28T18:35:00"/>
    <x v="10"/>
    <x v="1"/>
    <x v="18"/>
    <n v="8"/>
    <m/>
    <n v="141.1"/>
    <n v="24.900000000000002"/>
  </r>
  <r>
    <s v="SBG - Mobile"/>
    <x v="1"/>
    <s v="Task"/>
    <s v="MOBL-632"/>
    <s v="Contact Lens Product Page - Improvement"/>
    <s v="Task"/>
    <x v="0"/>
    <d v="2016-01-29T18:37:00"/>
    <x v="10"/>
    <x v="1"/>
    <x v="30"/>
    <n v="3"/>
    <m/>
    <n v="141.1"/>
    <n v="24.900000000000002"/>
  </r>
  <r>
    <s v="SBG - Mobile"/>
    <x v="1"/>
    <s v="Improvement"/>
    <s v="MOBL-634"/>
    <s v="Remove &quot;+&quot; from phone numbers"/>
    <s v="Improvement"/>
    <x v="0"/>
    <d v="2015-12-15T12:51:00"/>
    <x v="9"/>
    <x v="0"/>
    <x v="23"/>
    <n v="3"/>
    <m/>
    <n v="147.9"/>
    <n v="26.100000000000005"/>
  </r>
  <r>
    <s v="SBG - Mobile"/>
    <x v="0"/>
    <s v="Task"/>
    <s v="MOBL-635"/>
    <s v="Put Mobile's CSS/JS/Image for SBG to CDN"/>
    <s v="Task"/>
    <x v="0"/>
    <d v="2015-12-09T18:38:00"/>
    <x v="9"/>
    <x v="0"/>
    <x v="7"/>
    <n v="2"/>
    <m/>
    <n v="87"/>
    <n v="87"/>
  </r>
  <r>
    <s v="SBG - Mobile"/>
    <x v="0"/>
    <s v="Task"/>
    <s v="MOBL-635"/>
    <s v="Put Mobile's CSS/JS/Image for SBG to CDN"/>
    <s v="Task"/>
    <x v="0"/>
    <d v="2015-12-16T18:36:00"/>
    <x v="9"/>
    <x v="0"/>
    <x v="7"/>
    <n v="7.5"/>
    <m/>
    <n v="87"/>
    <n v="87"/>
  </r>
  <r>
    <s v="SBG - Mobile"/>
    <x v="2"/>
    <s v="Task"/>
    <s v="MOBL-635"/>
    <s v="Put Mobile's CSS/JS/Image for SBG to CDN"/>
    <s v="Task"/>
    <x v="0"/>
    <d v="2015-12-18T17:01:00"/>
    <x v="9"/>
    <x v="0"/>
    <x v="18"/>
    <n v="4"/>
    <m/>
    <n v="147.9"/>
    <n v="26.100000000000005"/>
  </r>
  <r>
    <s v="SBG - Mobile"/>
    <x v="0"/>
    <s v="Task"/>
    <s v="MOBL-635"/>
    <s v="Put Mobile's CSS/JS/Image for SBG to CDN"/>
    <s v="Task"/>
    <x v="0"/>
    <d v="2015-12-18T18:36:00"/>
    <x v="9"/>
    <x v="0"/>
    <x v="7"/>
    <n v="6.5"/>
    <m/>
    <n v="87"/>
    <n v="87"/>
  </r>
  <r>
    <s v="SBG - Mobile"/>
    <x v="0"/>
    <s v="Task"/>
    <s v="MOBL-635"/>
    <s v="Put Mobile's CSS/JS/Image for SBG to CDN"/>
    <s v="Task"/>
    <x v="0"/>
    <d v="2015-12-21T18:36:00"/>
    <x v="9"/>
    <x v="0"/>
    <x v="7"/>
    <n v="6.5"/>
    <m/>
    <n v="87"/>
    <n v="87"/>
  </r>
  <r>
    <s v="SBG - Mobile"/>
    <x v="0"/>
    <s v="Task"/>
    <s v="MOBL-635"/>
    <s v="Put Mobile's CSS/JS/Image for SBG to CDN"/>
    <s v="Task"/>
    <x v="0"/>
    <d v="2015-12-22T18:12:00"/>
    <x v="9"/>
    <x v="0"/>
    <x v="7"/>
    <n v="7.5"/>
    <m/>
    <n v="87"/>
    <n v="87"/>
  </r>
  <r>
    <s v="SBG - Mobile"/>
    <x v="0"/>
    <s v="Task"/>
    <s v="MOBL-635"/>
    <s v="Put Mobile's CSS/JS/Image for SBG to CDN"/>
    <s v="Task"/>
    <x v="0"/>
    <d v="2015-12-23T18:30:00"/>
    <x v="9"/>
    <x v="0"/>
    <x v="7"/>
    <n v="5"/>
    <m/>
    <n v="87"/>
    <n v="87"/>
  </r>
  <r>
    <s v="SBG - Mobile"/>
    <x v="1"/>
    <s v="Task"/>
    <s v="MOBL-635"/>
    <s v="Put Mobile's CSS/JS/Image for SBG to CDN"/>
    <s v="Task"/>
    <x v="0"/>
    <d v="2015-12-25T17:22:00"/>
    <x v="9"/>
    <x v="0"/>
    <x v="23"/>
    <n v="2"/>
    <m/>
    <n v="147.9"/>
    <n v="26.100000000000005"/>
  </r>
  <r>
    <s v="SBG - Mobile"/>
    <x v="1"/>
    <s v="Task"/>
    <s v="MOBL-635"/>
    <s v="Put Mobile's CSS/JS/Image for SBG to CDN"/>
    <s v="Task"/>
    <x v="0"/>
    <d v="2015-12-28T16:40:00"/>
    <x v="9"/>
    <x v="0"/>
    <x v="23"/>
    <n v="2"/>
    <m/>
    <n v="147.9"/>
    <n v="26.100000000000005"/>
  </r>
  <r>
    <s v="SBG - Mobile"/>
    <x v="0"/>
    <s v="Task"/>
    <s v="MOBL-635"/>
    <s v="Put Mobile's CSS/JS/Image for SBG to CDN"/>
    <s v="Task"/>
    <x v="0"/>
    <d v="2015-12-29T18:38:00"/>
    <x v="9"/>
    <x v="0"/>
    <x v="7"/>
    <n v="5"/>
    <m/>
    <n v="87"/>
    <n v="87"/>
  </r>
  <r>
    <s v="SBG - Mobile"/>
    <x v="0"/>
    <s v="Task"/>
    <s v="MOBL-635"/>
    <s v="Put Mobile's CSS/JS/Image for SBG to CDN"/>
    <s v="Task"/>
    <x v="0"/>
    <d v="2015-12-30T18:34:00"/>
    <x v="9"/>
    <x v="0"/>
    <x v="7"/>
    <n v="2"/>
    <m/>
    <n v="87"/>
    <n v="87"/>
  </r>
  <r>
    <s v="SBG - Mobile"/>
    <x v="0"/>
    <s v="Task"/>
    <s v="MOBL-635"/>
    <s v="Put Mobile's CSS/JS/Image for SBG to CDN"/>
    <s v="Task"/>
    <x v="0"/>
    <d v="2016-01-04T14:40:00"/>
    <x v="10"/>
    <x v="1"/>
    <x v="7"/>
    <n v="3"/>
    <m/>
    <n v="83"/>
    <n v="83"/>
  </r>
  <r>
    <s v="SBG - Mobile"/>
    <x v="1"/>
    <s v="Task"/>
    <s v="MOBL-635"/>
    <s v="Put Mobile's CSS/JS/Image for SBG to CDN"/>
    <s v="Task"/>
    <x v="0"/>
    <d v="2016-01-05T11:54:00"/>
    <x v="10"/>
    <x v="1"/>
    <x v="23"/>
    <n v="4"/>
    <m/>
    <n v="141.1"/>
    <n v="24.900000000000002"/>
  </r>
  <r>
    <s v="SBG - Mobile"/>
    <x v="0"/>
    <s v="Task"/>
    <s v="MOBL-635"/>
    <s v="Put Mobile's CSS/JS/Image for SBG to CDN"/>
    <s v="Task"/>
    <x v="0"/>
    <d v="2016-01-05T18:34:00"/>
    <x v="10"/>
    <x v="1"/>
    <x v="7"/>
    <n v="1.5"/>
    <m/>
    <n v="83"/>
    <n v="83"/>
  </r>
  <r>
    <s v="SBG - Mobile"/>
    <x v="0"/>
    <s v="Task"/>
    <s v="MOBL-635"/>
    <s v="Put Mobile's CSS/JS/Image for SBG to CDN"/>
    <s v="Task"/>
    <x v="0"/>
    <d v="2016-01-13T18:38:00"/>
    <x v="10"/>
    <x v="1"/>
    <x v="7"/>
    <n v="0.5"/>
    <m/>
    <n v="83"/>
    <n v="83"/>
  </r>
  <r>
    <s v="SBG - Mobile"/>
    <x v="4"/>
    <s v="New Feature"/>
    <s v="MOBL-639"/>
    <s v="New Contact Lenses Grid page layout for mobile"/>
    <s v="New Feature"/>
    <x v="0"/>
    <d v="2016-01-26T14:27:00"/>
    <x v="10"/>
    <x v="1"/>
    <x v="13"/>
    <n v="2"/>
    <m/>
    <n v="141.1"/>
    <n v="24.900000000000002"/>
  </r>
  <r>
    <s v="SBG - Mobile"/>
    <x v="4"/>
    <s v="New Feature"/>
    <s v="MOBL-639"/>
    <s v="New Contact Lenses Grid page layout for mobile"/>
    <s v="New Feature"/>
    <x v="0"/>
    <d v="2016-01-27T14:27:00"/>
    <x v="10"/>
    <x v="1"/>
    <x v="13"/>
    <n v="2"/>
    <m/>
    <n v="141.1"/>
    <n v="24.900000000000002"/>
  </r>
  <r>
    <s v="SBG - Mobile"/>
    <x v="1"/>
    <s v="Bug"/>
    <s v="MOBL-641"/>
    <s v="After Log in with Facebook, member still be sign out status"/>
    <s v="Bug"/>
    <x v="1"/>
    <d v="2016-01-12T18:49:00"/>
    <x v="10"/>
    <x v="1"/>
    <x v="1"/>
    <n v="4"/>
    <m/>
    <n v="141.1"/>
    <n v="24.900000000000002"/>
  </r>
  <r>
    <s v="SBG - Mobile"/>
    <x v="1"/>
    <s v="Bug"/>
    <s v="MOBL-685"/>
    <s v="Contact Lens - Product page Best Price Guarantee &amp; Free Shipping bug"/>
    <s v="Bug"/>
    <x v="1"/>
    <d v="2015-12-18T12:26:00"/>
    <x v="9"/>
    <x v="0"/>
    <x v="26"/>
    <n v="2"/>
    <m/>
    <n v="147.9"/>
    <n v="26.100000000000005"/>
  </r>
  <r>
    <s v="SBG - Mobile"/>
    <x v="1"/>
    <s v="Bug"/>
    <s v="MOBL-685"/>
    <s v="Contact Lens - Product page Best Price Guarantee &amp; Free Shipping bug"/>
    <s v="Bug"/>
    <x v="1"/>
    <d v="2015-12-18T18:57:00"/>
    <x v="9"/>
    <x v="0"/>
    <x v="26"/>
    <n v="1"/>
    <m/>
    <n v="147.9"/>
    <n v="26.100000000000005"/>
  </r>
  <r>
    <s v="SBG - Mobile"/>
    <x v="1"/>
    <s v="Bug"/>
    <s v="MOBL-685"/>
    <s v="Contact Lens - Product page Best Price Guarantee &amp; Free Shipping bug"/>
    <s v="Bug"/>
    <x v="1"/>
    <d v="2015-12-22T12:43:00"/>
    <x v="9"/>
    <x v="0"/>
    <x v="26"/>
    <n v="1"/>
    <m/>
    <n v="147.9"/>
    <n v="26.100000000000005"/>
  </r>
  <r>
    <s v="SBG - Mobile"/>
    <x v="1"/>
    <s v="Bug"/>
    <s v="MOBL-686"/>
    <s v="Sticky header z-depth for CL page is wrong."/>
    <s v="Bug"/>
    <x v="1"/>
    <d v="2015-12-14T18:31:00"/>
    <x v="9"/>
    <x v="0"/>
    <x v="21"/>
    <n v="2"/>
    <m/>
    <n v="147.9"/>
    <n v="26.100000000000005"/>
  </r>
  <r>
    <s v="SBG - Mobile"/>
    <x v="1"/>
    <s v="Bug"/>
    <s v="MOBL-686"/>
    <s v="Sticky header z-depth for CL page is wrong."/>
    <s v="Bug"/>
    <x v="1"/>
    <d v="2015-12-16T12:24:00"/>
    <x v="9"/>
    <x v="0"/>
    <x v="21"/>
    <n v="8"/>
    <m/>
    <n v="147.9"/>
    <n v="26.100000000000005"/>
  </r>
  <r>
    <s v="SBG - Mobile"/>
    <x v="2"/>
    <s v="Bug"/>
    <s v="MOBL-702"/>
    <s v="H1 tags not loading in FR"/>
    <s v="Bug"/>
    <x v="1"/>
    <d v="2015-12-14T10:35:00"/>
    <x v="9"/>
    <x v="0"/>
    <x v="11"/>
    <n v="2"/>
    <m/>
    <n v="147.9"/>
    <n v="26.100000000000005"/>
  </r>
  <r>
    <s v="SBG - Mobile"/>
    <x v="2"/>
    <s v="Bug"/>
    <s v="MOBL-702"/>
    <s v="H1 tags not loading in FR"/>
    <s v="Bug"/>
    <x v="1"/>
    <d v="2015-12-14T12:03:00"/>
    <x v="9"/>
    <x v="0"/>
    <x v="11"/>
    <n v="5"/>
    <m/>
    <n v="147.9"/>
    <n v="26.100000000000005"/>
  </r>
  <r>
    <s v="SBG - Mobile"/>
    <x v="2"/>
    <s v="Bug"/>
    <s v="MOBL-702"/>
    <s v="H1 tags not loading in FR"/>
    <s v="Bug"/>
    <x v="1"/>
    <d v="2015-12-17T14:44:00"/>
    <x v="9"/>
    <x v="0"/>
    <x v="11"/>
    <n v="2"/>
    <m/>
    <n v="147.9"/>
    <n v="26.100000000000005"/>
  </r>
  <r>
    <s v="SBG - Mobile"/>
    <x v="1"/>
    <s v="Bug"/>
    <s v="MOBL-702"/>
    <s v="H1 tags not loading in FR"/>
    <s v="Bug"/>
    <x v="1"/>
    <d v="2015-12-17T15:47:00"/>
    <x v="9"/>
    <x v="0"/>
    <x v="21"/>
    <n v="2"/>
    <m/>
    <n v="147.9"/>
    <n v="26.100000000000005"/>
  </r>
  <r>
    <s v="SBG - Mobile"/>
    <x v="1"/>
    <s v="Bug"/>
    <s v="MOBL-702"/>
    <s v="H1 tags not loading in FR"/>
    <s v="Bug"/>
    <x v="1"/>
    <d v="2015-12-21T17:37:00"/>
    <x v="9"/>
    <x v="0"/>
    <x v="21"/>
    <n v="1"/>
    <m/>
    <n v="147.9"/>
    <n v="26.100000000000005"/>
  </r>
  <r>
    <s v="SBG - Mobile"/>
    <x v="1"/>
    <s v="Bug"/>
    <s v="MOBL-702"/>
    <s v="H1 tags not loading in FR"/>
    <s v="Bug"/>
    <x v="1"/>
    <d v="2015-12-23T12:21:00"/>
    <x v="9"/>
    <x v="0"/>
    <x v="21"/>
    <n v="8"/>
    <m/>
    <n v="147.9"/>
    <n v="26.100000000000005"/>
  </r>
  <r>
    <s v="SBG - Mobile"/>
    <x v="1"/>
    <s v="Bug"/>
    <s v="MOBL-710"/>
    <s v="sd=1 paramater in mobile URLs"/>
    <s v="Bug"/>
    <x v="1"/>
    <d v="2015-12-21T17:58:00"/>
    <x v="9"/>
    <x v="0"/>
    <x v="23"/>
    <n v="1"/>
    <m/>
    <n v="147.9"/>
    <n v="26.100000000000005"/>
  </r>
  <r>
    <s v="SBG - Mobile"/>
    <x v="1"/>
    <s v="Bug"/>
    <s v="MOBL-710"/>
    <s v="sd=1 paramater in mobile URLs"/>
    <s v="Bug"/>
    <x v="1"/>
    <d v="2015-12-23T07:52:00"/>
    <x v="9"/>
    <x v="0"/>
    <x v="23"/>
    <n v="8"/>
    <m/>
    <n v="147.9"/>
    <n v="26.100000000000005"/>
  </r>
  <r>
    <s v="SBG - Mobile"/>
    <x v="0"/>
    <s v="Bug"/>
    <s v="MOBL-737"/>
    <s v="Product Page - Bread crum height too high"/>
    <s v="Bug"/>
    <x v="1"/>
    <d v="2015-12-10T11:33:00"/>
    <x v="9"/>
    <x v="0"/>
    <x v="7"/>
    <n v="3"/>
    <m/>
    <n v="87"/>
    <n v="87"/>
  </r>
  <r>
    <s v="SBG - Mobile"/>
    <x v="0"/>
    <s v="Bug"/>
    <s v="MOBL-737"/>
    <s v="Product Page - Bread crum height too high"/>
    <s v="Bug"/>
    <x v="1"/>
    <d v="2015-12-14T12:49:00"/>
    <x v="9"/>
    <x v="0"/>
    <x v="7"/>
    <n v="0.5"/>
    <m/>
    <n v="87"/>
    <n v="87"/>
  </r>
  <r>
    <s v="SBG - Mobile"/>
    <x v="2"/>
    <s v="Bug"/>
    <s v="MOBL-777"/>
    <s v="Filter pages duplicate issues"/>
    <s v="Bug"/>
    <x v="1"/>
    <d v="2015-12-29T18:35:00"/>
    <x v="9"/>
    <x v="0"/>
    <x v="10"/>
    <n v="4"/>
    <m/>
    <n v="147.9"/>
    <n v="26.100000000000005"/>
  </r>
  <r>
    <s v="SBG - Mobile"/>
    <x v="2"/>
    <s v="Bug"/>
    <s v="MOBL-791"/>
    <s v="Marchon Photos- Missing on Mobile Website"/>
    <s v="Bug"/>
    <x v="1"/>
    <d v="2016-01-25T12:12:00"/>
    <x v="10"/>
    <x v="1"/>
    <x v="22"/>
    <n v="3"/>
    <m/>
    <n v="141.1"/>
    <n v="24.900000000000002"/>
  </r>
  <r>
    <s v="SBG - Mobile"/>
    <x v="2"/>
    <s v="Bug"/>
    <s v="MOBL-791"/>
    <s v="Marchon Photos- Missing on Mobile Website"/>
    <s v="Bug"/>
    <x v="1"/>
    <d v="2016-01-25T17:23:00"/>
    <x v="10"/>
    <x v="1"/>
    <x v="22"/>
    <n v="4"/>
    <m/>
    <n v="141.1"/>
    <n v="24.900000000000002"/>
  </r>
  <r>
    <s v="SBG - Mobile"/>
    <x v="1"/>
    <s v="Bug"/>
    <s v="MOBL-791"/>
    <s v="Marchon Photos- Missing on Mobile Website"/>
    <s v="Bug"/>
    <x v="1"/>
    <d v="2016-01-25T18:32:00"/>
    <x v="10"/>
    <x v="1"/>
    <x v="30"/>
    <n v="2"/>
    <m/>
    <n v="141.1"/>
    <n v="24.900000000000002"/>
  </r>
  <r>
    <s v="SBG - Mobile"/>
    <x v="1"/>
    <s v="Bug"/>
    <s v="MOBL-791"/>
    <s v="Marchon Photos- Missing on Mobile Website"/>
    <s v="Bug"/>
    <x v="1"/>
    <d v="2016-01-25T18:47:00"/>
    <x v="10"/>
    <x v="1"/>
    <x v="30"/>
    <n v="1"/>
    <m/>
    <n v="141.1"/>
    <n v="24.900000000000002"/>
  </r>
  <r>
    <s v="SBG - Mobile"/>
    <x v="2"/>
    <s v="Bug"/>
    <s v="MOBL-792"/>
    <s v="Bifocal + Computer Progressive in Mobile Website"/>
    <s v="Bug"/>
    <x v="1"/>
    <d v="2016-01-22T16:18:00"/>
    <x v="10"/>
    <x v="1"/>
    <x v="22"/>
    <n v="4"/>
    <m/>
    <n v="141.1"/>
    <n v="24.900000000000002"/>
  </r>
  <r>
    <s v="SBG - Mobile"/>
    <x v="2"/>
    <s v="Bug"/>
    <s v="MOBL-792"/>
    <s v="Bifocal + Computer Progressive in Mobile Website"/>
    <s v="Bug"/>
    <x v="1"/>
    <d v="2016-01-25T17:22:00"/>
    <x v="10"/>
    <x v="1"/>
    <x v="22"/>
    <n v="2"/>
    <m/>
    <n v="141.1"/>
    <n v="24.900000000000002"/>
  </r>
  <r>
    <s v="SBG - Mobile"/>
    <x v="1"/>
    <s v="Bug"/>
    <s v="MOBL-799"/>
    <s v="Contact Lens Mobile URL not Translated"/>
    <s v="Bug"/>
    <x v="1"/>
    <d v="2016-01-27T18:37:00"/>
    <x v="10"/>
    <x v="1"/>
    <x v="23"/>
    <n v="3"/>
    <m/>
    <n v="141.1"/>
    <n v="24.900000000000002"/>
  </r>
  <r>
    <s v="SBG - Mobile"/>
    <x v="2"/>
    <s v="Bug"/>
    <s v="MOBL-800"/>
    <s v="Mobile CL pages contain &quot;Array&quot;"/>
    <s v="Bug"/>
    <x v="1"/>
    <d v="2015-12-01T09:40:00"/>
    <x v="9"/>
    <x v="0"/>
    <x v="11"/>
    <n v="6"/>
    <m/>
    <n v="147.9"/>
    <n v="26.100000000000005"/>
  </r>
  <r>
    <s v="SBG - Mobile"/>
    <x v="2"/>
    <s v="Bug"/>
    <s v="MOBL-800"/>
    <s v="Mobile CL pages contain &quot;Array&quot;"/>
    <s v="Bug"/>
    <x v="1"/>
    <d v="2015-12-07T09:30:00"/>
    <x v="9"/>
    <x v="0"/>
    <x v="11"/>
    <n v="5"/>
    <m/>
    <n v="147.9"/>
    <n v="26.100000000000005"/>
  </r>
  <r>
    <s v="SBG - Mobile"/>
    <x v="1"/>
    <s v="Bug"/>
    <s v="MOBL-800"/>
    <s v="Mobile CL pages contain &quot;Array&quot;"/>
    <s v="Bug"/>
    <x v="1"/>
    <d v="2015-12-14T10:55:00"/>
    <x v="9"/>
    <x v="0"/>
    <x v="26"/>
    <n v="0.5"/>
    <m/>
    <n v="147.9"/>
    <n v="26.100000000000005"/>
  </r>
  <r>
    <s v="SBG - Mobile"/>
    <x v="2"/>
    <s v="Bug"/>
    <s v="MOBL-810"/>
    <s v="Ski goggles banner displaying in Singapore"/>
    <s v="Bug"/>
    <x v="1"/>
    <d v="2016-01-22T17:26:00"/>
    <x v="10"/>
    <x v="1"/>
    <x v="10"/>
    <n v="2"/>
    <m/>
    <n v="141.1"/>
    <n v="24.900000000000002"/>
  </r>
  <r>
    <s v="SBG - Mobile"/>
    <x v="2"/>
    <s v="Bug"/>
    <s v="MOBL-810"/>
    <s v="Ski goggles banner displaying in Singapore"/>
    <s v="Bug"/>
    <x v="1"/>
    <d v="2016-01-26T08:39:00"/>
    <x v="10"/>
    <x v="1"/>
    <x v="10"/>
    <n v="2"/>
    <m/>
    <n v="141.1"/>
    <n v="24.900000000000002"/>
  </r>
  <r>
    <s v="SBG - Mobile"/>
    <x v="1"/>
    <s v="Bug"/>
    <s v="MOBL-810"/>
    <s v="Ski goggles banner displaying in Singapore"/>
    <s v="Bug"/>
    <x v="1"/>
    <d v="2016-01-26T11:18:00"/>
    <x v="10"/>
    <x v="1"/>
    <x v="30"/>
    <n v="4"/>
    <m/>
    <n v="141.1"/>
    <n v="24.900000000000002"/>
  </r>
  <r>
    <s v="SBG - Mobile"/>
    <x v="1"/>
    <s v="Bug"/>
    <s v="MOBL-820"/>
    <s v="Wrong link for the Home page Eyewear banner"/>
    <s v="Bug"/>
    <x v="1"/>
    <d v="2016-01-28T18:33:00"/>
    <x v="10"/>
    <x v="1"/>
    <x v="23"/>
    <n v="1"/>
    <m/>
    <n v="141.1"/>
    <n v="24.900000000000002"/>
  </r>
  <r>
    <s v="SBG - Mobile"/>
    <x v="2"/>
    <s v="Bug"/>
    <s v="MOBL-823"/>
    <s v="Contact Lens - please sync Product Page product information to desktop version"/>
    <s v="Bug"/>
    <x v="1"/>
    <d v="2015-12-21T09:35:00"/>
    <x v="9"/>
    <x v="0"/>
    <x v="10"/>
    <n v="4"/>
    <m/>
    <n v="147.9"/>
    <n v="26.100000000000005"/>
  </r>
  <r>
    <s v="SBG - Mobile"/>
    <x v="2"/>
    <s v="Bug"/>
    <s v="MOBL-823"/>
    <s v="Contact Lens - please sync Product Page product information to desktop version"/>
    <s v="Bug"/>
    <x v="1"/>
    <d v="2015-12-28T09:26:00"/>
    <x v="9"/>
    <x v="0"/>
    <x v="10"/>
    <n v="1"/>
    <m/>
    <n v="147.9"/>
    <n v="26.100000000000005"/>
  </r>
  <r>
    <s v="SBG - Mobile"/>
    <x v="1"/>
    <s v="Bug"/>
    <s v="MOBL-823"/>
    <s v="Contact Lens - please sync Product Page product information to desktop version"/>
    <s v="Bug"/>
    <x v="1"/>
    <d v="2015-12-28T16:41:00"/>
    <x v="9"/>
    <x v="0"/>
    <x v="23"/>
    <n v="2"/>
    <m/>
    <n v="147.9"/>
    <n v="26.100000000000005"/>
  </r>
  <r>
    <s v="SBG - Mobile"/>
    <x v="1"/>
    <s v="Bug"/>
    <s v="MOBL-823"/>
    <s v="Contact Lens - please sync Product Page product information to desktop version"/>
    <s v="Bug"/>
    <x v="1"/>
    <d v="2015-12-29T09:52:00"/>
    <x v="9"/>
    <x v="0"/>
    <x v="23"/>
    <n v="6"/>
    <m/>
    <n v="147.9"/>
    <n v="26.100000000000005"/>
  </r>
  <r>
    <s v="SBG - Mobile"/>
    <x v="1"/>
    <s v="Bug"/>
    <s v="MOBL-823"/>
    <s v="Contact Lens - please sync Product Page product information to desktop version"/>
    <s v="Bug"/>
    <x v="1"/>
    <d v="2016-01-04T18:32:00"/>
    <x v="10"/>
    <x v="1"/>
    <x v="23"/>
    <n v="1"/>
    <m/>
    <n v="141.1"/>
    <n v="24.900000000000002"/>
  </r>
  <r>
    <s v="SBG - Mobile"/>
    <x v="1"/>
    <s v="Bug"/>
    <s v="MOBL-823"/>
    <s v="Contact Lens - please sync Product Page product information to desktop version"/>
    <s v="Bug"/>
    <x v="1"/>
    <d v="2016-01-12T11:55:00"/>
    <x v="10"/>
    <x v="1"/>
    <x v="23"/>
    <n v="4"/>
    <m/>
    <n v="141.1"/>
    <n v="24.900000000000002"/>
  </r>
  <r>
    <s v="SBG - Mobile"/>
    <x v="2"/>
    <s v="Bug"/>
    <s v="MOBL-824"/>
    <s v="Mobile &quot;Sort by Popularity&quot; doesn't work properly"/>
    <s v="Bug"/>
    <x v="1"/>
    <d v="2015-12-29T18:35:00"/>
    <x v="9"/>
    <x v="0"/>
    <x v="10"/>
    <n v="1"/>
    <m/>
    <n v="147.9"/>
    <n v="26.100000000000005"/>
  </r>
  <r>
    <s v="SBG - Mobile"/>
    <x v="1"/>
    <s v="Bug"/>
    <s v="MOBL-824"/>
    <s v="Mobile &quot;Sort by Popularity&quot; doesn't work properly"/>
    <s v="Bug"/>
    <x v="1"/>
    <d v="2016-01-04T18:32:00"/>
    <x v="10"/>
    <x v="1"/>
    <x v="23"/>
    <n v="1"/>
    <m/>
    <n v="141.1"/>
    <n v="24.900000000000002"/>
  </r>
  <r>
    <s v="SBG - Mobile"/>
    <x v="1"/>
    <s v="Bug"/>
    <s v="MOBL-824"/>
    <s v="Mobile &quot;Sort by Popularity&quot; doesn't work properly"/>
    <s v="Bug"/>
    <x v="1"/>
    <d v="2016-01-07T14:54:00"/>
    <x v="10"/>
    <x v="1"/>
    <x v="23"/>
    <n v="1"/>
    <m/>
    <n v="141.1"/>
    <n v="24.900000000000002"/>
  </r>
  <r>
    <s v="SBG - Mobile"/>
    <x v="1"/>
    <s v="Bug"/>
    <s v="MOBL-824"/>
    <s v="Mobile &quot;Sort by Popularity&quot; doesn't work properly"/>
    <s v="Bug"/>
    <x v="1"/>
    <d v="2016-01-08T11:55:00"/>
    <x v="10"/>
    <x v="1"/>
    <x v="23"/>
    <n v="4"/>
    <m/>
    <n v="141.1"/>
    <n v="24.900000000000002"/>
  </r>
  <r>
    <s v="SBG - Mobile"/>
    <x v="1"/>
    <s v="Bug"/>
    <s v="MOBL-829"/>
    <s v="mobile VD has &quot;extra content=''&quot; at the end of homepage and cart page"/>
    <s v="Bug"/>
    <x v="1"/>
    <d v="2015-12-09T17:39:00"/>
    <x v="9"/>
    <x v="0"/>
    <x v="30"/>
    <n v="2"/>
    <m/>
    <n v="147.9"/>
    <n v="26.100000000000005"/>
  </r>
  <r>
    <s v="SBG - Mobile"/>
    <x v="1"/>
    <s v="Bug"/>
    <s v="MOBL-829"/>
    <s v="mobile VD has &quot;extra content=''&quot; at the end of homepage and cart page"/>
    <s v="Bug"/>
    <x v="1"/>
    <d v="2015-12-11T17:44:00"/>
    <x v="9"/>
    <x v="0"/>
    <x v="30"/>
    <n v="1"/>
    <m/>
    <n v="147.9"/>
    <n v="26.100000000000005"/>
  </r>
  <r>
    <s v="SBG - Mobile"/>
    <x v="1"/>
    <s v="Bug"/>
    <s v="MOBL-829"/>
    <s v="mobile VD has &quot;extra content=''&quot; at the end of homepage and cart page"/>
    <s v="Bug"/>
    <x v="1"/>
    <d v="2015-12-14T17:46:00"/>
    <x v="9"/>
    <x v="0"/>
    <x v="30"/>
    <n v="2"/>
    <m/>
    <n v="147.9"/>
    <n v="26.100000000000005"/>
  </r>
  <r>
    <s v="SBG - Mobile"/>
    <x v="1"/>
    <s v="Bug"/>
    <s v="MOBL-829"/>
    <s v="mobile VD has &quot;extra content=''&quot; at the end of homepage and cart page"/>
    <s v="Bug"/>
    <x v="1"/>
    <d v="2015-12-18T10:20:00"/>
    <x v="9"/>
    <x v="0"/>
    <x v="30"/>
    <n v="1"/>
    <m/>
    <n v="147.9"/>
    <n v="26.100000000000005"/>
  </r>
  <r>
    <s v="SBG - Mobile"/>
    <x v="1"/>
    <s v="Bug"/>
    <s v="MOBL-829"/>
    <s v="mobile VD has &quot;extra content=''&quot; at the end of homepage and cart page"/>
    <s v="Bug"/>
    <x v="1"/>
    <d v="2015-12-18T10:21:00"/>
    <x v="9"/>
    <x v="0"/>
    <x v="30"/>
    <n v="1"/>
    <m/>
    <n v="147.9"/>
    <n v="26.100000000000005"/>
  </r>
  <r>
    <s v="SBG - Mobile"/>
    <x v="1"/>
    <s v="Bug"/>
    <s v="MOBL-829"/>
    <s v="mobile VD has &quot;extra content=''&quot; at the end of homepage and cart page"/>
    <s v="Bug"/>
    <x v="1"/>
    <d v="2015-12-24T17:56:00"/>
    <x v="9"/>
    <x v="0"/>
    <x v="30"/>
    <n v="4"/>
    <m/>
    <n v="147.9"/>
    <n v="26.100000000000005"/>
  </r>
  <r>
    <s v="SBG - Mobile"/>
    <x v="2"/>
    <s v="Bug"/>
    <s v="MOBL-838"/>
    <s v="price filters displaying 99,999 EUR range - mobile - all countries"/>
    <s v="Bug"/>
    <x v="1"/>
    <d v="2015-12-01T11:05:00"/>
    <x v="9"/>
    <x v="0"/>
    <x v="18"/>
    <n v="8"/>
    <m/>
    <n v="147.9"/>
    <n v="26.100000000000005"/>
  </r>
  <r>
    <s v="SBG - Mobile"/>
    <x v="2"/>
    <s v="Bug"/>
    <s v="MOBL-838"/>
    <s v="price filters displaying 99,999 EUR range - mobile - all countries"/>
    <s v="Bug"/>
    <x v="1"/>
    <d v="2016-01-07T06:59:00"/>
    <x v="10"/>
    <x v="1"/>
    <x v="18"/>
    <n v="8"/>
    <m/>
    <n v="141.1"/>
    <n v="24.900000000000002"/>
  </r>
  <r>
    <s v="SBG - Mobile"/>
    <x v="2"/>
    <s v="Bug"/>
    <s v="MOBL-838"/>
    <s v="price filters displaying 99,999 EUR range - mobile - all countries"/>
    <s v="Bug"/>
    <x v="1"/>
    <d v="2016-01-08T12:59:00"/>
    <x v="10"/>
    <x v="1"/>
    <x v="18"/>
    <n v="2"/>
    <m/>
    <n v="141.1"/>
    <n v="24.900000000000002"/>
  </r>
  <r>
    <s v="SBG - Mobile"/>
    <x v="2"/>
    <s v="Bug"/>
    <s v="MOBL-838"/>
    <s v="price filters displaying 99,999 EUR range - mobile - all countries"/>
    <s v="Bug"/>
    <x v="1"/>
    <d v="2016-01-28T18:34:00"/>
    <x v="10"/>
    <x v="1"/>
    <x v="18"/>
    <n v="1"/>
    <m/>
    <n v="141.1"/>
    <n v="24.900000000000002"/>
  </r>
  <r>
    <s v="SBG - Mobile"/>
    <x v="2"/>
    <s v="Bug"/>
    <s v="MOBL-839"/>
    <s v="Sunglasses banner redirecting to ski goggles - all countries"/>
    <s v="Bug"/>
    <x v="1"/>
    <d v="2016-01-13T07:40:00"/>
    <x v="10"/>
    <x v="1"/>
    <x v="10"/>
    <n v="3"/>
    <m/>
    <n v="141.1"/>
    <n v="24.900000000000002"/>
  </r>
  <r>
    <s v="SBG - Mobile"/>
    <x v="1"/>
    <s v="Bug"/>
    <s v="MOBL-839"/>
    <s v="Sunglasses banner redirecting to ski goggles - all countries"/>
    <s v="Bug"/>
    <x v="1"/>
    <d v="2016-01-13T12:55:00"/>
    <x v="10"/>
    <x v="1"/>
    <x v="23"/>
    <n v="3"/>
    <m/>
    <n v="141.1"/>
    <n v="24.900000000000002"/>
  </r>
  <r>
    <s v="SBG - Mobile"/>
    <x v="2"/>
    <s v="Bug"/>
    <s v="MOBL-839"/>
    <s v="Sunglasses banner redirecting to ski goggles - all countries"/>
    <s v="Bug"/>
    <x v="1"/>
    <d v="2016-01-15T11:54:00"/>
    <x v="10"/>
    <x v="1"/>
    <x v="22"/>
    <n v="1"/>
    <m/>
    <n v="141.1"/>
    <n v="24.900000000000002"/>
  </r>
  <r>
    <s v="SBG - Mobile"/>
    <x v="1"/>
    <s v="Bug"/>
    <s v="MOBL-839"/>
    <s v="Sunglasses banner redirecting to ski goggles - all countries"/>
    <s v="Bug"/>
    <x v="1"/>
    <d v="2016-01-15T18:03:00"/>
    <x v="10"/>
    <x v="1"/>
    <x v="23"/>
    <n v="1"/>
    <m/>
    <n v="141.1"/>
    <n v="24.900000000000002"/>
  </r>
  <r>
    <s v="SBG - Mobile"/>
    <x v="2"/>
    <s v="Task"/>
    <s v="MOBL-895"/>
    <s v="Social plugin redirecting to pages that do not exist / lack of icon for blog"/>
    <s v="Task"/>
    <x v="0"/>
    <d v="2015-12-01T17:35:00"/>
    <x v="9"/>
    <x v="0"/>
    <x v="10"/>
    <n v="1"/>
    <m/>
    <n v="147.9"/>
    <n v="26.100000000000005"/>
  </r>
  <r>
    <s v="SBG - Mobile"/>
    <x v="2"/>
    <s v="Task"/>
    <s v="MOBL-895"/>
    <s v="Social plugin redirecting to pages that do not exist / lack of icon for blog"/>
    <s v="Task"/>
    <x v="0"/>
    <d v="2015-12-09T15:35:00"/>
    <x v="9"/>
    <x v="0"/>
    <x v="10"/>
    <n v="3"/>
    <m/>
    <n v="147.9"/>
    <n v="26.100000000000005"/>
  </r>
  <r>
    <s v="SBG - Mobile"/>
    <x v="2"/>
    <s v="Task"/>
    <s v="MOBL-895"/>
    <s v="Social plugin redirecting to pages that do not exist / lack of icon for blog"/>
    <s v="Task"/>
    <x v="0"/>
    <d v="2015-12-11T10:35:00"/>
    <x v="9"/>
    <x v="0"/>
    <x v="10"/>
    <n v="8"/>
    <m/>
    <n v="147.9"/>
    <n v="26.100000000000005"/>
  </r>
  <r>
    <s v="SBG - Mobile"/>
    <x v="2"/>
    <s v="Task"/>
    <s v="MOBL-895"/>
    <s v="Social plugin redirecting to pages that do not exist / lack of icon for blog"/>
    <s v="Task"/>
    <x v="0"/>
    <d v="2016-01-11T16:37:00"/>
    <x v="10"/>
    <x v="1"/>
    <x v="10"/>
    <n v="2"/>
    <m/>
    <n v="141.1"/>
    <n v="24.900000000000002"/>
  </r>
  <r>
    <s v="SBG - Mobile"/>
    <x v="2"/>
    <s v="Task"/>
    <s v="MOBL-895"/>
    <s v="Social plugin redirecting to pages that do not exist / lack of icon for blog"/>
    <s v="Task"/>
    <x v="0"/>
    <d v="2016-01-20T08:39:00"/>
    <x v="10"/>
    <x v="1"/>
    <x v="10"/>
    <n v="2"/>
    <m/>
    <n v="141.1"/>
    <n v="24.900000000000002"/>
  </r>
  <r>
    <s v="SBG - Mobile"/>
    <x v="2"/>
    <s v="Task"/>
    <s v="MOBL-895"/>
    <s v="Social plugin redirecting to pages that do not exist / lack of icon for blog"/>
    <s v="Task"/>
    <x v="0"/>
    <d v="2016-01-22T16:40:00"/>
    <x v="10"/>
    <x v="1"/>
    <x v="10"/>
    <n v="2"/>
    <m/>
    <n v="141.1"/>
    <n v="24.900000000000002"/>
  </r>
  <r>
    <s v="SBG - Mobile"/>
    <x v="2"/>
    <s v="Task"/>
    <s v="MOBL-895"/>
    <s v="Social plugin redirecting to pages that do not exist / lack of icon for blog"/>
    <s v="Task"/>
    <x v="0"/>
    <d v="2016-01-26T16:40:00"/>
    <x v="10"/>
    <x v="1"/>
    <x v="10"/>
    <n v="2"/>
    <m/>
    <n v="141.1"/>
    <n v="24.900000000000002"/>
  </r>
  <r>
    <s v="SBG - Mobile"/>
    <x v="1"/>
    <s v="Task"/>
    <s v="MOBL-895"/>
    <s v="Social plugin redirecting to pages that do not exist / lack of icon for blog"/>
    <s v="Task"/>
    <x v="0"/>
    <d v="2016-01-26T18:20:00"/>
    <x v="10"/>
    <x v="1"/>
    <x v="30"/>
    <n v="4"/>
    <m/>
    <n v="141.1"/>
    <n v="24.900000000000002"/>
  </r>
  <r>
    <s v="SBG - Mobile"/>
    <x v="2"/>
    <s v="Task"/>
    <s v="MOBL-895"/>
    <s v="Social plugin redirecting to pages that do not exist / lack of icon for blog"/>
    <s v="Task"/>
    <x v="0"/>
    <d v="2016-01-27T17:21:00"/>
    <x v="10"/>
    <x v="1"/>
    <x v="10"/>
    <n v="2"/>
    <m/>
    <n v="141.1"/>
    <n v="24.900000000000002"/>
  </r>
  <r>
    <s v="SBG - Mobile"/>
    <x v="1"/>
    <s v="Task"/>
    <s v="MOBL-895"/>
    <s v="Social plugin redirecting to pages that do not exist / lack of icon for blog"/>
    <s v="Task"/>
    <x v="0"/>
    <d v="2016-01-27T18:35:00"/>
    <x v="10"/>
    <x v="1"/>
    <x v="30"/>
    <n v="4"/>
    <m/>
    <n v="141.1"/>
    <n v="24.900000000000002"/>
  </r>
  <r>
    <s v="SBG - Mobile"/>
    <x v="1"/>
    <s v="Task"/>
    <s v="MOBL-895"/>
    <s v="Social plugin redirecting to pages that do not exist / lack of icon for blog"/>
    <s v="Task"/>
    <x v="0"/>
    <d v="2016-01-28T15:05:00"/>
    <x v="10"/>
    <x v="1"/>
    <x v="30"/>
    <n v="1"/>
    <m/>
    <n v="141.1"/>
    <n v="24.900000000000002"/>
  </r>
  <r>
    <s v="SBG - Mobile"/>
    <x v="2"/>
    <s v="Task"/>
    <s v="MOBL-895"/>
    <s v="Social plugin redirecting to pages that do not exist / lack of icon for blog"/>
    <s v="Task"/>
    <x v="0"/>
    <d v="2016-01-29T08:39:00"/>
    <x v="10"/>
    <x v="1"/>
    <x v="10"/>
    <n v="2"/>
    <m/>
    <n v="141.1"/>
    <n v="24.900000000000002"/>
  </r>
  <r>
    <s v="SBG - Mobile"/>
    <x v="1"/>
    <s v="Task"/>
    <s v="MOBL-901"/>
    <s v="Optimization For Mobile CSS"/>
    <s v="Task"/>
    <x v="0"/>
    <d v="2015-12-01T12:27:00"/>
    <x v="9"/>
    <x v="0"/>
    <x v="21"/>
    <n v="8"/>
    <m/>
    <n v="147.9"/>
    <n v="26.100000000000005"/>
  </r>
  <r>
    <s v="SBG - Mobile"/>
    <x v="0"/>
    <s v="Task"/>
    <s v="MOBL-901"/>
    <s v="Optimization For Mobile CSS"/>
    <s v="Task"/>
    <x v="0"/>
    <d v="2015-12-08T18:43:00"/>
    <x v="9"/>
    <x v="0"/>
    <x v="7"/>
    <n v="0.5"/>
    <m/>
    <n v="87"/>
    <n v="87"/>
  </r>
  <r>
    <s v="SBG - Mobile"/>
    <x v="1"/>
    <s v="Task"/>
    <s v="MOBL-903"/>
    <s v="Compare trunk and production."/>
    <s v="Task"/>
    <x v="0"/>
    <d v="2015-12-15T09:22:00"/>
    <x v="9"/>
    <x v="0"/>
    <x v="26"/>
    <n v="1"/>
    <m/>
    <n v="147.9"/>
    <n v="26.100000000000005"/>
  </r>
  <r>
    <s v="SBG - Mobile"/>
    <x v="2"/>
    <s v="Task"/>
    <s v="MOBL-904"/>
    <s v="AB testing for mobile of tablet PC"/>
    <s v="Task"/>
    <x v="0"/>
    <d v="2015-12-23T14:44:00"/>
    <x v="9"/>
    <x v="0"/>
    <x v="2"/>
    <n v="3"/>
    <m/>
    <n v="147.9"/>
    <n v="26.100000000000005"/>
  </r>
  <r>
    <s v="SBG - Mobile"/>
    <x v="1"/>
    <s v="Task"/>
    <s v="MOBL-904"/>
    <s v="AB testing for mobile of tablet PC"/>
    <s v="Task"/>
    <x v="0"/>
    <d v="2016-01-12T16:40:00"/>
    <x v="10"/>
    <x v="1"/>
    <x v="23"/>
    <n v="2"/>
    <m/>
    <n v="141.1"/>
    <n v="24.900000000000002"/>
  </r>
  <r>
    <s v="SBG - Mobile"/>
    <x v="1"/>
    <s v="Task"/>
    <s v="MOBL-904"/>
    <s v="AB testing for mobile of tablet PC"/>
    <s v="Task"/>
    <x v="0"/>
    <d v="2016-01-19T11:56:00"/>
    <x v="10"/>
    <x v="1"/>
    <x v="23"/>
    <n v="4"/>
    <m/>
    <n v="141.1"/>
    <n v="24.900000000000002"/>
  </r>
  <r>
    <s v="SBG - Mobile"/>
    <x v="2"/>
    <s v="Task"/>
    <s v="MOBL-908"/>
    <s v="Phone number on Help page is wrong"/>
    <s v="Task"/>
    <x v="0"/>
    <d v="2015-12-21T09:36:00"/>
    <x v="9"/>
    <x v="0"/>
    <x v="10"/>
    <n v="2"/>
    <m/>
    <n v="147.9"/>
    <n v="26.100000000000005"/>
  </r>
  <r>
    <s v="SBG - Mobile"/>
    <x v="2"/>
    <s v="Task"/>
    <s v="MOBL-915"/>
    <s v="Move the js and css code to cdn"/>
    <s v="Task"/>
    <x v="0"/>
    <d v="2015-12-09T16:31:00"/>
    <x v="9"/>
    <x v="0"/>
    <x v="2"/>
    <n v="2"/>
    <m/>
    <n v="147.9"/>
    <n v="26.100000000000005"/>
  </r>
  <r>
    <s v="SBG - Mobile"/>
    <x v="1"/>
    <s v="Sub-task"/>
    <s v="MOBL-921"/>
    <s v="MOBL-901&gt; Optimiz  Shopping Cart CSS"/>
    <s v="Sub-task"/>
    <x v="0"/>
    <d v="2015-12-03T17:16:00"/>
    <x v="9"/>
    <x v="0"/>
    <x v="21"/>
    <n v="2"/>
    <m/>
    <n v="147.9"/>
    <n v="26.100000000000005"/>
  </r>
  <r>
    <s v="SBG - Mobile"/>
    <x v="0"/>
    <s v="Sub-task"/>
    <s v="MOBL-921"/>
    <s v="MOBL-901&gt; Optimiz  Shopping Cart CSS"/>
    <s v="Sub-task"/>
    <x v="0"/>
    <d v="2015-12-07T18:46:00"/>
    <x v="9"/>
    <x v="0"/>
    <x v="7"/>
    <n v="0.5"/>
    <m/>
    <n v="87"/>
    <n v="87"/>
  </r>
  <r>
    <s v="SBG - Mobile"/>
    <x v="1"/>
    <s v="Sub-task"/>
    <s v="MOBL-922"/>
    <s v="MOBL-901&gt; Optimiz Account Pages CSS"/>
    <s v="Sub-task"/>
    <x v="0"/>
    <d v="2015-12-03T17:17:00"/>
    <x v="9"/>
    <x v="0"/>
    <x v="21"/>
    <n v="2"/>
    <m/>
    <n v="147.9"/>
    <n v="26.100000000000005"/>
  </r>
  <r>
    <s v="SBG - Mobile"/>
    <x v="1"/>
    <s v="Sub-task"/>
    <s v="MOBL-923"/>
    <s v="MOBL-901&gt; Optimiz Login and Registration Page CSS"/>
    <s v="Sub-task"/>
    <x v="0"/>
    <d v="2015-12-03T17:17:00"/>
    <x v="9"/>
    <x v="0"/>
    <x v="21"/>
    <n v="2"/>
    <m/>
    <n v="147.9"/>
    <n v="26.100000000000005"/>
  </r>
  <r>
    <s v="SBG - Mobile"/>
    <x v="0"/>
    <s v="Sub-task"/>
    <s v="MOBL-924"/>
    <s v="MOBL-901&gt; Optimiz Other Pages CSS"/>
    <s v="Sub-task"/>
    <x v="0"/>
    <d v="2015-12-01T18:36:00"/>
    <x v="9"/>
    <x v="0"/>
    <x v="7"/>
    <n v="0.5"/>
    <m/>
    <n v="87"/>
    <n v="87"/>
  </r>
  <r>
    <s v="SBG - Mobile"/>
    <x v="1"/>
    <s v="Sub-task"/>
    <s v="MOBL-924"/>
    <s v="MOBL-901&gt; Optimiz Other Pages CSS"/>
    <s v="Sub-task"/>
    <x v="0"/>
    <d v="2015-12-03T17:17:00"/>
    <x v="9"/>
    <x v="0"/>
    <x v="21"/>
    <n v="2"/>
    <m/>
    <n v="147.9"/>
    <n v="26.100000000000005"/>
  </r>
  <r>
    <s v="SBG - Mobile"/>
    <x v="1"/>
    <s v="Technical task"/>
    <s v="MOBL-925"/>
    <s v="MOBL-901&gt; Test case design and execution"/>
    <s v="Technical task"/>
    <x v="0"/>
    <d v="2015-12-08T12:53:00"/>
    <x v="9"/>
    <x v="0"/>
    <x v="26"/>
    <n v="0.1"/>
    <m/>
    <n v="147.9"/>
    <n v="26.100000000000005"/>
  </r>
  <r>
    <s v="SBG - Mobile"/>
    <x v="1"/>
    <s v="Technical task"/>
    <s v="MOBL-926"/>
    <s v="MOBL-901&gt; Test case design and execution"/>
    <s v="Technical task"/>
    <x v="0"/>
    <d v="2015-12-03T17:18:00"/>
    <x v="9"/>
    <x v="0"/>
    <x v="21"/>
    <n v="6"/>
    <m/>
    <n v="147.9"/>
    <n v="26.100000000000005"/>
  </r>
  <r>
    <s v="SBG - Mobile"/>
    <x v="1"/>
    <s v="Technical task"/>
    <s v="MOBL-926"/>
    <s v="MOBL-901&gt; Test case design and execution"/>
    <s v="Technical task"/>
    <x v="0"/>
    <d v="2015-12-04T13:45:00"/>
    <x v="9"/>
    <x v="0"/>
    <x v="21"/>
    <n v="2"/>
    <m/>
    <n v="147.9"/>
    <n v="26.100000000000005"/>
  </r>
  <r>
    <s v="SBG - Mobile"/>
    <x v="1"/>
    <s v="Technical task"/>
    <s v="MOBL-927"/>
    <s v="MOBL-903&gt; File diff"/>
    <s v="Technical task"/>
    <x v="0"/>
    <d v="2015-12-10T10:49:00"/>
    <x v="9"/>
    <x v="0"/>
    <x v="26"/>
    <n v="2"/>
    <m/>
    <n v="147.9"/>
    <n v="26.100000000000005"/>
  </r>
  <r>
    <s v="Backend - OM"/>
    <x v="2"/>
    <s v="New Feature"/>
    <s v="OM-187"/>
    <s v="RX process - update ADD values"/>
    <s v="New Feature"/>
    <x v="0"/>
    <d v="2016-01-16T11:59:00"/>
    <x v="10"/>
    <x v="1"/>
    <x v="9"/>
    <n v="1"/>
    <m/>
    <n v="141.1"/>
    <n v="24.900000000000002"/>
  </r>
  <r>
    <s v="Backend - OM"/>
    <x v="1"/>
    <s v="New Feature"/>
    <s v="OM-187"/>
    <s v="RX process - update ADD values"/>
    <s v="New Feature"/>
    <x v="0"/>
    <d v="2016-01-23T17:29:00"/>
    <x v="10"/>
    <x v="1"/>
    <x v="8"/>
    <n v="1"/>
    <m/>
    <n v="141.1"/>
    <n v="24.900000000000002"/>
  </r>
  <r>
    <s v="Backend - OM"/>
    <x v="2"/>
    <s v="New Feature"/>
    <s v="OM-187"/>
    <s v="RX process - update ADD values"/>
    <s v="New Feature"/>
    <x v="0"/>
    <d v="2016-01-23T17:37:00"/>
    <x v="10"/>
    <x v="1"/>
    <x v="9"/>
    <n v="0.5"/>
    <s v="support QA test"/>
    <n v="141.1"/>
    <n v="24.900000000000002"/>
  </r>
  <r>
    <s v="Backend - OM"/>
    <x v="1"/>
    <s v="New Feature"/>
    <s v="OM-187"/>
    <s v="RX process - update ADD values"/>
    <s v="New Feature"/>
    <x v="0"/>
    <d v="2016-01-25T20:01:00"/>
    <x v="10"/>
    <x v="1"/>
    <x v="8"/>
    <n v="1"/>
    <m/>
    <n v="141.1"/>
    <n v="24.900000000000002"/>
  </r>
  <r>
    <s v="Backend - OM"/>
    <x v="1"/>
    <s v="New Feature"/>
    <s v="OM-187"/>
    <s v="RX process - update ADD values"/>
    <s v="New Feature"/>
    <x v="0"/>
    <d v="2016-01-27T15:37:00"/>
    <x v="10"/>
    <x v="1"/>
    <x v="8"/>
    <n v="0.5"/>
    <m/>
    <n v="141.1"/>
    <n v="24.900000000000002"/>
  </r>
  <r>
    <s v="Backend - OM"/>
    <x v="2"/>
    <s v="New Feature"/>
    <s v="OM-414"/>
    <s v="Rewards improvements"/>
    <s v="New Feature"/>
    <x v="0"/>
    <d v="2015-12-01T11:00:00"/>
    <x v="9"/>
    <x v="0"/>
    <x v="20"/>
    <n v="8"/>
    <m/>
    <n v="147.9"/>
    <n v="26.100000000000005"/>
  </r>
  <r>
    <s v="Backend - OM"/>
    <x v="2"/>
    <s v="New Feature"/>
    <s v="OM-414"/>
    <s v="Rewards improvements"/>
    <s v="New Feature"/>
    <x v="0"/>
    <d v="2015-12-08T11:00:00"/>
    <x v="9"/>
    <x v="0"/>
    <x v="20"/>
    <n v="8"/>
    <m/>
    <n v="147.9"/>
    <n v="26.100000000000005"/>
  </r>
  <r>
    <s v="Backend - OM"/>
    <x v="1"/>
    <s v="New Feature"/>
    <s v="OM-414"/>
    <s v="Rewards improvements"/>
    <s v="New Feature"/>
    <x v="0"/>
    <d v="2015-12-11T17:50:00"/>
    <x v="9"/>
    <x v="0"/>
    <x v="1"/>
    <n v="3"/>
    <m/>
    <n v="147.9"/>
    <n v="26.100000000000005"/>
  </r>
  <r>
    <s v="Backend - OM"/>
    <x v="1"/>
    <s v="New Feature"/>
    <s v="OM-414"/>
    <s v="Rewards improvements"/>
    <s v="New Feature"/>
    <x v="0"/>
    <d v="2015-12-16T18:20:00"/>
    <x v="9"/>
    <x v="0"/>
    <x v="1"/>
    <n v="2"/>
    <m/>
    <n v="147.9"/>
    <n v="26.100000000000005"/>
  </r>
  <r>
    <s v="Backend - OM"/>
    <x v="1"/>
    <s v="New Feature"/>
    <s v="OM-414"/>
    <s v="Rewards improvements"/>
    <s v="New Feature"/>
    <x v="0"/>
    <d v="2015-12-18T18:46:00"/>
    <x v="9"/>
    <x v="0"/>
    <x v="1"/>
    <n v="3"/>
    <m/>
    <n v="147.9"/>
    <n v="26.100000000000005"/>
  </r>
  <r>
    <s v="Backend - OM"/>
    <x v="2"/>
    <s v="New Feature"/>
    <s v="OM-414"/>
    <s v="Rewards improvements"/>
    <s v="New Feature"/>
    <x v="0"/>
    <d v="2015-12-21T18:19:00"/>
    <x v="9"/>
    <x v="0"/>
    <x v="20"/>
    <n v="1"/>
    <m/>
    <n v="147.9"/>
    <n v="26.100000000000005"/>
  </r>
  <r>
    <s v="Backend - OM"/>
    <x v="2"/>
    <s v="New Feature"/>
    <s v="OM-414"/>
    <s v="Rewards improvements"/>
    <s v="New Feature"/>
    <x v="0"/>
    <d v="2016-01-04T10:15:00"/>
    <x v="10"/>
    <x v="1"/>
    <x v="20"/>
    <n v="3"/>
    <m/>
    <n v="141.1"/>
    <n v="24.900000000000002"/>
  </r>
  <r>
    <s v="Backend - OM"/>
    <x v="1"/>
    <s v="New Feature"/>
    <s v="OM-414"/>
    <s v="Rewards improvements"/>
    <s v="New Feature"/>
    <x v="0"/>
    <d v="2016-01-04T17:47:00"/>
    <x v="10"/>
    <x v="1"/>
    <x v="1"/>
    <n v="3"/>
    <m/>
    <n v="141.1"/>
    <n v="24.900000000000002"/>
  </r>
  <r>
    <s v="Backend - OM"/>
    <x v="2"/>
    <s v="New Feature"/>
    <s v="OM-414"/>
    <s v="Rewards improvements"/>
    <s v="New Feature"/>
    <x v="0"/>
    <d v="2016-01-04T17:58:00"/>
    <x v="10"/>
    <x v="1"/>
    <x v="20"/>
    <n v="3"/>
    <m/>
    <n v="141.1"/>
    <n v="24.900000000000002"/>
  </r>
  <r>
    <s v="Backend - OM"/>
    <x v="1"/>
    <s v="New Feature"/>
    <s v="OM-414"/>
    <s v="Rewards improvements"/>
    <s v="New Feature"/>
    <x v="0"/>
    <d v="2016-01-05T15:39:00"/>
    <x v="10"/>
    <x v="1"/>
    <x v="1"/>
    <n v="2"/>
    <m/>
    <n v="141.1"/>
    <n v="24.900000000000002"/>
  </r>
  <r>
    <s v="Backend - OM"/>
    <x v="1"/>
    <s v="New Feature"/>
    <s v="OM-414"/>
    <s v="Rewards improvements"/>
    <s v="New Feature"/>
    <x v="0"/>
    <d v="2016-01-11T18:48:00"/>
    <x v="10"/>
    <x v="1"/>
    <x v="1"/>
    <n v="1"/>
    <m/>
    <n v="141.1"/>
    <n v="24.900000000000002"/>
  </r>
  <r>
    <s v="Backend - OM"/>
    <x v="1"/>
    <s v="New Feature"/>
    <s v="OM-414"/>
    <s v="Rewards improvements"/>
    <s v="New Feature"/>
    <x v="0"/>
    <d v="2016-01-22T15:45:00"/>
    <x v="10"/>
    <x v="1"/>
    <x v="1"/>
    <n v="2"/>
    <m/>
    <n v="141.1"/>
    <n v="24.900000000000002"/>
  </r>
  <r>
    <s v="Backend - OM"/>
    <x v="2"/>
    <s v="New Feature"/>
    <s v="OM-414"/>
    <s v="Rewards improvements"/>
    <s v="New Feature"/>
    <x v="0"/>
    <d v="2016-01-25T15:11:00"/>
    <x v="10"/>
    <x v="1"/>
    <x v="20"/>
    <n v="8"/>
    <m/>
    <n v="141.1"/>
    <n v="24.900000000000002"/>
  </r>
  <r>
    <s v="Backend - OM"/>
    <x v="1"/>
    <s v="New Feature"/>
    <s v="OM-414"/>
    <s v="Rewards improvements"/>
    <s v="New Feature"/>
    <x v="0"/>
    <d v="2016-01-25T18:44:00"/>
    <x v="10"/>
    <x v="1"/>
    <x v="1"/>
    <n v="3"/>
    <m/>
    <n v="141.1"/>
    <n v="24.900000000000002"/>
  </r>
  <r>
    <s v="Backend - OM"/>
    <x v="1"/>
    <s v="New Feature"/>
    <s v="OM-414"/>
    <s v="Rewards improvements"/>
    <s v="New Feature"/>
    <x v="0"/>
    <d v="2016-01-26T16:20:00"/>
    <x v="10"/>
    <x v="1"/>
    <x v="1"/>
    <n v="3"/>
    <m/>
    <n v="141.1"/>
    <n v="24.900000000000002"/>
  </r>
  <r>
    <s v="Backend - OM"/>
    <x v="1"/>
    <s v="New Feature"/>
    <s v="OM-414"/>
    <s v="Rewards improvements"/>
    <s v="New Feature"/>
    <x v="0"/>
    <d v="2016-01-27T19:21:00"/>
    <x v="10"/>
    <x v="1"/>
    <x v="1"/>
    <n v="2"/>
    <m/>
    <n v="141.1"/>
    <n v="24.900000000000002"/>
  </r>
  <r>
    <s v="Backend - OM"/>
    <x v="2"/>
    <s v="New Feature"/>
    <s v="OM-418"/>
    <s v="OM RX form must have the value &quot;0&quot; in the AX dropdown"/>
    <s v="New Feature"/>
    <x v="0"/>
    <d v="2016-01-16T15:59:00"/>
    <x v="10"/>
    <x v="1"/>
    <x v="9"/>
    <n v="2.5"/>
    <m/>
    <n v="141.1"/>
    <n v="24.900000000000002"/>
  </r>
  <r>
    <s v="Backend - OM"/>
    <x v="1"/>
    <s v="New Feature"/>
    <s v="OM-418"/>
    <s v="OM RX form must have the value &quot;0&quot; in the AX dropdown"/>
    <s v="New Feature"/>
    <x v="0"/>
    <d v="2016-01-23T17:29:00"/>
    <x v="10"/>
    <x v="1"/>
    <x v="8"/>
    <n v="1"/>
    <m/>
    <n v="141.1"/>
    <n v="24.900000000000002"/>
  </r>
  <r>
    <s v="Backend - OM"/>
    <x v="2"/>
    <s v="New Feature"/>
    <s v="OM-418"/>
    <s v="OM RX form must have the value &quot;0&quot; in the AX dropdown"/>
    <s v="New Feature"/>
    <x v="0"/>
    <d v="2016-01-23T17:37:00"/>
    <x v="10"/>
    <x v="1"/>
    <x v="9"/>
    <n v="0.5"/>
    <s v="support QA test"/>
    <n v="141.1"/>
    <n v="24.900000000000002"/>
  </r>
  <r>
    <s v="Backend - OM"/>
    <x v="1"/>
    <s v="New Feature"/>
    <s v="OM-418"/>
    <s v="OM RX form must have the value &quot;0&quot; in the AX dropdown"/>
    <s v="New Feature"/>
    <x v="0"/>
    <d v="2016-01-25T20:02:00"/>
    <x v="10"/>
    <x v="1"/>
    <x v="8"/>
    <n v="1"/>
    <m/>
    <n v="141.1"/>
    <n v="24.900000000000002"/>
  </r>
  <r>
    <s v="Backend - OM"/>
    <x v="1"/>
    <s v="New Feature"/>
    <s v="OM-418"/>
    <s v="OM RX form must have the value &quot;0&quot; in the AX dropdown"/>
    <s v="New Feature"/>
    <x v="0"/>
    <d v="2016-01-27T15:36:00"/>
    <x v="10"/>
    <x v="1"/>
    <x v="8"/>
    <n v="0.5"/>
    <m/>
    <n v="141.1"/>
    <n v="24.900000000000002"/>
  </r>
  <r>
    <s v="Backend - OM"/>
    <x v="2"/>
    <s v="Improvement"/>
    <s v="OM-419"/>
    <s v="Discontinue Products by Size not Product ID"/>
    <s v="Improvement"/>
    <x v="0"/>
    <d v="2015-12-18T18:09:00"/>
    <x v="9"/>
    <x v="0"/>
    <x v="16"/>
    <n v="1"/>
    <s v="support."/>
    <n v="147.9"/>
    <n v="26.100000000000005"/>
  </r>
  <r>
    <s v="Backend - OM"/>
    <x v="2"/>
    <s v="Improvement"/>
    <s v="OM-419"/>
    <s v="Discontinue Products by Size not Product ID"/>
    <s v="Improvement"/>
    <x v="0"/>
    <d v="2015-12-23T15:09:00"/>
    <x v="9"/>
    <x v="0"/>
    <x v="20"/>
    <n v="40"/>
    <m/>
    <n v="147.9"/>
    <n v="26.100000000000005"/>
  </r>
  <r>
    <s v="Backend - OM"/>
    <x v="2"/>
    <s v="Improvement"/>
    <s v="OM-419"/>
    <s v="Discontinue Products by Size not Product ID"/>
    <s v="Improvement"/>
    <x v="0"/>
    <d v="2016-01-13T10:22:00"/>
    <x v="10"/>
    <x v="1"/>
    <x v="20"/>
    <n v="1"/>
    <m/>
    <n v="141.1"/>
    <n v="24.900000000000002"/>
  </r>
  <r>
    <s v="Backend - OM"/>
    <x v="1"/>
    <s v="Improvement"/>
    <s v="OM-419"/>
    <s v="Discontinue Products by Size not Product ID"/>
    <s v="Improvement"/>
    <x v="0"/>
    <d v="2016-01-14T16:43:00"/>
    <x v="10"/>
    <x v="1"/>
    <x v="23"/>
    <n v="3"/>
    <m/>
    <n v="141.1"/>
    <n v="24.900000000000002"/>
  </r>
  <r>
    <s v="Backend - OM"/>
    <x v="2"/>
    <s v="Improvement"/>
    <s v="OM-419"/>
    <s v="Discontinue Products by Size not Product ID"/>
    <s v="Improvement"/>
    <x v="0"/>
    <d v="2016-01-18T18:40:00"/>
    <x v="10"/>
    <x v="1"/>
    <x v="20"/>
    <n v="2"/>
    <m/>
    <n v="141.1"/>
    <n v="24.900000000000002"/>
  </r>
  <r>
    <s v="Backend - OM"/>
    <x v="2"/>
    <s v="Improvement"/>
    <s v="OM-420"/>
    <s v="Italy Frame Only Order Status Update"/>
    <s v="Improvement"/>
    <x v="0"/>
    <d v="2016-01-13T10:14:00"/>
    <x v="10"/>
    <x v="1"/>
    <x v="20"/>
    <n v="6"/>
    <m/>
    <n v="141.1"/>
    <n v="24.900000000000002"/>
  </r>
  <r>
    <s v="Backend - OM"/>
    <x v="2"/>
    <s v="Improvement"/>
    <s v="OM-421"/>
    <s v="Sort the country list in OM in alphabetical order"/>
    <s v="Improvement"/>
    <x v="0"/>
    <d v="2016-01-20T10:19:00"/>
    <x v="10"/>
    <x v="1"/>
    <x v="20"/>
    <n v="2"/>
    <m/>
    <n v="141.1"/>
    <n v="24.900000000000002"/>
  </r>
  <r>
    <s v="Backend - OM"/>
    <x v="2"/>
    <s v="Improvement"/>
    <s v="OM-421"/>
    <s v="Sort the country list in OM in alphabetical order"/>
    <s v="Improvement"/>
    <x v="0"/>
    <d v="2016-01-21T10:20:00"/>
    <x v="10"/>
    <x v="1"/>
    <x v="20"/>
    <n v="2"/>
    <m/>
    <n v="141.1"/>
    <n v="24.900000000000002"/>
  </r>
  <r>
    <s v="Backend - OM"/>
    <x v="2"/>
    <s v="Improvement"/>
    <s v="OM-421"/>
    <s v="Sort the country list in OM in alphabetical order"/>
    <s v="Improvement"/>
    <x v="0"/>
    <d v="2016-01-24T15:35:00"/>
    <x v="10"/>
    <x v="1"/>
    <x v="20"/>
    <n v="2"/>
    <m/>
    <n v="141.1"/>
    <n v="24.900000000000002"/>
  </r>
  <r>
    <s v="Backend - OM"/>
    <x v="2"/>
    <s v="Improvement"/>
    <s v="OM-421"/>
    <s v="Sort the country list in OM in alphabetical order"/>
    <s v="Improvement"/>
    <x v="0"/>
    <d v="2016-01-29T14:50:00"/>
    <x v="10"/>
    <x v="1"/>
    <x v="9"/>
    <n v="0.5"/>
    <m/>
    <n v="141.1"/>
    <n v="24.900000000000002"/>
  </r>
  <r>
    <s v="Backend - OM"/>
    <x v="1"/>
    <s v="Improvement"/>
    <s v="OM-421"/>
    <s v="Sort the country list in OM in alphabetical order"/>
    <s v="Improvement"/>
    <x v="0"/>
    <d v="2016-01-29T17:16:00"/>
    <x v="10"/>
    <x v="1"/>
    <x v="8"/>
    <n v="2"/>
    <m/>
    <n v="141.1"/>
    <n v="24.900000000000002"/>
  </r>
  <r>
    <s v="Backend - OM"/>
    <x v="2"/>
    <s v="Task"/>
    <s v="OM-430"/>
    <s v="Update of Inventory Feed: Out-of-Stock items"/>
    <s v="Task"/>
    <x v="0"/>
    <d v="2015-12-22T17:55:00"/>
    <x v="9"/>
    <x v="0"/>
    <x v="16"/>
    <n v="1"/>
    <m/>
    <n v="147.9"/>
    <n v="26.100000000000005"/>
  </r>
  <r>
    <s v="Backend - OM"/>
    <x v="2"/>
    <s v="Bug"/>
    <s v="OM-436"/>
    <s v="Current contact lens reorder email is not sending to all countries"/>
    <s v="Bug"/>
    <x v="1"/>
    <d v="2016-01-05T10:45:00"/>
    <x v="10"/>
    <x v="1"/>
    <x v="9"/>
    <n v="1.5"/>
    <m/>
    <n v="141.1"/>
    <n v="24.900000000000002"/>
  </r>
  <r>
    <s v="Backend - OM"/>
    <x v="2"/>
    <s v="Bug"/>
    <s v="OM-436"/>
    <s v="Current contact lens reorder email is not sending to all countries"/>
    <s v="Bug"/>
    <x v="1"/>
    <d v="2016-01-18T12:57:00"/>
    <x v="10"/>
    <x v="1"/>
    <x v="9"/>
    <n v="1"/>
    <m/>
    <n v="141.1"/>
    <n v="24.900000000000002"/>
  </r>
  <r>
    <s v="Backend - OM"/>
    <x v="1"/>
    <s v="Bug"/>
    <s v="OM-436"/>
    <s v="Current contact lens reorder email is not sending to all countries"/>
    <s v="Bug"/>
    <x v="1"/>
    <d v="2016-01-18T16:36:00"/>
    <x v="10"/>
    <x v="1"/>
    <x v="21"/>
    <n v="3"/>
    <m/>
    <n v="141.1"/>
    <n v="24.900000000000002"/>
  </r>
  <r>
    <s v="Backend - OM"/>
    <x v="1"/>
    <s v="Bug"/>
    <s v="OM-436"/>
    <s v="Current contact lens reorder email is not sending to all countries"/>
    <s v="Bug"/>
    <x v="1"/>
    <d v="2016-01-19T12:46:00"/>
    <x v="10"/>
    <x v="1"/>
    <x v="21"/>
    <n v="8"/>
    <m/>
    <n v="141.1"/>
    <n v="24.900000000000002"/>
  </r>
  <r>
    <s v="Backend - OM"/>
    <x v="2"/>
    <s v="New Feature"/>
    <s v="OM-441"/>
    <s v="Status update email (includes weekly update)"/>
    <s v="New Feature"/>
    <x v="0"/>
    <d v="2016-01-20T19:04:00"/>
    <x v="10"/>
    <x v="1"/>
    <x v="9"/>
    <n v="5"/>
    <m/>
    <n v="141.1"/>
    <n v="24.900000000000002"/>
  </r>
  <r>
    <s v="Backend - OM"/>
    <x v="2"/>
    <s v="New Feature"/>
    <s v="OM-441"/>
    <s v="Status update email (includes weekly update)"/>
    <s v="New Feature"/>
    <x v="0"/>
    <d v="2016-01-21T19:29:00"/>
    <x v="10"/>
    <x v="1"/>
    <x v="9"/>
    <n v="5"/>
    <m/>
    <n v="141.1"/>
    <n v="24.900000000000002"/>
  </r>
  <r>
    <s v="Backend - OM"/>
    <x v="2"/>
    <s v="New Feature"/>
    <s v="OM-442"/>
    <s v="New mailing service"/>
    <s v="New Feature"/>
    <x v="0"/>
    <d v="2015-12-17T11:06:00"/>
    <x v="9"/>
    <x v="0"/>
    <x v="18"/>
    <n v="8"/>
    <m/>
    <n v="147.9"/>
    <n v="26.100000000000005"/>
  </r>
  <r>
    <s v="Backend - OM"/>
    <x v="1"/>
    <s v="New Feature"/>
    <s v="OM-442"/>
    <s v="New mailing service"/>
    <s v="New Feature"/>
    <x v="0"/>
    <d v="2015-12-28T12:53:00"/>
    <x v="9"/>
    <x v="0"/>
    <x v="21"/>
    <n v="8"/>
    <m/>
    <n v="147.9"/>
    <n v="26.100000000000005"/>
  </r>
  <r>
    <s v="Backend - OM"/>
    <x v="1"/>
    <s v="New Feature"/>
    <s v="OM-442"/>
    <s v="New mailing service"/>
    <s v="New Feature"/>
    <x v="0"/>
    <d v="2015-12-30T19:04:00"/>
    <x v="9"/>
    <x v="0"/>
    <x v="21"/>
    <n v="3"/>
    <m/>
    <n v="147.9"/>
    <n v="26.100000000000005"/>
  </r>
  <r>
    <s v="Backend - OM"/>
    <x v="2"/>
    <s v="New Feature"/>
    <s v="OM-442"/>
    <s v="New mailing service"/>
    <s v="New Feature"/>
    <x v="0"/>
    <d v="2016-01-04T13:59:00"/>
    <x v="10"/>
    <x v="1"/>
    <x v="18"/>
    <n v="12"/>
    <m/>
    <n v="141.1"/>
    <n v="24.900000000000002"/>
  </r>
  <r>
    <s v="Backend - OM"/>
    <x v="1"/>
    <s v="New Feature"/>
    <s v="OM-442"/>
    <s v="New mailing service"/>
    <s v="New Feature"/>
    <x v="0"/>
    <d v="2016-01-14T18:17:00"/>
    <x v="10"/>
    <x v="1"/>
    <x v="21"/>
    <n v="1"/>
    <m/>
    <n v="141.1"/>
    <n v="24.900000000000002"/>
  </r>
  <r>
    <s v="Backend - OM"/>
    <x v="1"/>
    <s v="New Feature"/>
    <s v="OM-443"/>
    <s v="Shipped email"/>
    <s v="New Feature"/>
    <x v="0"/>
    <d v="2016-01-08T09:50:00"/>
    <x v="10"/>
    <x v="1"/>
    <x v="21"/>
    <n v="2"/>
    <m/>
    <n v="141.1"/>
    <n v="24.900000000000002"/>
  </r>
  <r>
    <s v="Backend - OM"/>
    <x v="2"/>
    <s v="New Feature"/>
    <s v="OM-444"/>
    <s v="Product Change Page on SBG"/>
    <s v="New Feature"/>
    <x v="0"/>
    <d v="2015-12-14T11:06:00"/>
    <x v="9"/>
    <x v="0"/>
    <x v="18"/>
    <n v="8"/>
    <m/>
    <n v="147.9"/>
    <n v="26.100000000000005"/>
  </r>
  <r>
    <s v="Backend - OM"/>
    <x v="2"/>
    <s v="New Feature"/>
    <s v="OM-444"/>
    <s v="Product Change Page on SBG"/>
    <s v="New Feature"/>
    <x v="0"/>
    <d v="2015-12-15T11:06:00"/>
    <x v="9"/>
    <x v="0"/>
    <x v="18"/>
    <n v="8"/>
    <m/>
    <n v="147.9"/>
    <n v="26.100000000000005"/>
  </r>
  <r>
    <s v="Backend - OM"/>
    <x v="2"/>
    <s v="New Feature"/>
    <s v="OM-444"/>
    <s v="Product Change Page on SBG"/>
    <s v="New Feature"/>
    <x v="0"/>
    <d v="2015-12-16T11:06:00"/>
    <x v="9"/>
    <x v="0"/>
    <x v="18"/>
    <n v="8"/>
    <m/>
    <n v="147.9"/>
    <n v="26.100000000000005"/>
  </r>
  <r>
    <s v="Backend - OM"/>
    <x v="2"/>
    <s v="New Feature"/>
    <s v="OM-444"/>
    <s v="Product Change Page on SBG"/>
    <s v="New Feature"/>
    <x v="0"/>
    <d v="2016-01-04T13:59:00"/>
    <x v="10"/>
    <x v="1"/>
    <x v="18"/>
    <n v="10"/>
    <m/>
    <n v="141.1"/>
    <n v="24.900000000000002"/>
  </r>
  <r>
    <s v="Backend - OM"/>
    <x v="1"/>
    <s v="New Feature"/>
    <s v="OM-444"/>
    <s v="Product Change Page on SBG"/>
    <s v="New Feature"/>
    <x v="0"/>
    <d v="2016-01-07T12:52:00"/>
    <x v="10"/>
    <x v="1"/>
    <x v="21"/>
    <n v="8"/>
    <m/>
    <n v="141.1"/>
    <n v="24.900000000000002"/>
  </r>
  <r>
    <s v="Backend - OM"/>
    <x v="1"/>
    <s v="New Feature"/>
    <s v="OM-444"/>
    <s v="Product Change Page on SBG"/>
    <s v="New Feature"/>
    <x v="0"/>
    <d v="2016-01-08T10:17:00"/>
    <x v="10"/>
    <x v="1"/>
    <x v="21"/>
    <n v="3"/>
    <m/>
    <n v="141.1"/>
    <n v="24.900000000000002"/>
  </r>
  <r>
    <s v="Backend - OM"/>
    <x v="1"/>
    <s v="New Feature"/>
    <s v="OM-444"/>
    <s v="Product Change Page on SBG"/>
    <s v="New Feature"/>
    <x v="0"/>
    <d v="2016-01-13T12:50:00"/>
    <x v="10"/>
    <x v="1"/>
    <x v="21"/>
    <n v="8"/>
    <m/>
    <n v="141.1"/>
    <n v="24.900000000000002"/>
  </r>
  <r>
    <s v="Backend - OM"/>
    <x v="1"/>
    <s v="New Feature"/>
    <s v="OM-444"/>
    <s v="Product Change Page on SBG"/>
    <s v="New Feature"/>
    <x v="0"/>
    <d v="2016-01-14T18:16:00"/>
    <x v="10"/>
    <x v="1"/>
    <x v="21"/>
    <n v="1"/>
    <m/>
    <n v="141.1"/>
    <n v="24.900000000000002"/>
  </r>
  <r>
    <s v="Backend - OM"/>
    <x v="1"/>
    <s v="New Feature"/>
    <s v="OM-445"/>
    <s v="Customer Notification for Return Received"/>
    <s v="New Feature"/>
    <x v="0"/>
    <d v="2016-01-20T12:47:00"/>
    <x v="10"/>
    <x v="1"/>
    <x v="21"/>
    <n v="8"/>
    <m/>
    <n v="141.1"/>
    <n v="24.900000000000002"/>
  </r>
  <r>
    <s v="Backend - OM"/>
    <x v="1"/>
    <s v="New Feature"/>
    <s v="OM-445"/>
    <s v="Customer Notification for Return Received"/>
    <s v="New Feature"/>
    <x v="0"/>
    <d v="2016-01-21T18:09:00"/>
    <x v="10"/>
    <x v="1"/>
    <x v="21"/>
    <n v="3"/>
    <m/>
    <n v="141.1"/>
    <n v="24.900000000000002"/>
  </r>
  <r>
    <s v="Backend - OM"/>
    <x v="1"/>
    <s v="New Feature"/>
    <s v="OM-446"/>
    <s v="Update the email templates for mobile version"/>
    <s v="New Feature"/>
    <x v="0"/>
    <d v="2016-01-08T09:50:00"/>
    <x v="10"/>
    <x v="1"/>
    <x v="21"/>
    <n v="2"/>
    <m/>
    <n v="141.1"/>
    <n v="24.900000000000002"/>
  </r>
  <r>
    <s v="Backend - OM"/>
    <x v="1"/>
    <s v="New Feature"/>
    <s v="OM-448"/>
    <s v="Fraud email"/>
    <s v="New Feature"/>
    <x v="0"/>
    <d v="2015-12-29T12:54:00"/>
    <x v="9"/>
    <x v="0"/>
    <x v="21"/>
    <n v="8"/>
    <m/>
    <n v="147.9"/>
    <n v="26.100000000000005"/>
  </r>
  <r>
    <s v="Backend - OM"/>
    <x v="1"/>
    <s v="New Feature"/>
    <s v="OM-448"/>
    <s v="Fraud email"/>
    <s v="New Feature"/>
    <x v="0"/>
    <d v="2015-12-30T19:04:00"/>
    <x v="9"/>
    <x v="0"/>
    <x v="21"/>
    <n v="3"/>
    <m/>
    <n v="147.9"/>
    <n v="26.100000000000005"/>
  </r>
  <r>
    <s v="Backend - OM"/>
    <x v="1"/>
    <s v="New Feature"/>
    <s v="OM-448"/>
    <s v="Fraud email"/>
    <s v="New Feature"/>
    <x v="0"/>
    <d v="2016-01-14T18:17:00"/>
    <x v="10"/>
    <x v="1"/>
    <x v="21"/>
    <n v="1"/>
    <m/>
    <n v="141.1"/>
    <n v="24.900000000000002"/>
  </r>
  <r>
    <s v="Backend - OM"/>
    <x v="0"/>
    <s v="New Feature"/>
    <s v="OM-450"/>
    <s v="Converting Email Design Template to HTML Pages"/>
    <s v="New Feature"/>
    <x v="0"/>
    <d v="2015-12-03T09:39:00"/>
    <x v="9"/>
    <x v="0"/>
    <x v="24"/>
    <n v="13"/>
    <m/>
    <n v="87"/>
    <n v="87"/>
  </r>
  <r>
    <s v="Backend - OM"/>
    <x v="0"/>
    <s v="New Feature"/>
    <s v="OM-450"/>
    <s v="Converting Email Design Template to HTML Pages"/>
    <s v="New Feature"/>
    <x v="0"/>
    <d v="2015-12-07T19:12:00"/>
    <x v="9"/>
    <x v="0"/>
    <x v="24"/>
    <n v="7"/>
    <m/>
    <n v="87"/>
    <n v="87"/>
  </r>
  <r>
    <s v="Backend - OM"/>
    <x v="2"/>
    <s v="New Feature"/>
    <s v="OM-452"/>
    <s v="Health fund function on SBG for AU customer only"/>
    <s v="New Feature"/>
    <x v="0"/>
    <d v="2015-12-09T11:06:00"/>
    <x v="9"/>
    <x v="0"/>
    <x v="18"/>
    <n v="8"/>
    <m/>
    <n v="147.9"/>
    <n v="26.100000000000005"/>
  </r>
  <r>
    <s v="Backend - OM"/>
    <x v="2"/>
    <s v="New Feature"/>
    <s v="OM-452"/>
    <s v="Health fund function on SBG for AU customer only"/>
    <s v="New Feature"/>
    <x v="0"/>
    <d v="2015-12-10T11:06:00"/>
    <x v="9"/>
    <x v="0"/>
    <x v="18"/>
    <n v="8"/>
    <m/>
    <n v="147.9"/>
    <n v="26.100000000000005"/>
  </r>
  <r>
    <s v="Backend - OM"/>
    <x v="2"/>
    <s v="New Feature"/>
    <s v="OM-452"/>
    <s v="Health fund function on SBG for AU customer only"/>
    <s v="New Feature"/>
    <x v="0"/>
    <d v="2016-01-04T13:59:00"/>
    <x v="10"/>
    <x v="1"/>
    <x v="18"/>
    <n v="3"/>
    <m/>
    <n v="141.1"/>
    <n v="24.900000000000002"/>
  </r>
  <r>
    <s v="Backend - OM"/>
    <x v="1"/>
    <s v="New Feature"/>
    <s v="OM-452"/>
    <s v="Health fund function on SBG for AU customer only"/>
    <s v="New Feature"/>
    <x v="0"/>
    <d v="2016-01-18T16:25:00"/>
    <x v="10"/>
    <x v="1"/>
    <x v="21"/>
    <n v="2"/>
    <m/>
    <n v="141.1"/>
    <n v="24.900000000000002"/>
  </r>
  <r>
    <s v="Backend - OM"/>
    <x v="2"/>
    <s v="New Feature"/>
    <s v="OM-453"/>
    <s v="Migrate the order confirmation mail to the new mailing service"/>
    <s v="New Feature"/>
    <x v="0"/>
    <d v="2015-12-04T11:06:00"/>
    <x v="9"/>
    <x v="0"/>
    <x v="18"/>
    <n v="8"/>
    <m/>
    <n v="147.9"/>
    <n v="26.100000000000005"/>
  </r>
  <r>
    <s v="Backend - OM"/>
    <x v="2"/>
    <s v="New Feature"/>
    <s v="OM-453"/>
    <s v="Migrate the order confirmation mail to the new mailing service"/>
    <s v="New Feature"/>
    <x v="0"/>
    <d v="2015-12-07T11:06:00"/>
    <x v="9"/>
    <x v="0"/>
    <x v="18"/>
    <n v="8"/>
    <m/>
    <n v="147.9"/>
    <n v="26.100000000000005"/>
  </r>
  <r>
    <s v="Backend - OM"/>
    <x v="2"/>
    <s v="New Feature"/>
    <s v="OM-453"/>
    <s v="Migrate the order confirmation mail to the new mailing service"/>
    <s v="New Feature"/>
    <x v="0"/>
    <d v="2015-12-08T11:06:00"/>
    <x v="9"/>
    <x v="0"/>
    <x v="18"/>
    <n v="8"/>
    <m/>
    <n v="147.9"/>
    <n v="26.100000000000005"/>
  </r>
  <r>
    <s v="Backend - OM"/>
    <x v="1"/>
    <s v="New Feature"/>
    <s v="OM-453"/>
    <s v="Migrate the order confirmation mail to the new mailing service"/>
    <s v="New Feature"/>
    <x v="0"/>
    <d v="2015-12-30T19:03:00"/>
    <x v="9"/>
    <x v="0"/>
    <x v="21"/>
    <n v="5"/>
    <m/>
    <n v="147.9"/>
    <n v="26.100000000000005"/>
  </r>
  <r>
    <s v="Backend - OM"/>
    <x v="1"/>
    <s v="New Feature"/>
    <s v="OM-453"/>
    <s v="Migrate the order confirmation mail to the new mailing service"/>
    <s v="New Feature"/>
    <x v="0"/>
    <d v="2015-12-31T12:54:00"/>
    <x v="9"/>
    <x v="0"/>
    <x v="21"/>
    <n v="7"/>
    <m/>
    <n v="147.9"/>
    <n v="26.100000000000005"/>
  </r>
  <r>
    <s v="Backend - OM"/>
    <x v="2"/>
    <s v="New Feature"/>
    <s v="OM-453"/>
    <s v="Migrate the order confirmation mail to the new mailing service"/>
    <s v="New Feature"/>
    <x v="0"/>
    <d v="2016-01-04T14:00:00"/>
    <x v="10"/>
    <x v="1"/>
    <x v="18"/>
    <n v="16"/>
    <m/>
    <n v="141.1"/>
    <n v="24.900000000000002"/>
  </r>
  <r>
    <s v="Backend - OM"/>
    <x v="1"/>
    <s v="New Feature"/>
    <s v="OM-453"/>
    <s v="Migrate the order confirmation mail to the new mailing service"/>
    <s v="New Feature"/>
    <x v="0"/>
    <d v="2016-01-14T18:17:00"/>
    <x v="10"/>
    <x v="1"/>
    <x v="21"/>
    <n v="1"/>
    <m/>
    <n v="141.1"/>
    <n v="24.900000000000002"/>
  </r>
  <r>
    <s v="Backend - OM"/>
    <x v="1"/>
    <s v="Sub-task"/>
    <s v="OM-458"/>
    <s v="OM-447&gt; about bevis's feedback"/>
    <s v="Sub-task"/>
    <x v="0"/>
    <d v="2016-01-18T16:36:00"/>
    <x v="10"/>
    <x v="1"/>
    <x v="21"/>
    <n v="2"/>
    <m/>
    <n v="141.1"/>
    <n v="24.900000000000002"/>
  </r>
  <r>
    <s v="Backend - OM"/>
    <x v="0"/>
    <s v="Task"/>
    <s v="OM-460"/>
    <s v="Converting Page Design Template to HTML Pages"/>
    <s v="Task"/>
    <x v="0"/>
    <d v="2015-12-01T10:10:00"/>
    <x v="9"/>
    <x v="0"/>
    <x v="24"/>
    <n v="4"/>
    <m/>
    <n v="87"/>
    <n v="87"/>
  </r>
  <r>
    <s v="Backend - OM"/>
    <x v="0"/>
    <s v="Task"/>
    <s v="OM-460"/>
    <s v="Converting Page Design Template to HTML Pages"/>
    <s v="Task"/>
    <x v="0"/>
    <d v="2015-12-02T09:38:00"/>
    <x v="9"/>
    <x v="0"/>
    <x v="24"/>
    <n v="3"/>
    <m/>
    <n v="87"/>
    <n v="87"/>
  </r>
  <r>
    <s v="Backend - OM"/>
    <x v="1"/>
    <s v="Task"/>
    <s v="OM-460"/>
    <s v="Converting Page Design Template to HTML Pages"/>
    <s v="Task"/>
    <x v="0"/>
    <d v="2016-01-26T12:44:00"/>
    <x v="10"/>
    <x v="1"/>
    <x v="21"/>
    <n v="3"/>
    <m/>
    <n v="141.1"/>
    <n v="24.900000000000002"/>
  </r>
  <r>
    <s v="Backend - OM"/>
    <x v="1"/>
    <s v="Task"/>
    <s v="OM-460"/>
    <s v="Converting Page Design Template to HTML Pages"/>
    <s v="Task"/>
    <x v="0"/>
    <d v="2016-01-29T12:45:00"/>
    <x v="10"/>
    <x v="1"/>
    <x v="21"/>
    <n v="6"/>
    <m/>
    <n v="141.1"/>
    <n v="24.900000000000002"/>
  </r>
  <r>
    <s v="Backend - OM"/>
    <x v="0"/>
    <s v="Bug"/>
    <s v="OM-461"/>
    <s v="Welcome Email HTML"/>
    <s v="Bug"/>
    <x v="1"/>
    <d v="2015-12-01T11:23:00"/>
    <x v="9"/>
    <x v="0"/>
    <x v="24"/>
    <n v="7"/>
    <m/>
    <n v="87"/>
    <n v="87"/>
  </r>
  <r>
    <s v="Backend - OM"/>
    <x v="0"/>
    <s v="Bug"/>
    <s v="OM-461"/>
    <s v="Welcome Email HTML"/>
    <s v="Bug"/>
    <x v="1"/>
    <d v="2015-12-09T10:24:00"/>
    <x v="9"/>
    <x v="0"/>
    <x v="24"/>
    <n v="8"/>
    <m/>
    <n v="87"/>
    <n v="87"/>
  </r>
  <r>
    <s v="Backend - OM"/>
    <x v="0"/>
    <s v="Bug"/>
    <s v="OM-461"/>
    <s v="Welcome Email HTML"/>
    <s v="Bug"/>
    <x v="1"/>
    <d v="2015-12-10T09:59:00"/>
    <x v="9"/>
    <x v="0"/>
    <x v="24"/>
    <n v="4"/>
    <m/>
    <n v="87"/>
    <n v="87"/>
  </r>
  <r>
    <s v="Backend - OM"/>
    <x v="0"/>
    <s v="Bug"/>
    <s v="OM-461"/>
    <s v="Welcome Email HTML"/>
    <s v="Bug"/>
    <x v="1"/>
    <d v="2015-12-17T10:24:00"/>
    <x v="9"/>
    <x v="0"/>
    <x v="24"/>
    <n v="8"/>
    <m/>
    <n v="87"/>
    <n v="87"/>
  </r>
  <r>
    <s v="Backend - OM"/>
    <x v="0"/>
    <s v="Bug"/>
    <s v="OM-461"/>
    <s v="Welcome Email HTML"/>
    <s v="Bug"/>
    <x v="1"/>
    <d v="2015-12-18T10:24:00"/>
    <x v="9"/>
    <x v="0"/>
    <x v="24"/>
    <n v="8"/>
    <m/>
    <n v="87"/>
    <n v="87"/>
  </r>
  <r>
    <s v="Backend - OM"/>
    <x v="0"/>
    <s v="Bug"/>
    <s v="OM-461"/>
    <s v="Welcome Email HTML"/>
    <s v="Bug"/>
    <x v="1"/>
    <d v="2015-12-21T10:24:00"/>
    <x v="9"/>
    <x v="0"/>
    <x v="24"/>
    <n v="8"/>
    <m/>
    <n v="87"/>
    <n v="87"/>
  </r>
  <r>
    <s v="Backend - OM"/>
    <x v="0"/>
    <s v="Bug"/>
    <s v="OM-461"/>
    <s v="Welcome Email HTML"/>
    <s v="Bug"/>
    <x v="1"/>
    <d v="2015-12-22T11:25:00"/>
    <x v="9"/>
    <x v="0"/>
    <x v="24"/>
    <n v="7"/>
    <m/>
    <n v="87"/>
    <n v="87"/>
  </r>
  <r>
    <s v="Backend - OM"/>
    <x v="0"/>
    <s v="Bug"/>
    <s v="OM-461"/>
    <s v="Welcome Email HTML"/>
    <s v="Bug"/>
    <x v="1"/>
    <d v="2015-12-23T16:49:00"/>
    <x v="9"/>
    <x v="0"/>
    <x v="24"/>
    <n v="2"/>
    <m/>
    <n v="87"/>
    <n v="87"/>
  </r>
  <r>
    <s v="Backend - OM"/>
    <x v="0"/>
    <s v="Bug"/>
    <s v="OM-461"/>
    <s v="Welcome Email HTML"/>
    <s v="Bug"/>
    <x v="1"/>
    <d v="2015-12-24T10:24:00"/>
    <x v="9"/>
    <x v="0"/>
    <x v="24"/>
    <n v="8"/>
    <m/>
    <n v="87"/>
    <n v="87"/>
  </r>
  <r>
    <s v="Backend - OM"/>
    <x v="0"/>
    <s v="Bug"/>
    <s v="OM-461"/>
    <s v="Welcome Email HTML"/>
    <s v="Bug"/>
    <x v="1"/>
    <d v="2015-12-25T10:24:00"/>
    <x v="9"/>
    <x v="0"/>
    <x v="24"/>
    <n v="8"/>
    <m/>
    <n v="87"/>
    <n v="87"/>
  </r>
  <r>
    <s v="Backend - OM"/>
    <x v="0"/>
    <s v="Bug"/>
    <s v="OM-461"/>
    <s v="Welcome Email HTML"/>
    <s v="Bug"/>
    <x v="1"/>
    <d v="2015-12-28T10:24:00"/>
    <x v="9"/>
    <x v="0"/>
    <x v="24"/>
    <n v="8"/>
    <m/>
    <n v="87"/>
    <n v="87"/>
  </r>
  <r>
    <s v="Backend - OM"/>
    <x v="0"/>
    <s v="Bug"/>
    <s v="OM-461"/>
    <s v="Welcome Email HTML"/>
    <s v="Bug"/>
    <x v="1"/>
    <d v="2015-12-29T10:24:00"/>
    <x v="9"/>
    <x v="0"/>
    <x v="24"/>
    <n v="8"/>
    <m/>
    <n v="87"/>
    <n v="87"/>
  </r>
  <r>
    <s v="Backend - OM"/>
    <x v="0"/>
    <s v="Bug"/>
    <s v="OM-461"/>
    <s v="Welcome Email HTML"/>
    <s v="Bug"/>
    <x v="1"/>
    <d v="2015-12-30T10:25:00"/>
    <x v="9"/>
    <x v="0"/>
    <x v="24"/>
    <n v="8"/>
    <m/>
    <n v="87"/>
    <n v="87"/>
  </r>
  <r>
    <s v="Backend - OM"/>
    <x v="0"/>
    <s v="Bug"/>
    <s v="OM-461"/>
    <s v="Welcome Email HTML"/>
    <s v="Bug"/>
    <x v="1"/>
    <d v="2015-12-31T10:25:00"/>
    <x v="9"/>
    <x v="0"/>
    <x v="24"/>
    <n v="8"/>
    <m/>
    <n v="87"/>
    <n v="87"/>
  </r>
  <r>
    <s v="Backend - OM"/>
    <x v="0"/>
    <s v="Bug"/>
    <s v="OM-461"/>
    <s v="Welcome Email HTML"/>
    <s v="Bug"/>
    <x v="1"/>
    <d v="2016-01-06T09:48:00"/>
    <x v="10"/>
    <x v="1"/>
    <x v="24"/>
    <n v="10"/>
    <m/>
    <n v="83"/>
    <n v="83"/>
  </r>
  <r>
    <s v="Backend - OM"/>
    <x v="0"/>
    <s v="Bug"/>
    <s v="OM-461"/>
    <s v="Welcome Email HTML"/>
    <s v="Bug"/>
    <x v="1"/>
    <d v="2016-01-11T13:51:00"/>
    <x v="10"/>
    <x v="1"/>
    <x v="24"/>
    <n v="7"/>
    <m/>
    <n v="83"/>
    <n v="83"/>
  </r>
  <r>
    <s v="Backend - OM"/>
    <x v="0"/>
    <s v="Bug"/>
    <s v="OM-461"/>
    <s v="Welcome Email HTML"/>
    <s v="Bug"/>
    <x v="1"/>
    <d v="2016-01-22T10:28:00"/>
    <x v="10"/>
    <x v="1"/>
    <x v="24"/>
    <n v="8"/>
    <m/>
    <n v="83"/>
    <n v="83"/>
  </r>
  <r>
    <s v="Backend - OM"/>
    <x v="0"/>
    <s v="Bug"/>
    <s v="OM-461"/>
    <s v="Welcome Email HTML"/>
    <s v="Bug"/>
    <x v="1"/>
    <d v="2016-01-26T10:28:00"/>
    <x v="10"/>
    <x v="1"/>
    <x v="24"/>
    <n v="8"/>
    <m/>
    <n v="83"/>
    <n v="83"/>
  </r>
  <r>
    <s v="Backend - OM"/>
    <x v="0"/>
    <s v="Bug"/>
    <s v="OM-461"/>
    <s v="Welcome Email HTML"/>
    <s v="Bug"/>
    <x v="1"/>
    <d v="2016-01-27T10:28:00"/>
    <x v="10"/>
    <x v="1"/>
    <x v="24"/>
    <n v="8"/>
    <m/>
    <n v="83"/>
    <n v="83"/>
  </r>
  <r>
    <s v="Backend - OM"/>
    <x v="0"/>
    <s v="Bug"/>
    <s v="OM-461"/>
    <s v="Welcome Email HTML"/>
    <s v="Bug"/>
    <x v="1"/>
    <d v="2016-01-28T10:28:00"/>
    <x v="10"/>
    <x v="1"/>
    <x v="24"/>
    <n v="8"/>
    <m/>
    <n v="83"/>
    <n v="83"/>
  </r>
  <r>
    <s v="Backend - OM"/>
    <x v="2"/>
    <s v="Improvement"/>
    <s v="OM-463"/>
    <s v="Project Management for Auto Responder"/>
    <s v="Improvement"/>
    <x v="0"/>
    <d v="2015-12-07T23:08:00"/>
    <x v="9"/>
    <x v="0"/>
    <x v="25"/>
    <n v="32"/>
    <m/>
    <n v="147.9"/>
    <n v="26.100000000000005"/>
  </r>
  <r>
    <s v="Backend - OM"/>
    <x v="2"/>
    <s v="Improvement"/>
    <s v="OM-463"/>
    <s v="Project Management for Auto Responder"/>
    <s v="Improvement"/>
    <x v="0"/>
    <d v="2016-01-07T23:08:00"/>
    <x v="10"/>
    <x v="1"/>
    <x v="25"/>
    <n v="32"/>
    <m/>
    <n v="141.1"/>
    <n v="24.900000000000002"/>
  </r>
  <r>
    <s v="Backend - OM"/>
    <x v="1"/>
    <s v="Sub-task"/>
    <s v="OM-467"/>
    <s v="OM-460&gt; translate for email sentence"/>
    <s v="Sub-task"/>
    <x v="0"/>
    <d v="2016-01-27T18:13:00"/>
    <x v="10"/>
    <x v="1"/>
    <x v="21"/>
    <n v="5"/>
    <m/>
    <n v="141.1"/>
    <n v="24.900000000000002"/>
  </r>
  <r>
    <s v="Backend - OM"/>
    <x v="2"/>
    <s v="Bug"/>
    <s v="OM-512"/>
    <s v="UPC is the same as on OM and on the product sticker label, but cannot be stock in via scanning system"/>
    <s v="Bug"/>
    <x v="1"/>
    <d v="2016-01-14T11:23:00"/>
    <x v="10"/>
    <x v="1"/>
    <x v="9"/>
    <n v="1"/>
    <m/>
    <n v="141.1"/>
    <n v="24.900000000000002"/>
  </r>
  <r>
    <s v="Backend - OM"/>
    <x v="2"/>
    <s v="Bug"/>
    <s v="OM-537"/>
    <s v="Aramex Tracking Issues"/>
    <s v="Bug"/>
    <x v="1"/>
    <d v="2016-01-21T17:53:00"/>
    <x v="10"/>
    <x v="1"/>
    <x v="9"/>
    <n v="2"/>
    <m/>
    <n v="141.1"/>
    <n v="24.900000000000002"/>
  </r>
  <r>
    <s v="Backend - OM"/>
    <x v="1"/>
    <s v="Bug"/>
    <s v="OM-537"/>
    <s v="Aramex Tracking Issues"/>
    <s v="Bug"/>
    <x v="1"/>
    <d v="2016-01-23T17:29:00"/>
    <x v="10"/>
    <x v="1"/>
    <x v="8"/>
    <n v="2"/>
    <m/>
    <n v="141.1"/>
    <n v="24.900000000000002"/>
  </r>
  <r>
    <s v="Backend - OM"/>
    <x v="2"/>
    <s v="Bug"/>
    <s v="OM-537"/>
    <s v="Aramex Tracking Issues"/>
    <s v="Bug"/>
    <x v="1"/>
    <d v="2016-01-23T17:37:00"/>
    <x v="10"/>
    <x v="1"/>
    <x v="9"/>
    <n v="0.5"/>
    <s v="support QA test"/>
    <n v="141.1"/>
    <n v="24.900000000000002"/>
  </r>
  <r>
    <s v="Backend - OM"/>
    <x v="1"/>
    <s v="Bug"/>
    <s v="OM-537"/>
    <s v="Aramex Tracking Issues"/>
    <s v="Bug"/>
    <x v="1"/>
    <d v="2016-01-26T21:58:00"/>
    <x v="10"/>
    <x v="1"/>
    <x v="8"/>
    <n v="0.5"/>
    <m/>
    <n v="141.1"/>
    <n v="24.900000000000002"/>
  </r>
  <r>
    <s v="Backend - OM"/>
    <x v="2"/>
    <s v="Bug"/>
    <s v="OM-545"/>
    <s v="Axis for both eyes were missing in OM"/>
    <s v="Bug"/>
    <x v="1"/>
    <d v="2016-01-04T17:45:00"/>
    <x v="10"/>
    <x v="1"/>
    <x v="9"/>
    <n v="3"/>
    <m/>
    <n v="141.1"/>
    <n v="24.900000000000002"/>
  </r>
  <r>
    <s v="Backend - OM"/>
    <x v="1"/>
    <s v="Bug"/>
    <s v="OM-545"/>
    <s v="Axis for both eyes were missing in OM"/>
    <s v="Bug"/>
    <x v="1"/>
    <d v="2016-01-06T18:03:00"/>
    <x v="10"/>
    <x v="1"/>
    <x v="8"/>
    <n v="2"/>
    <m/>
    <n v="141.1"/>
    <n v="24.900000000000002"/>
  </r>
  <r>
    <s v="Backend - OM"/>
    <x v="2"/>
    <s v="Bug"/>
    <s v="OM-545"/>
    <s v="Axis for both eyes were missing in OM"/>
    <s v="Bug"/>
    <x v="1"/>
    <d v="2016-01-06T18:31:00"/>
    <x v="10"/>
    <x v="1"/>
    <x v="9"/>
    <n v="1"/>
    <m/>
    <n v="141.1"/>
    <n v="24.900000000000002"/>
  </r>
  <r>
    <s v="Backend - OM"/>
    <x v="1"/>
    <s v="Bug"/>
    <s v="OM-545"/>
    <s v="Axis for both eyes were missing in OM"/>
    <s v="Bug"/>
    <x v="1"/>
    <d v="2016-01-07T18:29:00"/>
    <x v="10"/>
    <x v="1"/>
    <x v="8"/>
    <n v="1"/>
    <m/>
    <n v="141.1"/>
    <n v="24.900000000000002"/>
  </r>
  <r>
    <s v="Backend - OM"/>
    <x v="2"/>
    <s v="Bug"/>
    <s v="OM-545"/>
    <s v="Axis for both eyes were missing in OM"/>
    <s v="Bug"/>
    <x v="1"/>
    <d v="2016-01-07T18:45:00"/>
    <x v="10"/>
    <x v="1"/>
    <x v="9"/>
    <n v="1"/>
    <m/>
    <n v="141.1"/>
    <n v="24.900000000000002"/>
  </r>
  <r>
    <s v="Backend - OM"/>
    <x v="1"/>
    <s v="Bug"/>
    <s v="OM-545"/>
    <s v="Axis for both eyes were missing in OM"/>
    <s v="Bug"/>
    <x v="1"/>
    <d v="2016-01-08T16:16:00"/>
    <x v="10"/>
    <x v="1"/>
    <x v="8"/>
    <n v="1"/>
    <m/>
    <n v="141.1"/>
    <n v="24.900000000000002"/>
  </r>
  <r>
    <s v="Backend - OM"/>
    <x v="2"/>
    <s v="Bug"/>
    <s v="OM-545"/>
    <s v="Axis for both eyes were missing in OM"/>
    <s v="Bug"/>
    <x v="1"/>
    <d v="2016-01-11T14:32:00"/>
    <x v="10"/>
    <x v="1"/>
    <x v="9"/>
    <n v="1.5"/>
    <m/>
    <n v="141.1"/>
    <n v="24.900000000000002"/>
  </r>
  <r>
    <s v="Backend - OM"/>
    <x v="2"/>
    <s v="Bug"/>
    <s v="OM-545"/>
    <s v="Axis for both eyes were missing in OM"/>
    <s v="Bug"/>
    <x v="1"/>
    <d v="2016-01-16T18:31:00"/>
    <x v="10"/>
    <x v="1"/>
    <x v="9"/>
    <n v="0.5"/>
    <s v="support QA test"/>
    <n v="141.1"/>
    <n v="24.900000000000002"/>
  </r>
  <r>
    <s v="Backend - OM"/>
    <x v="1"/>
    <s v="Bug"/>
    <s v="OM-545"/>
    <s v="Axis for both eyes were missing in OM"/>
    <s v="Bug"/>
    <x v="1"/>
    <d v="2016-01-16T19:17:00"/>
    <x v="10"/>
    <x v="1"/>
    <x v="8"/>
    <n v="1.5"/>
    <m/>
    <n v="141.1"/>
    <n v="24.900000000000002"/>
  </r>
  <r>
    <s v="Backend - OM"/>
    <x v="1"/>
    <s v="Bug"/>
    <s v="OM-545"/>
    <s v="Axis for both eyes were missing in OM"/>
    <s v="Bug"/>
    <x v="1"/>
    <d v="2016-01-19T20:15:00"/>
    <x v="10"/>
    <x v="1"/>
    <x v="8"/>
    <n v="2"/>
    <m/>
    <n v="141.1"/>
    <n v="24.900000000000002"/>
  </r>
  <r>
    <s v="Backend - OM"/>
    <x v="2"/>
    <s v="Bug"/>
    <s v="OM-569"/>
    <s v="Adding H1 to Contact Lens pages"/>
    <s v="Bug"/>
    <x v="1"/>
    <d v="2016-01-21T21:30:00"/>
    <x v="10"/>
    <x v="1"/>
    <x v="11"/>
    <n v="8"/>
    <m/>
    <n v="141.1"/>
    <n v="24.900000000000002"/>
  </r>
  <r>
    <s v="Backend - OM"/>
    <x v="2"/>
    <s v="Bug"/>
    <s v="OM-569"/>
    <s v="Adding H1 to Contact Lens pages"/>
    <s v="Bug"/>
    <x v="1"/>
    <d v="2016-01-25T21:30:00"/>
    <x v="10"/>
    <x v="1"/>
    <x v="11"/>
    <n v="2"/>
    <m/>
    <n v="141.1"/>
    <n v="24.900000000000002"/>
  </r>
  <r>
    <s v="Backend - OM"/>
    <x v="1"/>
    <s v="Bug"/>
    <s v="OM-569"/>
    <s v="Adding H1 to Contact Lens pages"/>
    <s v="Bug"/>
    <x v="1"/>
    <d v="2016-01-28T10:26:00"/>
    <x v="10"/>
    <x v="1"/>
    <x v="30"/>
    <n v="1"/>
    <m/>
    <n v="141.1"/>
    <n v="24.900000000000002"/>
  </r>
  <r>
    <s v="Backend - OM"/>
    <x v="2"/>
    <s v="Bug"/>
    <s v="OM-571"/>
    <s v="HK0373965702G payment issue, please fix ASAP"/>
    <s v="Bug"/>
    <x v="1"/>
    <d v="2015-12-18T10:23:00"/>
    <x v="9"/>
    <x v="0"/>
    <x v="20"/>
    <n v="2"/>
    <m/>
    <n v="147.9"/>
    <n v="26.100000000000005"/>
  </r>
  <r>
    <s v="Backend - OM"/>
    <x v="2"/>
    <s v="Bug"/>
    <s v="OM-571"/>
    <s v="HK0373965702G payment issue, please fix ASAP"/>
    <s v="Bug"/>
    <x v="1"/>
    <d v="2015-12-21T18:18:00"/>
    <x v="9"/>
    <x v="0"/>
    <x v="20"/>
    <n v="2"/>
    <m/>
    <n v="147.9"/>
    <n v="26.100000000000005"/>
  </r>
  <r>
    <s v="Backend - OM"/>
    <x v="2"/>
    <s v="Bug"/>
    <s v="OM-571"/>
    <s v="HK0373965702G payment issue, please fix ASAP"/>
    <s v="Bug"/>
    <x v="1"/>
    <d v="2015-12-24T11:00:00"/>
    <x v="9"/>
    <x v="0"/>
    <x v="20"/>
    <n v="8"/>
    <m/>
    <n v="147.9"/>
    <n v="26.100000000000005"/>
  </r>
  <r>
    <s v="Backend - OM"/>
    <x v="1"/>
    <s v="Bug"/>
    <s v="OM-609"/>
    <s v="CL log"/>
    <s v="Bug"/>
    <x v="1"/>
    <d v="2016-01-11T15:53:00"/>
    <x v="10"/>
    <x v="1"/>
    <x v="8"/>
    <n v="1"/>
    <m/>
    <n v="141.1"/>
    <n v="24.900000000000002"/>
  </r>
  <r>
    <s v="Backend - OM"/>
    <x v="2"/>
    <s v="Bug"/>
    <s v="OM-644"/>
    <s v="Please change to shipped"/>
    <s v="Bug"/>
    <x v="1"/>
    <d v="2016-01-28T17:22:00"/>
    <x v="10"/>
    <x v="1"/>
    <x v="9"/>
    <n v="3.5"/>
    <m/>
    <n v="141.1"/>
    <n v="24.900000000000002"/>
  </r>
  <r>
    <s v="Backend - OM"/>
    <x v="2"/>
    <s v="Bug"/>
    <s v="OM-698"/>
    <s v="Missing Brand Names - Brand Description Manager"/>
    <s v="Bug"/>
    <x v="1"/>
    <d v="2016-01-15T11:24:00"/>
    <x v="10"/>
    <x v="1"/>
    <x v="22"/>
    <n v="2"/>
    <m/>
    <n v="141.1"/>
    <n v="24.900000000000002"/>
  </r>
  <r>
    <s v="Backend - OM"/>
    <x v="2"/>
    <s v="Bug"/>
    <s v="OM-698"/>
    <s v="Missing Brand Names - Brand Description Manager"/>
    <s v="Bug"/>
    <x v="1"/>
    <d v="2016-01-19T17:38:00"/>
    <x v="10"/>
    <x v="1"/>
    <x v="22"/>
    <n v="8"/>
    <m/>
    <n v="141.1"/>
    <n v="24.900000000000002"/>
  </r>
  <r>
    <s v="Backend - OM"/>
    <x v="1"/>
    <s v="Bug"/>
    <s v="OM-698"/>
    <s v="Missing Brand Names - Brand Description Manager"/>
    <s v="Bug"/>
    <x v="1"/>
    <d v="2016-01-22T10:09:00"/>
    <x v="10"/>
    <x v="1"/>
    <x v="26"/>
    <n v="0.1"/>
    <m/>
    <n v="141.1"/>
    <n v="24.900000000000002"/>
  </r>
  <r>
    <s v="Backend - OM"/>
    <x v="2"/>
    <s v="Bug"/>
    <s v="OM-707"/>
    <s v="Contact Lens Order not going into PO"/>
    <s v="Bug"/>
    <x v="1"/>
    <d v="2015-12-29T19:12:00"/>
    <x v="9"/>
    <x v="0"/>
    <x v="9"/>
    <n v="1"/>
    <m/>
    <n v="147.9"/>
    <n v="26.100000000000005"/>
  </r>
  <r>
    <s v="Backend - OM"/>
    <x v="2"/>
    <s v="Bug"/>
    <s v="OM-707"/>
    <s v="Contact Lens Order not going into PO"/>
    <s v="Bug"/>
    <x v="1"/>
    <d v="2016-01-29T14:54:00"/>
    <x v="10"/>
    <x v="1"/>
    <x v="9"/>
    <n v="0.5"/>
    <m/>
    <n v="141.1"/>
    <n v="24.900000000000002"/>
  </r>
  <r>
    <s v="Backend - OM"/>
    <x v="2"/>
    <s v="Bug"/>
    <s v="OM-709"/>
    <s v="shipment update very slowly in OM recently, please kindly help check the main reason and fix it"/>
    <s v="Bug"/>
    <x v="1"/>
    <d v="2016-01-05T10:19:00"/>
    <x v="10"/>
    <x v="1"/>
    <x v="9"/>
    <n v="3"/>
    <m/>
    <n v="141.1"/>
    <n v="24.900000000000002"/>
  </r>
  <r>
    <s v="Backend - OM"/>
    <x v="2"/>
    <s v="Bug"/>
    <s v="OM-730"/>
    <s v="Please help to fix the scan issue for order EN0239637009G"/>
    <s v="Bug"/>
    <x v="1"/>
    <d v="2015-12-16T17:12:00"/>
    <x v="9"/>
    <x v="0"/>
    <x v="9"/>
    <n v="2.5"/>
    <m/>
    <n v="147.9"/>
    <n v="26.100000000000005"/>
  </r>
  <r>
    <s v="Backend - OM"/>
    <x v="2"/>
    <s v="Improvement"/>
    <s v="OM-754"/>
    <s v="carrier filter in create manifest page does not work"/>
    <s v="Improvement"/>
    <x v="0"/>
    <d v="2015-12-11T17:29:00"/>
    <x v="9"/>
    <x v="0"/>
    <x v="20"/>
    <n v="8"/>
    <m/>
    <n v="147.9"/>
    <n v="26.100000000000005"/>
  </r>
  <r>
    <s v="Backend - OM"/>
    <x v="2"/>
    <s v="Improvement"/>
    <s v="OM-754"/>
    <s v="carrier filter in create manifest page does not work"/>
    <s v="Improvement"/>
    <x v="0"/>
    <d v="2015-12-14T17:30:00"/>
    <x v="9"/>
    <x v="0"/>
    <x v="20"/>
    <n v="5"/>
    <m/>
    <n v="147.9"/>
    <n v="26.100000000000005"/>
  </r>
  <r>
    <s v="Backend - OM"/>
    <x v="1"/>
    <s v="Improvement"/>
    <s v="OM-754"/>
    <s v="carrier filter in create manifest page does not work"/>
    <s v="Improvement"/>
    <x v="0"/>
    <d v="2015-12-15T18:26:00"/>
    <x v="9"/>
    <x v="0"/>
    <x v="8"/>
    <n v="1"/>
    <m/>
    <n v="147.9"/>
    <n v="26.100000000000005"/>
  </r>
  <r>
    <s v="Backend - OM"/>
    <x v="1"/>
    <s v="Improvement"/>
    <s v="OM-754"/>
    <s v="carrier filter in create manifest page does not work"/>
    <s v="Improvement"/>
    <x v="0"/>
    <d v="2015-12-16T18:03:00"/>
    <x v="9"/>
    <x v="0"/>
    <x v="8"/>
    <n v="5"/>
    <m/>
    <n v="147.9"/>
    <n v="26.100000000000005"/>
  </r>
  <r>
    <s v="Backend - OM"/>
    <x v="2"/>
    <s v="Bug"/>
    <s v="OM-781"/>
    <s v="Order delayed Notification"/>
    <s v="Bug"/>
    <x v="1"/>
    <d v="2015-12-07T18:14:00"/>
    <x v="9"/>
    <x v="0"/>
    <x v="9"/>
    <n v="2"/>
    <m/>
    <n v="147.9"/>
    <n v="26.100000000000005"/>
  </r>
  <r>
    <s v="Backend - OM"/>
    <x v="1"/>
    <s v="Bug"/>
    <s v="OM-781"/>
    <s v="Order delayed Notification"/>
    <s v="Bug"/>
    <x v="1"/>
    <d v="2015-12-11T18:40:00"/>
    <x v="9"/>
    <x v="0"/>
    <x v="8"/>
    <n v="2"/>
    <m/>
    <n v="147.9"/>
    <n v="26.100000000000005"/>
  </r>
  <r>
    <s v="Backend - OM"/>
    <x v="1"/>
    <s v="Bug"/>
    <s v="OM-781"/>
    <s v="Order delayed Notification"/>
    <s v="Bug"/>
    <x v="1"/>
    <d v="2015-12-21T17:12:00"/>
    <x v="9"/>
    <x v="0"/>
    <x v="8"/>
    <n v="2"/>
    <m/>
    <n v="147.9"/>
    <n v="26.100000000000005"/>
  </r>
  <r>
    <s v="Backend - OM"/>
    <x v="2"/>
    <s v="Improvement"/>
    <s v="OM-828"/>
    <s v="Refund of Wait to be verified order can not show in the refund list"/>
    <s v="Improvement"/>
    <x v="0"/>
    <d v="2016-01-19T14:59:00"/>
    <x v="10"/>
    <x v="1"/>
    <x v="20"/>
    <n v="8"/>
    <m/>
    <n v="141.1"/>
    <n v="24.900000000000002"/>
  </r>
  <r>
    <s v="Backend - OM"/>
    <x v="2"/>
    <s v="Improvement"/>
    <s v="OM-880"/>
    <s v="Lens names in OM need to be revised (Rx lab allocation)"/>
    <s v="Improvement"/>
    <x v="0"/>
    <d v="2016-01-27T18:41:00"/>
    <x v="10"/>
    <x v="1"/>
    <x v="9"/>
    <n v="8"/>
    <m/>
    <n v="141.1"/>
    <n v="24.900000000000002"/>
  </r>
  <r>
    <s v="Backend - OM"/>
    <x v="1"/>
    <s v="Improvement"/>
    <s v="OM-880"/>
    <s v="Lens names in OM need to be revised (Rx lab allocation)"/>
    <s v="Improvement"/>
    <x v="0"/>
    <d v="2016-01-27T19:33:00"/>
    <x v="10"/>
    <x v="1"/>
    <x v="8"/>
    <n v="8"/>
    <m/>
    <n v="141.1"/>
    <n v="24.900000000000002"/>
  </r>
  <r>
    <s v="Backend - OM"/>
    <x v="2"/>
    <s v="Bug"/>
    <s v="OM-881"/>
    <s v="Order edit page &quot;Grand Total &quot; is incorrect"/>
    <s v="Bug"/>
    <x v="1"/>
    <d v="2016-01-19T17:39:00"/>
    <x v="10"/>
    <x v="1"/>
    <x v="9"/>
    <n v="1"/>
    <s v="discuss this issue."/>
    <n v="141.1"/>
    <n v="24.900000000000002"/>
  </r>
  <r>
    <s v="Backend - OM"/>
    <x v="2"/>
    <s v="Bug"/>
    <s v="OM-881"/>
    <s v="Order edit page &quot;Grand Total &quot; is incorrect"/>
    <s v="Bug"/>
    <x v="1"/>
    <d v="2016-01-22T11:00:00"/>
    <x v="10"/>
    <x v="1"/>
    <x v="20"/>
    <n v="2"/>
    <m/>
    <n v="141.1"/>
    <n v="24.900000000000002"/>
  </r>
  <r>
    <s v="Backend - OM"/>
    <x v="2"/>
    <s v="Bug"/>
    <s v="OM-881"/>
    <s v="Order edit page &quot;Grand Total &quot; is incorrect"/>
    <s v="Bug"/>
    <x v="1"/>
    <d v="2016-01-23T15:43:00"/>
    <x v="10"/>
    <x v="1"/>
    <x v="20"/>
    <n v="2"/>
    <m/>
    <n v="141.1"/>
    <n v="24.900000000000002"/>
  </r>
  <r>
    <s v="Backend - OM"/>
    <x v="1"/>
    <s v="Bug"/>
    <s v="OM-881"/>
    <s v="Order edit page &quot;Grand Total &quot; is incorrect"/>
    <s v="Bug"/>
    <x v="1"/>
    <d v="2016-01-28T18:33:00"/>
    <x v="10"/>
    <x v="1"/>
    <x v="23"/>
    <n v="1"/>
    <m/>
    <n v="141.1"/>
    <n v="24.900000000000002"/>
  </r>
  <r>
    <s v="Backend - OM"/>
    <x v="2"/>
    <s v="Improvement"/>
    <s v="OM-884"/>
    <s v="Return received but the amount of item did not go to exchange page"/>
    <s v="Improvement"/>
    <x v="0"/>
    <d v="2015-12-15T11:00:00"/>
    <x v="9"/>
    <x v="0"/>
    <x v="20"/>
    <n v="8"/>
    <m/>
    <n v="147.9"/>
    <n v="26.100000000000005"/>
  </r>
  <r>
    <s v="Backend - OM"/>
    <x v="2"/>
    <s v="Improvement"/>
    <s v="OM-884"/>
    <s v="Return received but the amount of item did not go to exchange page"/>
    <s v="Improvement"/>
    <x v="0"/>
    <d v="2015-12-28T11:00:00"/>
    <x v="9"/>
    <x v="0"/>
    <x v="20"/>
    <n v="8"/>
    <m/>
    <n v="147.9"/>
    <n v="26.100000000000005"/>
  </r>
  <r>
    <s v="Backend - OM"/>
    <x v="2"/>
    <s v="Improvement"/>
    <s v="OM-884"/>
    <s v="Return received but the amount of item did not go to exchange page"/>
    <s v="Improvement"/>
    <x v="0"/>
    <d v="2015-12-31T10:14:00"/>
    <x v="9"/>
    <x v="0"/>
    <x v="20"/>
    <n v="8"/>
    <m/>
    <n v="147.9"/>
    <n v="26.100000000000005"/>
  </r>
  <r>
    <s v="Backend - OM"/>
    <x v="2"/>
    <s v="Bug"/>
    <s v="OM-966"/>
    <s v="Ray-Ban SUN Brand Description UK Wrong - OM Error"/>
    <s v="Bug"/>
    <x v="1"/>
    <d v="2016-01-14T14:16:00"/>
    <x v="10"/>
    <x v="1"/>
    <x v="29"/>
    <n v="0.16700000000000001"/>
    <m/>
    <n v="141.1"/>
    <n v="24.900000000000002"/>
  </r>
  <r>
    <s v="Backend - OM"/>
    <x v="2"/>
    <s v="Improvement"/>
    <s v="OM-974"/>
    <s v="order status is &quot;Wait for Full Refund&quot;, but can't find it at &quot;View Refund Request&quot; page"/>
    <s v="Improvement"/>
    <x v="0"/>
    <d v="2015-12-25T17:38:00"/>
    <x v="9"/>
    <x v="0"/>
    <x v="9"/>
    <n v="1"/>
    <m/>
    <n v="147.9"/>
    <n v="26.100000000000005"/>
  </r>
  <r>
    <s v="Backend - OM"/>
    <x v="2"/>
    <s v="Improvement"/>
    <s v="OM-974"/>
    <s v="order status is &quot;Wait for Full Refund&quot;, but can't find it at &quot;View Refund Request&quot; page"/>
    <s v="Improvement"/>
    <x v="0"/>
    <d v="2015-12-25T17:41:00"/>
    <x v="9"/>
    <x v="0"/>
    <x v="20"/>
    <n v="2"/>
    <m/>
    <n v="147.9"/>
    <n v="26.100000000000005"/>
  </r>
  <r>
    <s v="Backend - OM"/>
    <x v="2"/>
    <s v="Improvement"/>
    <s v="OM-974"/>
    <s v="order status is &quot;Wait for Full Refund&quot;, but can't find it at &quot;View Refund Request&quot; page"/>
    <s v="Improvement"/>
    <x v="0"/>
    <d v="2015-12-29T11:00:00"/>
    <x v="9"/>
    <x v="0"/>
    <x v="20"/>
    <n v="8"/>
    <m/>
    <n v="147.9"/>
    <n v="26.100000000000005"/>
  </r>
  <r>
    <s v="Backend - OM"/>
    <x v="2"/>
    <s v="Improvement"/>
    <s v="OM-974"/>
    <s v="order status is &quot;Wait for Full Refund&quot;, but can't find it at &quot;View Refund Request&quot; page"/>
    <s v="Improvement"/>
    <x v="0"/>
    <d v="2016-01-12T11:00:00"/>
    <x v="10"/>
    <x v="1"/>
    <x v="20"/>
    <n v="3"/>
    <m/>
    <n v="141.1"/>
    <n v="24.900000000000002"/>
  </r>
  <r>
    <s v="Backend - OM"/>
    <x v="1"/>
    <s v="Improvement"/>
    <s v="OM-974"/>
    <s v="order status is &quot;Wait for Full Refund&quot;, but can't find it at &quot;View Refund Request&quot; page"/>
    <s v="Improvement"/>
    <x v="0"/>
    <d v="2016-01-14T12:50:00"/>
    <x v="10"/>
    <x v="1"/>
    <x v="21"/>
    <n v="4"/>
    <m/>
    <n v="141.1"/>
    <n v="24.900000000000002"/>
  </r>
  <r>
    <s v="Backend - OM"/>
    <x v="1"/>
    <s v="Improvement"/>
    <s v="OM-974"/>
    <s v="order status is &quot;Wait for Full Refund&quot;, but can't find it at &quot;View Refund Request&quot; page"/>
    <s v="Improvement"/>
    <x v="0"/>
    <d v="2016-01-15T18:44:00"/>
    <x v="10"/>
    <x v="1"/>
    <x v="21"/>
    <n v="3"/>
    <m/>
    <n v="141.1"/>
    <n v="24.900000000000002"/>
  </r>
  <r>
    <s v="Backend - OM"/>
    <x v="1"/>
    <s v="Improvement"/>
    <s v="OM-974"/>
    <s v="order status is &quot;Wait for Full Refund&quot;, but can't find it at &quot;View Refund Request&quot; page"/>
    <s v="Improvement"/>
    <x v="0"/>
    <d v="2016-01-18T15:38:00"/>
    <x v="10"/>
    <x v="1"/>
    <x v="21"/>
    <n v="2"/>
    <m/>
    <n v="141.1"/>
    <n v="24.900000000000002"/>
  </r>
  <r>
    <s v="Backend - OM"/>
    <x v="2"/>
    <s v="Improvement"/>
    <s v="OM-974"/>
    <s v="order status is &quot;Wait for Full Refund&quot;, but can't find it at &quot;View Refund Request&quot; page"/>
    <s v="Improvement"/>
    <x v="0"/>
    <d v="2016-01-18T17:15:00"/>
    <x v="10"/>
    <x v="1"/>
    <x v="20"/>
    <n v="3"/>
    <m/>
    <n v="141.1"/>
    <n v="24.900000000000002"/>
  </r>
  <r>
    <s v="Backend - OM"/>
    <x v="1"/>
    <s v="Improvement"/>
    <s v="OM-974"/>
    <s v="order status is &quot;Wait for Full Refund&quot;, but can't find it at &quot;View Refund Request&quot; page"/>
    <s v="Improvement"/>
    <x v="0"/>
    <d v="2016-01-18T17:36:00"/>
    <x v="10"/>
    <x v="1"/>
    <x v="21"/>
    <n v="1"/>
    <m/>
    <n v="141.1"/>
    <n v="24.900000000000002"/>
  </r>
  <r>
    <s v="Backend - OM"/>
    <x v="1"/>
    <s v="Improvement"/>
    <s v="OM-974"/>
    <s v="order status is &quot;Wait for Full Refund&quot;, but can't find it at &quot;View Refund Request&quot; page"/>
    <s v="Improvement"/>
    <x v="0"/>
    <d v="2016-01-22T12:47:00"/>
    <x v="10"/>
    <x v="1"/>
    <x v="21"/>
    <n v="2"/>
    <m/>
    <n v="141.1"/>
    <n v="24.900000000000002"/>
  </r>
  <r>
    <s v="Backend - OM"/>
    <x v="2"/>
    <s v="Bug"/>
    <s v="OM-977"/>
    <s v="OM Products &gt; WHHK Inventory &gt; Export File missing Contact Lenses"/>
    <s v="Bug"/>
    <x v="1"/>
    <d v="2016-01-29T18:47:00"/>
    <x v="10"/>
    <x v="1"/>
    <x v="9"/>
    <n v="2"/>
    <s v="discuss to export the inventory."/>
    <n v="141.1"/>
    <n v="24.900000000000002"/>
  </r>
  <r>
    <s v="Backend - OM"/>
    <x v="2"/>
    <s v="Bug"/>
    <s v="OM-987"/>
    <s v="Should not send any order update email after &quot;shipped&quot;"/>
    <s v="Bug"/>
    <x v="1"/>
    <d v="2015-12-07T18:14:00"/>
    <x v="9"/>
    <x v="0"/>
    <x v="9"/>
    <n v="2"/>
    <m/>
    <n v="147.9"/>
    <n v="26.100000000000005"/>
  </r>
  <r>
    <s v="Backend - OM"/>
    <x v="1"/>
    <s v="Bug"/>
    <s v="OM-987"/>
    <s v="Should not send any order update email after &quot;shipped&quot;"/>
    <s v="Bug"/>
    <x v="1"/>
    <d v="2015-12-11T18:40:00"/>
    <x v="9"/>
    <x v="0"/>
    <x v="8"/>
    <n v="3"/>
    <m/>
    <n v="147.9"/>
    <n v="26.100000000000005"/>
  </r>
  <r>
    <s v="Backend - OM"/>
    <x v="2"/>
    <s v="Bug"/>
    <s v="OM-987"/>
    <s v="Should not send any order update email after &quot;shipped&quot;"/>
    <s v="Bug"/>
    <x v="1"/>
    <d v="2015-12-16T10:25:00"/>
    <x v="9"/>
    <x v="0"/>
    <x v="9"/>
    <n v="1"/>
    <m/>
    <n v="147.9"/>
    <n v="26.100000000000005"/>
  </r>
  <r>
    <s v="Backend - OM"/>
    <x v="1"/>
    <s v="Bug"/>
    <s v="OM-987"/>
    <s v="Should not send any order update email after &quot;shipped&quot;"/>
    <s v="Bug"/>
    <x v="1"/>
    <d v="2015-12-16T18:16:00"/>
    <x v="9"/>
    <x v="0"/>
    <x v="8"/>
    <n v="1"/>
    <m/>
    <n v="147.9"/>
    <n v="26.100000000000005"/>
  </r>
  <r>
    <s v="Backend - OM"/>
    <x v="1"/>
    <s v="Bug"/>
    <s v="OM-987"/>
    <s v="Should not send any order update email after &quot;shipped&quot;"/>
    <s v="Bug"/>
    <x v="1"/>
    <d v="2015-12-17T18:35:00"/>
    <x v="9"/>
    <x v="0"/>
    <x v="8"/>
    <n v="2"/>
    <m/>
    <n v="147.9"/>
    <n v="26.100000000000005"/>
  </r>
  <r>
    <s v="Backend - OM"/>
    <x v="1"/>
    <s v="Bug"/>
    <s v="OM-997"/>
    <s v="om_inventory_log missing order_item_id"/>
    <s v="Bug"/>
    <x v="1"/>
    <d v="2016-01-04T17:02:00"/>
    <x v="10"/>
    <x v="1"/>
    <x v="8"/>
    <n v="1"/>
    <m/>
    <n v="141.1"/>
    <n v="24.900000000000002"/>
  </r>
  <r>
    <s v="Backend - OM"/>
    <x v="1"/>
    <s v="Bug"/>
    <s v="OM-997"/>
    <s v="om_inventory_log missing order_item_id"/>
    <s v="Bug"/>
    <x v="1"/>
    <d v="2016-01-05T18:14:00"/>
    <x v="10"/>
    <x v="1"/>
    <x v="8"/>
    <n v="2"/>
    <m/>
    <n v="141.1"/>
    <n v="24.900000000000002"/>
  </r>
  <r>
    <s v="Backend - OM"/>
    <x v="2"/>
    <s v="Bug"/>
    <s v="OM-1068"/>
    <s v="Tracking number missing in the Manifest report."/>
    <s v="Bug"/>
    <x v="1"/>
    <d v="2016-01-18T12:05:00"/>
    <x v="10"/>
    <x v="1"/>
    <x v="20"/>
    <n v="2"/>
    <m/>
    <n v="141.1"/>
    <n v="24.900000000000002"/>
  </r>
  <r>
    <s v="Backend - OM"/>
    <x v="1"/>
    <s v="Bug"/>
    <s v="OM-1068"/>
    <s v="Tracking number missing in the Manifest report."/>
    <s v="Bug"/>
    <x v="1"/>
    <d v="2016-01-22T15:34:00"/>
    <x v="10"/>
    <x v="1"/>
    <x v="23"/>
    <n v="2"/>
    <m/>
    <n v="141.1"/>
    <n v="24.900000000000002"/>
  </r>
  <r>
    <s v="Backend - OM"/>
    <x v="1"/>
    <s v="Bug"/>
    <s v="OM-1068"/>
    <s v="Tracking number missing in the Manifest report."/>
    <s v="Bug"/>
    <x v="1"/>
    <d v="2016-01-25T10:47:00"/>
    <x v="10"/>
    <x v="1"/>
    <x v="23"/>
    <n v="2"/>
    <m/>
    <n v="141.1"/>
    <n v="24.900000000000002"/>
  </r>
  <r>
    <s v="Backend - OM"/>
    <x v="1"/>
    <s v="Bug"/>
    <s v="OM-1089"/>
    <s v="PO discontinued by all phase, but still can create PO"/>
    <s v="Bug"/>
    <x v="1"/>
    <d v="2015-12-04T17:58:00"/>
    <x v="9"/>
    <x v="0"/>
    <x v="8"/>
    <n v="3"/>
    <m/>
    <n v="147.9"/>
    <n v="26.100000000000005"/>
  </r>
  <r>
    <s v="Backend - OM"/>
    <x v="1"/>
    <s v="Bug"/>
    <s v="OM-1089"/>
    <s v="PO discontinued by all phase, but still can create PO"/>
    <s v="Bug"/>
    <x v="1"/>
    <d v="2015-12-08T15:23:00"/>
    <x v="9"/>
    <x v="0"/>
    <x v="8"/>
    <n v="1"/>
    <m/>
    <n v="147.9"/>
    <n v="26.100000000000005"/>
  </r>
  <r>
    <s v="Backend - OM"/>
    <x v="2"/>
    <s v="Bug"/>
    <s v="OM-1096"/>
    <s v="Price Refresh Bugs"/>
    <s v="Bug"/>
    <x v="1"/>
    <d v="2015-12-08T16:03:00"/>
    <x v="9"/>
    <x v="0"/>
    <x v="27"/>
    <n v="3"/>
    <m/>
    <n v="147.9"/>
    <n v="26.100000000000005"/>
  </r>
  <r>
    <s v="Backend - OM"/>
    <x v="2"/>
    <s v="Bug"/>
    <s v="OM-1096"/>
    <s v="Price Refresh Bugs"/>
    <s v="Bug"/>
    <x v="1"/>
    <d v="2015-12-09T09:50:00"/>
    <x v="9"/>
    <x v="0"/>
    <x v="27"/>
    <n v="4"/>
    <m/>
    <n v="147.9"/>
    <n v="26.100000000000005"/>
  </r>
  <r>
    <s v="Backend - OM"/>
    <x v="2"/>
    <s v="Bug"/>
    <s v="OM-1096"/>
    <s v="Price Refresh Bugs"/>
    <s v="Bug"/>
    <x v="1"/>
    <d v="2015-12-10T18:33:00"/>
    <x v="9"/>
    <x v="0"/>
    <x v="27"/>
    <n v="6"/>
    <m/>
    <n v="147.9"/>
    <n v="26.100000000000005"/>
  </r>
  <r>
    <s v="Backend - OM"/>
    <x v="2"/>
    <s v="Bug"/>
    <s v="OM-1096"/>
    <s v="Price Refresh Bugs"/>
    <s v="Bug"/>
    <x v="1"/>
    <d v="2015-12-16T12:49:00"/>
    <x v="9"/>
    <x v="0"/>
    <x v="27"/>
    <n v="10"/>
    <m/>
    <n v="147.9"/>
    <n v="26.100000000000005"/>
  </r>
  <r>
    <s v="Backend - OM"/>
    <x v="1"/>
    <s v="Bug"/>
    <s v="OM-1096"/>
    <s v="Price Refresh Bugs"/>
    <s v="Bug"/>
    <x v="1"/>
    <d v="2016-01-07T18:14:00"/>
    <x v="10"/>
    <x v="1"/>
    <x v="23"/>
    <n v="1"/>
    <m/>
    <n v="141.1"/>
    <n v="24.900000000000002"/>
  </r>
  <r>
    <s v="Backend - OM"/>
    <x v="1"/>
    <s v="Bug"/>
    <s v="OM-1096"/>
    <s v="Price Refresh Bugs"/>
    <s v="Bug"/>
    <x v="1"/>
    <d v="2016-01-11T18:22:00"/>
    <x v="10"/>
    <x v="1"/>
    <x v="23"/>
    <n v="3"/>
    <m/>
    <n v="141.1"/>
    <n v="24.900000000000002"/>
  </r>
  <r>
    <s v="Backend - OM"/>
    <x v="1"/>
    <s v="Bug"/>
    <s v="OM-1096"/>
    <s v="Price Refresh Bugs"/>
    <s v="Bug"/>
    <x v="1"/>
    <d v="2016-01-14T13:55:00"/>
    <x v="10"/>
    <x v="1"/>
    <x v="23"/>
    <n v="2"/>
    <m/>
    <n v="141.1"/>
    <n v="24.900000000000002"/>
  </r>
  <r>
    <s v="Backend - OM"/>
    <x v="2"/>
    <s v="Improvement"/>
    <s v="OM-1121"/>
    <s v="Daily Supply Chain / Warehouse Issues"/>
    <s v="Improvement"/>
    <x v="0"/>
    <d v="2015-12-02T17:57:00"/>
    <x v="9"/>
    <x v="0"/>
    <x v="20"/>
    <n v="5"/>
    <m/>
    <n v="147.9"/>
    <n v="26.100000000000005"/>
  </r>
  <r>
    <s v="Backend - OM"/>
    <x v="2"/>
    <s v="Improvement"/>
    <s v="OM-1121"/>
    <s v="Daily Supply Chain / Warehouse Issues"/>
    <s v="Improvement"/>
    <x v="0"/>
    <d v="2015-12-03T18:06:00"/>
    <x v="9"/>
    <x v="0"/>
    <x v="20"/>
    <n v="3"/>
    <m/>
    <n v="147.9"/>
    <n v="26.100000000000005"/>
  </r>
  <r>
    <s v="Backend - OM"/>
    <x v="2"/>
    <s v="Improvement"/>
    <s v="OM-1121"/>
    <s v="Daily Supply Chain / Warehouse Issues"/>
    <s v="Improvement"/>
    <x v="0"/>
    <d v="2015-12-07T10:05:00"/>
    <x v="9"/>
    <x v="0"/>
    <x v="20"/>
    <n v="2"/>
    <m/>
    <n v="147.9"/>
    <n v="26.100000000000005"/>
  </r>
  <r>
    <s v="Backend - OM"/>
    <x v="2"/>
    <s v="Improvement"/>
    <s v="OM-1121"/>
    <s v="Daily Supply Chain / Warehouse Issues"/>
    <s v="Improvement"/>
    <x v="0"/>
    <d v="2015-12-08T21:16:00"/>
    <x v="9"/>
    <x v="0"/>
    <x v="9"/>
    <n v="1"/>
    <m/>
    <n v="147.9"/>
    <n v="26.100000000000005"/>
  </r>
  <r>
    <s v="Backend - OM"/>
    <x v="2"/>
    <s v="Improvement"/>
    <s v="OM-1121"/>
    <s v="Daily Supply Chain / Warehouse Issues"/>
    <s v="Improvement"/>
    <x v="0"/>
    <d v="2015-12-09T10:05:00"/>
    <x v="9"/>
    <x v="0"/>
    <x v="20"/>
    <n v="2"/>
    <m/>
    <n v="147.9"/>
    <n v="26.100000000000005"/>
  </r>
  <r>
    <s v="Backend - OM"/>
    <x v="2"/>
    <s v="Improvement"/>
    <s v="OM-1121"/>
    <s v="Daily Supply Chain / Warehouse Issues"/>
    <s v="Improvement"/>
    <x v="0"/>
    <d v="2015-12-14T16:39:00"/>
    <x v="9"/>
    <x v="0"/>
    <x v="20"/>
    <n v="3"/>
    <m/>
    <n v="147.9"/>
    <n v="26.100000000000005"/>
  </r>
  <r>
    <s v="Backend - OM"/>
    <x v="2"/>
    <s v="Improvement"/>
    <s v="OM-1121"/>
    <s v="Daily Supply Chain / Warehouse Issues"/>
    <s v="Improvement"/>
    <x v="0"/>
    <d v="2015-12-15T18:10:00"/>
    <x v="9"/>
    <x v="0"/>
    <x v="20"/>
    <n v="2"/>
    <m/>
    <n v="147.9"/>
    <n v="26.100000000000005"/>
  </r>
  <r>
    <s v="Backend - OM"/>
    <x v="2"/>
    <s v="Improvement"/>
    <s v="OM-1121"/>
    <s v="Daily Supply Chain / Warehouse Issues"/>
    <s v="Improvement"/>
    <x v="0"/>
    <d v="2015-12-16T18:10:00"/>
    <x v="9"/>
    <x v="0"/>
    <x v="20"/>
    <n v="3"/>
    <m/>
    <n v="147.9"/>
    <n v="26.100000000000005"/>
  </r>
  <r>
    <s v="Backend - OM"/>
    <x v="2"/>
    <s v="Improvement"/>
    <s v="OM-1121"/>
    <s v="Daily Supply Chain / Warehouse Issues"/>
    <s v="Improvement"/>
    <x v="0"/>
    <d v="2015-12-29T19:02:00"/>
    <x v="9"/>
    <x v="0"/>
    <x v="9"/>
    <n v="1.5"/>
    <m/>
    <n v="147.9"/>
    <n v="26.100000000000005"/>
  </r>
  <r>
    <s v="Backend - OM"/>
    <x v="2"/>
    <s v="Improvement"/>
    <s v="OM-1121"/>
    <s v="Daily Supply Chain / Warehouse Issues"/>
    <s v="Improvement"/>
    <x v="0"/>
    <d v="2016-01-07T15:20:00"/>
    <x v="10"/>
    <x v="1"/>
    <x v="20"/>
    <n v="5"/>
    <m/>
    <n v="141.1"/>
    <n v="24.900000000000002"/>
  </r>
  <r>
    <s v="Backend - OM"/>
    <x v="2"/>
    <s v="Improvement"/>
    <s v="OM-1121"/>
    <s v="Daily Supply Chain / Warehouse Issues"/>
    <s v="Improvement"/>
    <x v="0"/>
    <d v="2016-01-08T15:21:00"/>
    <x v="10"/>
    <x v="1"/>
    <x v="20"/>
    <n v="5"/>
    <m/>
    <n v="141.1"/>
    <n v="24.900000000000002"/>
  </r>
  <r>
    <s v="Backend - OM"/>
    <x v="2"/>
    <s v="Improvement"/>
    <s v="OM-1121"/>
    <s v="Daily Supply Chain / Warehouse Issues"/>
    <s v="Improvement"/>
    <x v="0"/>
    <d v="2016-01-11T16:44:00"/>
    <x v="10"/>
    <x v="1"/>
    <x v="20"/>
    <n v="3"/>
    <m/>
    <n v="141.1"/>
    <n v="24.900000000000002"/>
  </r>
  <r>
    <s v="Backend - OM"/>
    <x v="2"/>
    <s v="Improvement"/>
    <s v="OM-1121"/>
    <s v="Daily Supply Chain / Warehouse Issues"/>
    <s v="Improvement"/>
    <x v="0"/>
    <d v="2016-01-11T18:41:00"/>
    <x v="10"/>
    <x v="1"/>
    <x v="9"/>
    <n v="2"/>
    <s v="check order EN0300068801GE ."/>
    <n v="141.1"/>
    <n v="24.900000000000002"/>
  </r>
  <r>
    <s v="Backend - OM"/>
    <x v="2"/>
    <s v="Improvement"/>
    <s v="OM-1121"/>
    <s v="Daily Supply Chain / Warehouse Issues"/>
    <s v="Improvement"/>
    <x v="0"/>
    <d v="2016-01-12T11:29:00"/>
    <x v="10"/>
    <x v="1"/>
    <x v="20"/>
    <n v="5"/>
    <m/>
    <n v="141.1"/>
    <n v="24.900000000000002"/>
  </r>
  <r>
    <s v="Backend - OM"/>
    <x v="2"/>
    <s v="Improvement"/>
    <s v="OM-1121"/>
    <s v="Daily Supply Chain / Warehouse Issues"/>
    <s v="Improvement"/>
    <x v="0"/>
    <d v="2016-01-13T10:23:00"/>
    <x v="10"/>
    <x v="1"/>
    <x v="20"/>
    <n v="1"/>
    <m/>
    <n v="141.1"/>
    <n v="24.900000000000002"/>
  </r>
  <r>
    <s v="Backend - OM"/>
    <x v="2"/>
    <s v="Improvement"/>
    <s v="OM-1121"/>
    <s v="Daily Supply Chain / Warehouse Issues"/>
    <s v="Improvement"/>
    <x v="0"/>
    <d v="2016-01-14T18:01:00"/>
    <x v="10"/>
    <x v="1"/>
    <x v="20"/>
    <n v="3"/>
    <m/>
    <n v="141.1"/>
    <n v="24.900000000000002"/>
  </r>
  <r>
    <s v="Backend - OM"/>
    <x v="2"/>
    <s v="Improvement"/>
    <s v="OM-1121"/>
    <s v="Daily Supply Chain / Warehouse Issues"/>
    <s v="Improvement"/>
    <x v="0"/>
    <d v="2016-01-20T17:07:00"/>
    <x v="10"/>
    <x v="1"/>
    <x v="20"/>
    <n v="2"/>
    <m/>
    <n v="141.1"/>
    <n v="24.900000000000002"/>
  </r>
  <r>
    <s v="Backend - OM"/>
    <x v="2"/>
    <s v="Improvement"/>
    <s v="OM-1121"/>
    <s v="Daily Supply Chain / Warehouse Issues"/>
    <s v="Improvement"/>
    <x v="0"/>
    <d v="2016-01-21T17:07:00"/>
    <x v="10"/>
    <x v="1"/>
    <x v="20"/>
    <n v="2"/>
    <m/>
    <n v="141.1"/>
    <n v="24.900000000000002"/>
  </r>
  <r>
    <s v="Backend - OM"/>
    <x v="2"/>
    <s v="Improvement"/>
    <s v="OM-1121"/>
    <s v="Daily Supply Chain / Warehouse Issues"/>
    <s v="Improvement"/>
    <x v="0"/>
    <d v="2016-01-22T10:41:00"/>
    <x v="10"/>
    <x v="1"/>
    <x v="20"/>
    <n v="3"/>
    <m/>
    <n v="141.1"/>
    <n v="24.900000000000002"/>
  </r>
  <r>
    <s v="Backend - OM"/>
    <x v="2"/>
    <s v="Improvement"/>
    <s v="OM-1121"/>
    <s v="Daily Supply Chain / Warehouse Issues"/>
    <s v="Improvement"/>
    <x v="0"/>
    <d v="2016-01-22T17:07:00"/>
    <x v="10"/>
    <x v="1"/>
    <x v="20"/>
    <n v="2"/>
    <m/>
    <n v="141.1"/>
    <n v="24.900000000000002"/>
  </r>
  <r>
    <s v="Backend - OM"/>
    <x v="2"/>
    <s v="Improvement"/>
    <s v="OM-1121"/>
    <s v="Daily Supply Chain / Warehouse Issues"/>
    <s v="Improvement"/>
    <x v="0"/>
    <d v="2016-01-26T11:00:00"/>
    <x v="10"/>
    <x v="1"/>
    <x v="20"/>
    <n v="3"/>
    <m/>
    <n v="141.1"/>
    <n v="24.900000000000002"/>
  </r>
  <r>
    <s v="Backend - OM"/>
    <x v="2"/>
    <s v="Bug"/>
    <s v="OM-1123"/>
    <s v="TRacking # is showing &quot;excel formula&quot;"/>
    <s v="Bug"/>
    <x v="1"/>
    <d v="2015-12-01T16:37:00"/>
    <x v="9"/>
    <x v="0"/>
    <x v="9"/>
    <n v="2"/>
    <m/>
    <n v="147.9"/>
    <n v="26.100000000000005"/>
  </r>
  <r>
    <s v="Backend - OM"/>
    <x v="1"/>
    <s v="Improvement"/>
    <s v="OM-1175"/>
    <s v="CL order changed to backorder, only one went into PO again, another can not find anywhere"/>
    <s v="Improvement"/>
    <x v="0"/>
    <d v="2015-12-01T15:53:00"/>
    <x v="9"/>
    <x v="0"/>
    <x v="8"/>
    <n v="1"/>
    <m/>
    <n v="147.9"/>
    <n v="26.100000000000005"/>
  </r>
  <r>
    <s v="Backend - OM"/>
    <x v="2"/>
    <s v="Bug"/>
    <s v="OM-1242"/>
    <s v="Brand descriptions not appearing on live"/>
    <s v="Bug"/>
    <x v="1"/>
    <d v="2016-01-14T14:16:00"/>
    <x v="10"/>
    <x v="1"/>
    <x v="29"/>
    <n v="1"/>
    <m/>
    <n v="141.1"/>
    <n v="24.900000000000002"/>
  </r>
  <r>
    <s v="Backend - OM"/>
    <x v="2"/>
    <s v="Bug"/>
    <s v="OM-1242"/>
    <s v="Brand descriptions not appearing on live"/>
    <s v="Bug"/>
    <x v="1"/>
    <d v="2016-01-15T15:42:00"/>
    <x v="10"/>
    <x v="1"/>
    <x v="29"/>
    <n v="2"/>
    <m/>
    <n v="141.1"/>
    <n v="24.900000000000002"/>
  </r>
  <r>
    <s v="Backend - OM"/>
    <x v="1"/>
    <s v="Bug"/>
    <s v="OM-1242"/>
    <s v="Brand descriptions not appearing on live"/>
    <s v="Bug"/>
    <x v="1"/>
    <d v="2016-01-18T12:48:00"/>
    <x v="10"/>
    <x v="1"/>
    <x v="26"/>
    <n v="1"/>
    <m/>
    <n v="141.1"/>
    <n v="24.900000000000002"/>
  </r>
  <r>
    <s v="Backend - OM"/>
    <x v="1"/>
    <s v="Bug"/>
    <s v="OM-1242"/>
    <s v="Brand descriptions not appearing on live"/>
    <s v="Bug"/>
    <x v="1"/>
    <d v="2016-01-19T07:37:00"/>
    <x v="10"/>
    <x v="1"/>
    <x v="26"/>
    <n v="8"/>
    <m/>
    <n v="141.1"/>
    <n v="24.900000000000002"/>
  </r>
  <r>
    <s v="Backend - OM"/>
    <x v="1"/>
    <s v="Bug"/>
    <s v="OM-1242"/>
    <s v="Brand descriptions not appearing on live"/>
    <s v="Bug"/>
    <x v="1"/>
    <d v="2016-01-20T07:37:00"/>
    <x v="10"/>
    <x v="1"/>
    <x v="26"/>
    <n v="8"/>
    <m/>
    <n v="141.1"/>
    <n v="24.900000000000002"/>
  </r>
  <r>
    <s v="Backend - OM"/>
    <x v="1"/>
    <s v="Bugs"/>
    <s v="OM-1291"/>
    <s v="OM-545&gt; view page"/>
    <s v="Bugs"/>
    <x v="1"/>
    <d v="2016-01-07T18:29:00"/>
    <x v="10"/>
    <x v="1"/>
    <x v="8"/>
    <n v="1"/>
    <m/>
    <n v="141.1"/>
    <n v="24.900000000000002"/>
  </r>
  <r>
    <s v="Backend - OM"/>
    <x v="1"/>
    <s v="Bugs"/>
    <s v="OM-1291"/>
    <s v="OM-545&gt; view page"/>
    <s v="Bugs"/>
    <x v="1"/>
    <d v="2016-01-08T16:16:00"/>
    <x v="10"/>
    <x v="1"/>
    <x v="8"/>
    <n v="1"/>
    <m/>
    <n v="141.1"/>
    <n v="24.900000000000002"/>
  </r>
  <r>
    <s v="Backend - OM"/>
    <x v="1"/>
    <s v="Bugs"/>
    <s v="OM-1292"/>
    <s v="OM-987&gt; cannot submit shipment"/>
    <s v="Bugs"/>
    <x v="1"/>
    <d v="2015-12-17T18:28:00"/>
    <x v="9"/>
    <x v="0"/>
    <x v="8"/>
    <n v="2"/>
    <m/>
    <n v="147.9"/>
    <n v="26.100000000000005"/>
  </r>
  <r>
    <s v="Backend - OM"/>
    <x v="2"/>
    <s v="Task"/>
    <s v="OM-1313"/>
    <s v="No Sale Brand"/>
    <s v="Task"/>
    <x v="0"/>
    <d v="2015-12-28T09:51:00"/>
    <x v="9"/>
    <x v="0"/>
    <x v="27"/>
    <n v="4"/>
    <m/>
    <n v="147.9"/>
    <n v="26.100000000000005"/>
  </r>
  <r>
    <s v="Backend - OM"/>
    <x v="2"/>
    <s v="Improvement"/>
    <s v="OM-1326"/>
    <s v="Price Changes 2015/12/16"/>
    <s v="Improvement"/>
    <x v="0"/>
    <d v="2015-12-16T09:47:00"/>
    <x v="9"/>
    <x v="0"/>
    <x v="27"/>
    <n v="8"/>
    <m/>
    <n v="147.9"/>
    <n v="26.100000000000005"/>
  </r>
  <r>
    <s v="Backend - OM"/>
    <x v="2"/>
    <s v="Task"/>
    <s v="OM-1349"/>
    <s v="Luxottica Data Crawl- New password"/>
    <s v="Task"/>
    <x v="0"/>
    <d v="2016-01-04T12:14:00"/>
    <x v="10"/>
    <x v="1"/>
    <x v="16"/>
    <n v="1"/>
    <m/>
    <n v="141.1"/>
    <n v="24.900000000000002"/>
  </r>
  <r>
    <s v="Backend - OM"/>
    <x v="2"/>
    <s v="Task"/>
    <s v="OM-1349"/>
    <s v="Luxottica Data Crawl- New password"/>
    <s v="Task"/>
    <x v="0"/>
    <d v="2016-01-04T16:13:00"/>
    <x v="10"/>
    <x v="1"/>
    <x v="16"/>
    <n v="1"/>
    <m/>
    <n v="141.1"/>
    <n v="24.900000000000002"/>
  </r>
  <r>
    <s v="Backend - OM"/>
    <x v="2"/>
    <s v="Task"/>
    <s v="OM-1368"/>
    <s v="Price Changes 2015/12/23"/>
    <s v="Task"/>
    <x v="0"/>
    <d v="2015-12-23T11:07:00"/>
    <x v="9"/>
    <x v="0"/>
    <x v="27"/>
    <n v="4"/>
    <m/>
    <n v="147.9"/>
    <n v="26.100000000000005"/>
  </r>
  <r>
    <s v="Backend - OM"/>
    <x v="2"/>
    <s v="Task"/>
    <s v="OM-1376"/>
    <s v="Add TRIGGER For SCAN.sbg2012"/>
    <s v="Task"/>
    <x v="0"/>
    <d v="2016-01-13T18:09:00"/>
    <x v="10"/>
    <x v="1"/>
    <x v="9"/>
    <n v="2"/>
    <m/>
    <n v="141.1"/>
    <n v="24.900000000000002"/>
  </r>
  <r>
    <s v="Backend - OM"/>
    <x v="2"/>
    <s v="New Feature"/>
    <s v="OM-1394"/>
    <s v="Safilo Smile Project"/>
    <s v="New Feature"/>
    <x v="0"/>
    <d v="2015-12-24T12:16:00"/>
    <x v="9"/>
    <x v="0"/>
    <x v="16"/>
    <n v="4"/>
    <m/>
    <n v="147.9"/>
    <n v="26.100000000000005"/>
  </r>
  <r>
    <s v="Backend - OM"/>
    <x v="2"/>
    <s v="Task"/>
    <s v="OM-1397"/>
    <s v="Data Crawl Test"/>
    <s v="Task"/>
    <x v="0"/>
    <d v="2016-01-25T15:15:00"/>
    <x v="10"/>
    <x v="1"/>
    <x v="16"/>
    <n v="2"/>
    <m/>
    <n v="141.1"/>
    <n v="24.900000000000002"/>
  </r>
  <r>
    <s v="Backend - OM"/>
    <x v="2"/>
    <s v="Task"/>
    <s v="OM-1400"/>
    <s v="Price changes 2015/12/2"/>
    <s v="Task"/>
    <x v="0"/>
    <d v="2015-12-02T17:56:00"/>
    <x v="9"/>
    <x v="0"/>
    <x v="27"/>
    <n v="4"/>
    <m/>
    <n v="147.9"/>
    <n v="26.100000000000005"/>
  </r>
  <r>
    <s v="Backend - OM"/>
    <x v="1"/>
    <s v="Task"/>
    <s v="OM-1400"/>
    <s v="Price changes 2015/12/2"/>
    <s v="Task"/>
    <x v="0"/>
    <d v="2015-12-03T11:39:00"/>
    <x v="9"/>
    <x v="0"/>
    <x v="1"/>
    <n v="1"/>
    <s v="Change Data in Algolia search"/>
    <n v="147.9"/>
    <n v="26.100000000000005"/>
  </r>
  <r>
    <s v="Backend - OM"/>
    <x v="2"/>
    <s v="Task"/>
    <s v="OM-1411"/>
    <s v="please help change status to &quot;stock in transition&quot; in Shunter(lab)(Ship)_20151221_1"/>
    <s v="Task"/>
    <x v="0"/>
    <d v="2015-12-21T16:55:00"/>
    <x v="9"/>
    <x v="0"/>
    <x v="9"/>
    <n v="1"/>
    <m/>
    <n v="147.9"/>
    <n v="26.100000000000005"/>
  </r>
  <r>
    <s v="Backend - OM"/>
    <x v="2"/>
    <s v="Task"/>
    <s v="OM-1432"/>
    <s v="Contact Lenses orders issue--Payment"/>
    <s v="Task"/>
    <x v="0"/>
    <d v="2016-01-14T17:18:00"/>
    <x v="10"/>
    <x v="1"/>
    <x v="9"/>
    <n v="1"/>
    <m/>
    <n v="141.1"/>
    <n v="24.900000000000002"/>
  </r>
  <r>
    <s v="Backend - OM"/>
    <x v="2"/>
    <s v="Task"/>
    <s v="OM-1432"/>
    <s v="Contact Lenses orders issue--Payment"/>
    <s v="Task"/>
    <x v="0"/>
    <d v="2016-01-14T18:01:00"/>
    <x v="10"/>
    <x v="1"/>
    <x v="20"/>
    <n v="1"/>
    <m/>
    <n v="141.1"/>
    <n v="24.900000000000002"/>
  </r>
  <r>
    <s v="Backend - OM"/>
    <x v="2"/>
    <s v="Task"/>
    <s v="OM-1432"/>
    <s v="Contact Lenses orders issue--Payment"/>
    <s v="Task"/>
    <x v="0"/>
    <d v="2016-01-19T11:00:00"/>
    <x v="10"/>
    <x v="1"/>
    <x v="20"/>
    <n v="3"/>
    <m/>
    <n v="141.1"/>
    <n v="24.900000000000002"/>
  </r>
  <r>
    <s v="Backend - OM"/>
    <x v="2"/>
    <s v="Task"/>
    <s v="OM-1432"/>
    <s v="Contact Lenses orders issue--Payment"/>
    <s v="Task"/>
    <x v="0"/>
    <d v="2016-01-20T11:00:00"/>
    <x v="10"/>
    <x v="1"/>
    <x v="20"/>
    <n v="3"/>
    <m/>
    <n v="141.1"/>
    <n v="24.900000000000002"/>
  </r>
  <r>
    <s v="Backend - OM"/>
    <x v="2"/>
    <s v="Task"/>
    <s v="OM-1446"/>
    <s v="cx cannot download invoice, item is shipped, please change status to shipped, thanks"/>
    <s v="Task"/>
    <x v="0"/>
    <d v="2015-12-15T18:56:00"/>
    <x v="9"/>
    <x v="0"/>
    <x v="9"/>
    <n v="2"/>
    <m/>
    <n v="147.9"/>
    <n v="26.100000000000005"/>
  </r>
  <r>
    <s v="Backend - OM"/>
    <x v="2"/>
    <s v="Task"/>
    <s v="OM-1446"/>
    <s v="cx cannot download invoice, item is shipped, please change status to shipped, thanks"/>
    <s v="Task"/>
    <x v="0"/>
    <d v="2015-12-17T18:46:00"/>
    <x v="9"/>
    <x v="0"/>
    <x v="20"/>
    <n v="8"/>
    <m/>
    <n v="147.9"/>
    <n v="26.100000000000005"/>
  </r>
  <r>
    <s v="Backend - OM"/>
    <x v="2"/>
    <s v="Task"/>
    <s v="OM-1446"/>
    <s v="cx cannot download invoice, item is shipped, please change status to shipped, thanks"/>
    <s v="Task"/>
    <x v="0"/>
    <d v="2015-12-21T18:17:00"/>
    <x v="9"/>
    <x v="0"/>
    <x v="20"/>
    <n v="3"/>
    <m/>
    <n v="147.9"/>
    <n v="26.100000000000005"/>
  </r>
  <r>
    <s v="Backend - OM"/>
    <x v="2"/>
    <s v="Improvement"/>
    <s v="OM-1458"/>
    <s v="Data Crawl Improvement"/>
    <s v="Improvement"/>
    <x v="0"/>
    <d v="2016-01-25T17:33:00"/>
    <x v="10"/>
    <x v="1"/>
    <x v="16"/>
    <n v="6"/>
    <m/>
    <n v="141.1"/>
    <n v="24.900000000000002"/>
  </r>
  <r>
    <s v="Backend - OM"/>
    <x v="2"/>
    <s v="Improvement"/>
    <s v="OM-1458"/>
    <s v="Data Crawl Improvement"/>
    <s v="Improvement"/>
    <x v="0"/>
    <d v="2016-01-28T17:34:00"/>
    <x v="10"/>
    <x v="1"/>
    <x v="16"/>
    <n v="8"/>
    <m/>
    <n v="141.1"/>
    <n v="24.900000000000002"/>
  </r>
  <r>
    <s v="Backend - OM"/>
    <x v="2"/>
    <s v="Improvement"/>
    <s v="OM-1458"/>
    <s v="Data Crawl Improvement"/>
    <s v="Improvement"/>
    <x v="0"/>
    <d v="2016-01-29T17:34:00"/>
    <x v="10"/>
    <x v="1"/>
    <x v="16"/>
    <n v="8"/>
    <m/>
    <n v="141.1"/>
    <n v="24.900000000000002"/>
  </r>
  <r>
    <s v="Backend - OM"/>
    <x v="2"/>
    <s v="New Feature"/>
    <s v="OM-1461"/>
    <s v="Availability Batch Update by Size"/>
    <s v="New Feature"/>
    <x v="0"/>
    <d v="2016-01-26T11:07:00"/>
    <x v="10"/>
    <x v="1"/>
    <x v="27"/>
    <n v="8"/>
    <m/>
    <n v="141.1"/>
    <n v="24.900000000000002"/>
  </r>
  <r>
    <s v="Backend - OM"/>
    <x v="1"/>
    <s v="Improvement"/>
    <s v="OM-1481"/>
    <s v="Release the reserved stock when PO moved from WHPO to Supplier PO"/>
    <s v="Improvement"/>
    <x v="0"/>
    <d v="2015-12-07T17:04:00"/>
    <x v="9"/>
    <x v="0"/>
    <x v="8"/>
    <n v="2"/>
    <m/>
    <n v="147.9"/>
    <n v="26.100000000000005"/>
  </r>
  <r>
    <s v="Backend - OM"/>
    <x v="2"/>
    <s v="Improvement"/>
    <s v="OM-1481"/>
    <s v="Release the reserved stock when PO moved from WHPO to Supplier PO"/>
    <s v="Improvement"/>
    <x v="0"/>
    <d v="2015-12-24T12:16:00"/>
    <x v="9"/>
    <x v="0"/>
    <x v="16"/>
    <n v="4"/>
    <m/>
    <n v="147.9"/>
    <n v="26.100000000000005"/>
  </r>
  <r>
    <s v="Backend - OM"/>
    <x v="2"/>
    <s v="Improvement"/>
    <s v="OM-1481"/>
    <s v="Release the reserved stock when PO moved from WHPO to Supplier PO"/>
    <s v="Improvement"/>
    <x v="0"/>
    <d v="2015-12-25T12:51:00"/>
    <x v="9"/>
    <x v="0"/>
    <x v="16"/>
    <n v="2"/>
    <m/>
    <n v="147.9"/>
    <n v="26.100000000000005"/>
  </r>
  <r>
    <s v="Backend - OM"/>
    <x v="2"/>
    <s v="Improvement"/>
    <s v="OM-1481"/>
    <s v="Release the reserved stock when PO moved from WHPO to Supplier PO"/>
    <s v="Improvement"/>
    <x v="0"/>
    <d v="2015-12-28T09:59:00"/>
    <x v="9"/>
    <x v="0"/>
    <x v="16"/>
    <n v="6"/>
    <m/>
    <n v="147.9"/>
    <n v="26.100000000000005"/>
  </r>
  <r>
    <s v="Backend - OM"/>
    <x v="2"/>
    <s v="Improvement"/>
    <s v="OM-1481"/>
    <s v="Release the reserved stock when PO moved from WHPO to Supplier PO"/>
    <s v="Improvement"/>
    <x v="0"/>
    <d v="2015-12-29T10:04:00"/>
    <x v="9"/>
    <x v="0"/>
    <x v="16"/>
    <n v="7"/>
    <m/>
    <n v="147.9"/>
    <n v="26.100000000000005"/>
  </r>
  <r>
    <s v="Backend - OM"/>
    <x v="2"/>
    <s v="Improvement"/>
    <s v="OM-1481"/>
    <s v="Release the reserved stock when PO moved from WHPO to Supplier PO"/>
    <s v="Improvement"/>
    <x v="0"/>
    <d v="2015-12-30T10:04:00"/>
    <x v="9"/>
    <x v="0"/>
    <x v="16"/>
    <n v="3"/>
    <m/>
    <n v="147.9"/>
    <n v="26.100000000000005"/>
  </r>
  <r>
    <s v="Backend - OM"/>
    <x v="2"/>
    <s v="Improvement"/>
    <s v="OM-1481"/>
    <s v="Release the reserved stock when PO moved from WHPO to Supplier PO"/>
    <s v="Improvement"/>
    <x v="0"/>
    <d v="2015-12-31T10:11:00"/>
    <x v="9"/>
    <x v="0"/>
    <x v="16"/>
    <n v="5"/>
    <m/>
    <n v="147.9"/>
    <n v="26.100000000000005"/>
  </r>
  <r>
    <s v="Backend - OM"/>
    <x v="1"/>
    <s v="Improvement"/>
    <s v="OM-1481"/>
    <s v="Release the reserved stock when PO moved from WHPO to Supplier PO"/>
    <s v="Improvement"/>
    <x v="0"/>
    <d v="2016-01-06T18:04:00"/>
    <x v="10"/>
    <x v="1"/>
    <x v="8"/>
    <n v="3"/>
    <m/>
    <n v="141.1"/>
    <n v="24.900000000000002"/>
  </r>
  <r>
    <s v="Backend - OM"/>
    <x v="2"/>
    <s v="Improvement"/>
    <s v="OM-1481"/>
    <s v="Release the reserved stock when PO moved from WHPO to Supplier PO"/>
    <s v="Improvement"/>
    <x v="0"/>
    <d v="2016-01-07T17:46:00"/>
    <x v="10"/>
    <x v="1"/>
    <x v="16"/>
    <n v="0.5"/>
    <m/>
    <n v="141.1"/>
    <n v="24.900000000000002"/>
  </r>
  <r>
    <s v="Backend - OM"/>
    <x v="1"/>
    <s v="Improvement"/>
    <s v="OM-1481"/>
    <s v="Release the reserved stock when PO moved from WHPO to Supplier PO"/>
    <s v="Improvement"/>
    <x v="0"/>
    <d v="2016-01-07T18:29:00"/>
    <x v="10"/>
    <x v="1"/>
    <x v="8"/>
    <n v="1"/>
    <m/>
    <n v="141.1"/>
    <n v="24.900000000000002"/>
  </r>
  <r>
    <s v="Backend - OM"/>
    <x v="1"/>
    <s v="Improvement"/>
    <s v="OM-1481"/>
    <s v="Release the reserved stock when PO moved from WHPO to Supplier PO"/>
    <s v="Improvement"/>
    <x v="0"/>
    <d v="2016-01-12T16:28:00"/>
    <x v="10"/>
    <x v="1"/>
    <x v="8"/>
    <n v="1"/>
    <m/>
    <n v="141.1"/>
    <n v="24.900000000000002"/>
  </r>
  <r>
    <s v="Backend - OM"/>
    <x v="2"/>
    <s v="Task"/>
    <s v="OM-1486"/>
    <s v="after created RMA, RMA /GE order is not linked to G order"/>
    <s v="Task"/>
    <x v="0"/>
    <d v="2015-12-22T18:04:00"/>
    <x v="9"/>
    <x v="0"/>
    <x v="20"/>
    <n v="4"/>
    <m/>
    <n v="147.9"/>
    <n v="26.100000000000005"/>
  </r>
  <r>
    <s v="Backend - OM"/>
    <x v="2"/>
    <s v="Task"/>
    <s v="OM-1486"/>
    <s v="after created RMA, RMA /GE order is not linked to G order"/>
    <s v="Task"/>
    <x v="0"/>
    <d v="2015-12-25T11:00:00"/>
    <x v="9"/>
    <x v="0"/>
    <x v="20"/>
    <n v="3"/>
    <m/>
    <n v="147.9"/>
    <n v="26.100000000000005"/>
  </r>
  <r>
    <s v="Backend - OM"/>
    <x v="2"/>
    <s v="Task"/>
    <s v="OM-1520"/>
    <s v="US Price List"/>
    <s v="Task"/>
    <x v="0"/>
    <d v="2015-12-18T16:39:00"/>
    <x v="9"/>
    <x v="0"/>
    <x v="27"/>
    <n v="2"/>
    <m/>
    <n v="147.9"/>
    <n v="26.100000000000005"/>
  </r>
  <r>
    <s v="Backend - OM"/>
    <x v="2"/>
    <s v="Task"/>
    <s v="OM-1525"/>
    <s v="check if gift card for VD0214833603GF has been sent or not"/>
    <s v="Task"/>
    <x v="0"/>
    <d v="2015-12-25T17:40:00"/>
    <x v="9"/>
    <x v="0"/>
    <x v="9"/>
    <n v="0.5"/>
    <m/>
    <n v="147.9"/>
    <n v="26.100000000000005"/>
  </r>
  <r>
    <s v="Backend - OM"/>
    <x v="2"/>
    <s v="Task"/>
    <s v="OM-1529"/>
    <s v="OM Discount Calculation Error"/>
    <s v="Task"/>
    <x v="0"/>
    <d v="2016-01-05T14:52:00"/>
    <x v="10"/>
    <x v="1"/>
    <x v="20"/>
    <n v="8"/>
    <m/>
    <n v="141.1"/>
    <n v="24.900000000000002"/>
  </r>
  <r>
    <s v="Backend - OM"/>
    <x v="1"/>
    <s v="Improvement"/>
    <s v="OM-1540"/>
    <s v="Export Data for Price Rule List"/>
    <s v="Improvement"/>
    <x v="0"/>
    <d v="2015-12-02T16:36:00"/>
    <x v="9"/>
    <x v="0"/>
    <x v="8"/>
    <n v="2"/>
    <m/>
    <n v="147.9"/>
    <n v="26.100000000000005"/>
  </r>
  <r>
    <s v="Backend - OM"/>
    <x v="1"/>
    <s v="Improvement"/>
    <s v="OM-1540"/>
    <s v="Export Data for Price Rule List"/>
    <s v="Improvement"/>
    <x v="0"/>
    <d v="2015-12-08T15:38:00"/>
    <x v="9"/>
    <x v="0"/>
    <x v="8"/>
    <n v="1"/>
    <m/>
    <n v="147.9"/>
    <n v="26.100000000000005"/>
  </r>
  <r>
    <s v="Backend - OM"/>
    <x v="1"/>
    <s v="Task"/>
    <s v="OM-1553"/>
    <s v="Don't reserve the stock if the order code and order item id are Null"/>
    <s v="Task"/>
    <x v="0"/>
    <d v="2015-12-14T17:17:00"/>
    <x v="9"/>
    <x v="0"/>
    <x v="8"/>
    <n v="3"/>
    <m/>
    <n v="147.9"/>
    <n v="26.100000000000005"/>
  </r>
  <r>
    <s v="Backend - OM"/>
    <x v="1"/>
    <s v="Task"/>
    <s v="OM-1556"/>
    <s v="Link VD0214565103GV to membership account"/>
    <s v="Task"/>
    <x v="0"/>
    <d v="2015-12-21T15:51:00"/>
    <x v="9"/>
    <x v="0"/>
    <x v="8"/>
    <n v="1"/>
    <m/>
    <n v="147.9"/>
    <n v="26.100000000000005"/>
  </r>
  <r>
    <s v="Backend - OM"/>
    <x v="2"/>
    <s v="Task"/>
    <s v="OM-1556"/>
    <s v="Link VD0214565103GV to membership account"/>
    <s v="Task"/>
    <x v="0"/>
    <d v="2015-12-21T17:34:00"/>
    <x v="9"/>
    <x v="0"/>
    <x v="9"/>
    <n v="2"/>
    <m/>
    <n v="147.9"/>
    <n v="26.100000000000005"/>
  </r>
  <r>
    <s v="Backend - OM"/>
    <x v="2"/>
    <s v="Improvement"/>
    <s v="OM-1563"/>
    <s v="Daily tasks"/>
    <s v="Improvement"/>
    <x v="0"/>
    <d v="2015-12-02T18:36:00"/>
    <x v="9"/>
    <x v="0"/>
    <x v="9"/>
    <n v="1"/>
    <m/>
    <n v="147.9"/>
    <n v="26.100000000000005"/>
  </r>
  <r>
    <s v="Backend - OM"/>
    <x v="2"/>
    <s v="Improvement"/>
    <s v="OM-1563"/>
    <s v="Daily tasks"/>
    <s v="Improvement"/>
    <x v="0"/>
    <d v="2015-12-03T18:44:00"/>
    <x v="9"/>
    <x v="0"/>
    <x v="9"/>
    <n v="3"/>
    <s v="meeting &amp; deal with other things"/>
    <n v="147.9"/>
    <n v="26.100000000000005"/>
  </r>
  <r>
    <s v="Backend - OM"/>
    <x v="2"/>
    <s v="Improvement"/>
    <s v="OM-1563"/>
    <s v="Daily tasks"/>
    <s v="Improvement"/>
    <x v="0"/>
    <d v="2015-12-04T18:58:00"/>
    <x v="9"/>
    <x v="0"/>
    <x v="9"/>
    <n v="1"/>
    <m/>
    <n v="147.9"/>
    <n v="26.100000000000005"/>
  </r>
  <r>
    <s v="Backend - OM"/>
    <x v="2"/>
    <s v="Improvement"/>
    <s v="OM-1563"/>
    <s v="Daily tasks"/>
    <s v="Improvement"/>
    <x v="0"/>
    <d v="2015-12-07T19:59:00"/>
    <x v="9"/>
    <x v="0"/>
    <x v="9"/>
    <n v="2.5"/>
    <s v="tidy the weekly list, compare the release files"/>
    <n v="147.9"/>
    <n v="26.100000000000005"/>
  </r>
  <r>
    <s v="Backend - OM"/>
    <x v="2"/>
    <s v="Improvement"/>
    <s v="OM-1563"/>
    <s v="Daily tasks"/>
    <s v="Improvement"/>
    <x v="0"/>
    <d v="2015-12-08T21:16:00"/>
    <x v="9"/>
    <x v="0"/>
    <x v="9"/>
    <n v="2"/>
    <s v="1. add scan system account for HK team 2. deal with the printer issue 3. help crystal to check the order ND0213232103G"/>
    <n v="147.9"/>
    <n v="26.100000000000005"/>
  </r>
  <r>
    <s v="Backend - OM"/>
    <x v="2"/>
    <s v="Improvement"/>
    <s v="OM-1563"/>
    <s v="Daily tasks"/>
    <s v="Improvement"/>
    <x v="0"/>
    <d v="2015-12-09T18:37:00"/>
    <x v="9"/>
    <x v="0"/>
    <x v="9"/>
    <n v="2"/>
    <m/>
    <n v="147.9"/>
    <n v="26.100000000000005"/>
  </r>
  <r>
    <s v="Backend - OM"/>
    <x v="2"/>
    <s v="Improvement"/>
    <s v="OM-1563"/>
    <s v="Daily tasks"/>
    <s v="Improvement"/>
    <x v="0"/>
    <d v="2015-12-11T10:29:00"/>
    <x v="9"/>
    <x v="0"/>
    <x v="9"/>
    <n v="1.5"/>
    <m/>
    <n v="147.9"/>
    <n v="26.100000000000005"/>
  </r>
  <r>
    <s v="Backend - OM"/>
    <x v="2"/>
    <s v="Task"/>
    <s v="OM-1566"/>
    <s v="Luxottica Pricing mode Clean"/>
    <s v="Task"/>
    <x v="0"/>
    <d v="2015-12-21T15:51:00"/>
    <x v="9"/>
    <x v="0"/>
    <x v="27"/>
    <n v="4"/>
    <m/>
    <n v="147.9"/>
    <n v="26.100000000000005"/>
  </r>
  <r>
    <s v="Backend - OM"/>
    <x v="2"/>
    <s v="Task"/>
    <s v="OM-1633"/>
    <s v="Link this order to membership account"/>
    <s v="Task"/>
    <x v="0"/>
    <d v="2016-01-21T17:53:00"/>
    <x v="10"/>
    <x v="1"/>
    <x v="9"/>
    <n v="0.5"/>
    <m/>
    <n v="141.1"/>
    <n v="24.900000000000002"/>
  </r>
  <r>
    <s v="Backend - OM"/>
    <x v="2"/>
    <s v="Task"/>
    <s v="OM-1647"/>
    <s v="Data Rollback"/>
    <s v="Task"/>
    <x v="0"/>
    <d v="2016-01-29T17:49:00"/>
    <x v="10"/>
    <x v="1"/>
    <x v="27"/>
    <n v="2"/>
    <m/>
    <n v="141.1"/>
    <n v="24.900000000000002"/>
  </r>
  <r>
    <s v="Backend - OM"/>
    <x v="2"/>
    <s v="Task"/>
    <s v="OM-1654"/>
    <s v="slow query optimization"/>
    <s v="Task"/>
    <x v="0"/>
    <d v="2016-01-12T18:13:00"/>
    <x v="10"/>
    <x v="1"/>
    <x v="9"/>
    <n v="2"/>
    <s v="coding and test"/>
    <n v="141.1"/>
    <n v="24.900000000000002"/>
  </r>
  <r>
    <s v="Backend - OM"/>
    <x v="2"/>
    <s v="Task"/>
    <s v="OM-1654"/>
    <s v="slow query optimization"/>
    <s v="Task"/>
    <x v="0"/>
    <d v="2016-01-19T12:00:00"/>
    <x v="10"/>
    <x v="1"/>
    <x v="9"/>
    <n v="1"/>
    <m/>
    <n v="141.1"/>
    <n v="24.900000000000002"/>
  </r>
  <r>
    <s v="Backend - OM"/>
    <x v="1"/>
    <s v="Task"/>
    <s v="OM-1654"/>
    <s v="slow query optimization"/>
    <s v="Task"/>
    <x v="0"/>
    <d v="2016-01-19T12:10:00"/>
    <x v="10"/>
    <x v="1"/>
    <x v="8"/>
    <n v="2"/>
    <m/>
    <n v="141.1"/>
    <n v="24.900000000000002"/>
  </r>
  <r>
    <s v="Backend - OM"/>
    <x v="2"/>
    <s v="Task"/>
    <s v="OM-1734"/>
    <s v="export the stock list at the end of nov"/>
    <s v="Task"/>
    <x v="0"/>
    <d v="2015-12-10T18:47:00"/>
    <x v="9"/>
    <x v="0"/>
    <x v="9"/>
    <n v="1"/>
    <m/>
    <n v="147.9"/>
    <n v="26.100000000000005"/>
  </r>
  <r>
    <s v="Backend - OM"/>
    <x v="2"/>
    <s v="Improvement"/>
    <s v="OM-1743"/>
    <s v="Please change the status to shipped"/>
    <s v="Improvement"/>
    <x v="0"/>
    <d v="2015-12-01T15:35:00"/>
    <x v="9"/>
    <x v="0"/>
    <x v="9"/>
    <n v="1.5"/>
    <s v="check the bug reason"/>
    <n v="147.9"/>
    <n v="26.100000000000005"/>
  </r>
  <r>
    <s v="Backend - OM"/>
    <x v="2"/>
    <s v="Improvement"/>
    <s v="OM-1743"/>
    <s v="Please change the status to shipped"/>
    <s v="Improvement"/>
    <x v="0"/>
    <d v="2015-12-02T18:05:00"/>
    <x v="9"/>
    <x v="0"/>
    <x v="20"/>
    <n v="2"/>
    <m/>
    <n v="147.9"/>
    <n v="26.100000000000005"/>
  </r>
  <r>
    <s v="Backend - OM"/>
    <x v="2"/>
    <s v="Improvement"/>
    <s v="OM-1743"/>
    <s v="Please change the status to shipped"/>
    <s v="Improvement"/>
    <x v="0"/>
    <d v="2015-12-03T18:06:00"/>
    <x v="9"/>
    <x v="0"/>
    <x v="20"/>
    <n v="1"/>
    <m/>
    <n v="147.9"/>
    <n v="26.100000000000005"/>
  </r>
  <r>
    <s v="Backend - OM"/>
    <x v="2"/>
    <s v="Improvement"/>
    <s v="OM-1743"/>
    <s v="Please change the status to shipped"/>
    <s v="Improvement"/>
    <x v="0"/>
    <d v="2015-12-10T11:00:00"/>
    <x v="9"/>
    <x v="0"/>
    <x v="20"/>
    <n v="8"/>
    <m/>
    <n v="147.9"/>
    <n v="26.100000000000005"/>
  </r>
  <r>
    <s v="Backend - OM"/>
    <x v="2"/>
    <s v="Task"/>
    <s v="OM-1744"/>
    <s v="Price Changes 2016/1/6"/>
    <s v="Task"/>
    <x v="0"/>
    <d v="2016-01-06T09:43:00"/>
    <x v="10"/>
    <x v="1"/>
    <x v="27"/>
    <n v="4"/>
    <m/>
    <n v="141.1"/>
    <n v="24.900000000000002"/>
  </r>
  <r>
    <s v="Backend - OM"/>
    <x v="2"/>
    <s v="Task"/>
    <s v="OM-1745"/>
    <s v="OM SQL optimization"/>
    <s v="Task"/>
    <x v="0"/>
    <d v="2015-12-28T16:40:00"/>
    <x v="9"/>
    <x v="0"/>
    <x v="9"/>
    <n v="1"/>
    <m/>
    <n v="147.9"/>
    <n v="26.100000000000005"/>
  </r>
  <r>
    <s v="Backend - OM"/>
    <x v="2"/>
    <s v="Task"/>
    <s v="OM-1773"/>
    <s v="change US0249882406G to shipped (Missing Shipping Country)"/>
    <s v="Task"/>
    <x v="0"/>
    <d v="2016-01-14T18:01:00"/>
    <x v="10"/>
    <x v="1"/>
    <x v="20"/>
    <n v="1"/>
    <m/>
    <n v="141.1"/>
    <n v="24.900000000000002"/>
  </r>
  <r>
    <s v="Backend - OM"/>
    <x v="2"/>
    <s v="Task"/>
    <s v="OM-1773"/>
    <s v="change US0249882406G to shipped (Missing Shipping Country)"/>
    <s v="Task"/>
    <x v="0"/>
    <d v="2016-01-20T10:44:00"/>
    <x v="10"/>
    <x v="1"/>
    <x v="20"/>
    <n v="2"/>
    <m/>
    <n v="141.1"/>
    <n v="24.900000000000002"/>
  </r>
  <r>
    <s v="Backend - OM"/>
    <x v="2"/>
    <s v="Task"/>
    <s v="OM-1773"/>
    <s v="change US0249882406G to shipped (Missing Shipping Country)"/>
    <s v="Task"/>
    <x v="0"/>
    <d v="2016-01-29T11:00:00"/>
    <x v="10"/>
    <x v="1"/>
    <x v="20"/>
    <n v="8"/>
    <m/>
    <n v="141.1"/>
    <n v="24.900000000000002"/>
  </r>
  <r>
    <s v="Backend - OM"/>
    <x v="2"/>
    <s v="New Feature"/>
    <s v="OM-1787"/>
    <s v="Clearance Automation"/>
    <s v="New Feature"/>
    <x v="0"/>
    <d v="2016-01-13T11:00:00"/>
    <x v="10"/>
    <x v="1"/>
    <x v="27"/>
    <n v="32"/>
    <m/>
    <n v="141.1"/>
    <n v="24.900000000000002"/>
  </r>
  <r>
    <s v="Backend - OM"/>
    <x v="2"/>
    <s v="New Feature"/>
    <s v="OM-1787"/>
    <s v="Clearance Automation"/>
    <s v="New Feature"/>
    <x v="0"/>
    <d v="2016-01-14T11:57:00"/>
    <x v="10"/>
    <x v="1"/>
    <x v="27"/>
    <n v="8"/>
    <m/>
    <n v="141.1"/>
    <n v="24.900000000000002"/>
  </r>
  <r>
    <s v="Backend - OM"/>
    <x v="2"/>
    <s v="Task"/>
    <s v="OM-1798"/>
    <s v="Batch Update- Size Level Rxable"/>
    <s v="Task"/>
    <x v="0"/>
    <d v="2016-01-07T10:27:00"/>
    <x v="10"/>
    <x v="1"/>
    <x v="27"/>
    <n v="4"/>
    <m/>
    <n v="141.1"/>
    <n v="24.900000000000002"/>
  </r>
  <r>
    <s v="Backend - OM"/>
    <x v="2"/>
    <s v="Task"/>
    <s v="OM-1798"/>
    <s v="Batch Update- Size Level Rxable"/>
    <s v="Task"/>
    <x v="0"/>
    <d v="2016-01-08T11:12:00"/>
    <x v="10"/>
    <x v="1"/>
    <x v="27"/>
    <n v="8"/>
    <m/>
    <n v="141.1"/>
    <n v="24.900000000000002"/>
  </r>
  <r>
    <s v="Backend - OM"/>
    <x v="1"/>
    <s v="Task"/>
    <s v="OM-1798"/>
    <s v="Batch Update- Size Level Rxable"/>
    <s v="Task"/>
    <x v="0"/>
    <d v="2016-01-18T15:20:00"/>
    <x v="10"/>
    <x v="1"/>
    <x v="30"/>
    <n v="3"/>
    <m/>
    <n v="141.1"/>
    <n v="24.900000000000002"/>
  </r>
  <r>
    <s v="Backend - OM"/>
    <x v="2"/>
    <s v="Task"/>
    <s v="OM-1830"/>
    <s v="Move SKU # 189138 back to available"/>
    <s v="Task"/>
    <x v="0"/>
    <d v="2015-12-16T17:20:00"/>
    <x v="9"/>
    <x v="0"/>
    <x v="9"/>
    <n v="0.5"/>
    <m/>
    <n v="147.9"/>
    <n v="26.100000000000005"/>
  </r>
  <r>
    <s v="Backend - OM"/>
    <x v="2"/>
    <s v="New Feature"/>
    <s v="OM-1831"/>
    <s v="New Phase Process (Eyewear)"/>
    <s v="New Feature"/>
    <x v="0"/>
    <d v="2015-12-02T10:49:00"/>
    <x v="9"/>
    <x v="0"/>
    <x v="27"/>
    <n v="96"/>
    <m/>
    <n v="147.9"/>
    <n v="26.100000000000005"/>
  </r>
  <r>
    <s v="Backend - OM"/>
    <x v="2"/>
    <s v="New Feature"/>
    <s v="OM-1831"/>
    <s v="New Phase Process (Eyewear)"/>
    <s v="New Feature"/>
    <x v="0"/>
    <d v="2015-12-08T12:48:00"/>
    <x v="9"/>
    <x v="0"/>
    <x v="27"/>
    <n v="10"/>
    <m/>
    <n v="147.9"/>
    <n v="26.100000000000005"/>
  </r>
  <r>
    <s v="Backend - OM"/>
    <x v="2"/>
    <s v="New Feature"/>
    <s v="OM-1831"/>
    <s v="New Phase Process (Eyewear)"/>
    <s v="New Feature"/>
    <x v="0"/>
    <d v="2016-01-01T11:15:00"/>
    <x v="10"/>
    <x v="1"/>
    <x v="27"/>
    <n v="80"/>
    <m/>
    <n v="141.1"/>
    <n v="24.900000000000002"/>
  </r>
  <r>
    <s v="Backend - OM"/>
    <x v="1"/>
    <s v="New Feature"/>
    <s v="OM-1831"/>
    <s v="New Phase Process (Eyewear)"/>
    <s v="New Feature"/>
    <x v="0"/>
    <d v="2016-01-07T18:14:00"/>
    <x v="10"/>
    <x v="1"/>
    <x v="23"/>
    <n v="2"/>
    <m/>
    <n v="141.1"/>
    <n v="24.900000000000002"/>
  </r>
  <r>
    <s v="Backend - OM"/>
    <x v="2"/>
    <s v="New Feature"/>
    <s v="OM-1831"/>
    <s v="New Phase Process (Eyewear)"/>
    <s v="New Feature"/>
    <x v="0"/>
    <d v="2016-01-08T12:51:00"/>
    <x v="10"/>
    <x v="1"/>
    <x v="27"/>
    <n v="12"/>
    <m/>
    <n v="141.1"/>
    <n v="24.900000000000002"/>
  </r>
  <r>
    <s v="Backend - OM"/>
    <x v="1"/>
    <s v="New Feature"/>
    <s v="OM-1831"/>
    <s v="New Phase Process (Eyewear)"/>
    <s v="New Feature"/>
    <x v="0"/>
    <d v="2016-01-13T12:55:00"/>
    <x v="10"/>
    <x v="1"/>
    <x v="23"/>
    <n v="3"/>
    <m/>
    <n v="141.1"/>
    <n v="24.900000000000002"/>
  </r>
  <r>
    <s v="Backend - OM"/>
    <x v="1"/>
    <s v="New Feature"/>
    <s v="OM-1831"/>
    <s v="New Phase Process (Eyewear)"/>
    <s v="New Feature"/>
    <x v="0"/>
    <d v="2016-01-18T18:39:00"/>
    <x v="10"/>
    <x v="1"/>
    <x v="23"/>
    <n v="2"/>
    <m/>
    <n v="141.1"/>
    <n v="24.900000000000002"/>
  </r>
  <r>
    <s v="Backend - OM"/>
    <x v="2"/>
    <s v="Task"/>
    <s v="OM-1838"/>
    <s v="order_tacking_email slow query optimization"/>
    <s v="Task"/>
    <x v="0"/>
    <d v="2016-01-07T11:34:00"/>
    <x v="10"/>
    <x v="1"/>
    <x v="9"/>
    <n v="1"/>
    <m/>
    <n v="141.1"/>
    <n v="24.900000000000002"/>
  </r>
  <r>
    <s v="Backend - OM"/>
    <x v="1"/>
    <s v="Task"/>
    <s v="OM-1838"/>
    <s v="order_tacking_email slow query optimization"/>
    <s v="Task"/>
    <x v="0"/>
    <d v="2016-01-11T18:12:00"/>
    <x v="10"/>
    <x v="1"/>
    <x v="8"/>
    <n v="3"/>
    <m/>
    <n v="141.1"/>
    <n v="24.900000000000002"/>
  </r>
  <r>
    <s v="Backend - OM"/>
    <x v="2"/>
    <s v="Task"/>
    <s v="OM-1838"/>
    <s v="order_tacking_email slow query optimization"/>
    <s v="Task"/>
    <x v="0"/>
    <d v="2016-01-11T18:40:00"/>
    <x v="10"/>
    <x v="1"/>
    <x v="9"/>
    <n v="1.5"/>
    <m/>
    <n v="141.1"/>
    <n v="24.900000000000002"/>
  </r>
  <r>
    <s v="Backend - OM"/>
    <x v="1"/>
    <s v="Task"/>
    <s v="OM-1838"/>
    <s v="order_tacking_email slow query optimization"/>
    <s v="Task"/>
    <x v="0"/>
    <d v="2016-01-12T17:08:00"/>
    <x v="10"/>
    <x v="1"/>
    <x v="8"/>
    <n v="1"/>
    <m/>
    <n v="141.1"/>
    <n v="24.900000000000002"/>
  </r>
  <r>
    <s v="Backend - OM"/>
    <x v="2"/>
    <s v="Task"/>
    <s v="OM-1849"/>
    <s v="OM Reserved Stock release"/>
    <s v="Task"/>
    <x v="0"/>
    <d v="2015-12-21T18:39:00"/>
    <x v="9"/>
    <x v="0"/>
    <x v="16"/>
    <n v="1"/>
    <m/>
    <n v="147.9"/>
    <n v="26.100000000000005"/>
  </r>
  <r>
    <s v="Backend - OM"/>
    <x v="2"/>
    <s v="Task"/>
    <s v="OM-1849"/>
    <s v="OM Reserved Stock release"/>
    <s v="Task"/>
    <x v="0"/>
    <d v="2015-12-22T10:16:00"/>
    <x v="9"/>
    <x v="0"/>
    <x v="16"/>
    <n v="3"/>
    <m/>
    <n v="147.9"/>
    <n v="26.100000000000005"/>
  </r>
  <r>
    <s v="Backend - OM"/>
    <x v="2"/>
    <s v="Task"/>
    <s v="OM-1885"/>
    <s v="Price Update 2015/12/9"/>
    <s v="Task"/>
    <x v="0"/>
    <d v="2015-12-09T09:48:00"/>
    <x v="9"/>
    <x v="0"/>
    <x v="27"/>
    <n v="4"/>
    <m/>
    <n v="147.9"/>
    <n v="26.100000000000005"/>
  </r>
  <r>
    <s v="Backend - OM"/>
    <x v="1"/>
    <s v="Task"/>
    <s v="OM-1885"/>
    <s v="Price Update 2015/12/9"/>
    <s v="Task"/>
    <x v="0"/>
    <d v="2015-12-10T12:21:00"/>
    <x v="9"/>
    <x v="0"/>
    <x v="1"/>
    <n v="1"/>
    <m/>
    <n v="147.9"/>
    <n v="26.100000000000005"/>
  </r>
  <r>
    <s v="Backend - OM"/>
    <x v="2"/>
    <s v="Task"/>
    <s v="OM-1898"/>
    <s v="Data Crawl on OM 93"/>
    <s v="Task"/>
    <x v="0"/>
    <d v="2015-12-11T10:03:00"/>
    <x v="9"/>
    <x v="0"/>
    <x v="16"/>
    <n v="2"/>
    <m/>
    <n v="147.9"/>
    <n v="26.100000000000005"/>
  </r>
  <r>
    <s v="Backend - OM"/>
    <x v="2"/>
    <s v="Bugs"/>
    <s v="OM-1917"/>
    <s v="OM-1481&gt; move from IT to HK didn't release IT stock"/>
    <s v="Bugs"/>
    <x v="1"/>
    <d v="2016-01-06T17:55:00"/>
    <x v="10"/>
    <x v="1"/>
    <x v="16"/>
    <n v="3"/>
    <m/>
    <n v="141.1"/>
    <n v="24.900000000000002"/>
  </r>
  <r>
    <s v="Backend - OM"/>
    <x v="1"/>
    <s v="Bugs"/>
    <s v="OM-1917"/>
    <s v="OM-1481&gt; move from IT to HK didn't release IT stock"/>
    <s v="Bugs"/>
    <x v="1"/>
    <d v="2016-01-07T18:28:00"/>
    <x v="10"/>
    <x v="1"/>
    <x v="8"/>
    <n v="2"/>
    <m/>
    <n v="141.1"/>
    <n v="24.900000000000002"/>
  </r>
  <r>
    <s v="Backend - OM"/>
    <x v="2"/>
    <s v="Bugs"/>
    <s v="OM-1918"/>
    <s v="OM-1481&gt; take all stocks when move from WHIT to WHHK"/>
    <s v="Bugs"/>
    <x v="1"/>
    <d v="2016-01-07T14:22:00"/>
    <x v="10"/>
    <x v="1"/>
    <x v="16"/>
    <n v="2"/>
    <m/>
    <n v="141.1"/>
    <n v="24.900000000000002"/>
  </r>
  <r>
    <s v="Backend - OM"/>
    <x v="1"/>
    <s v="Bugs"/>
    <s v="OM-1918"/>
    <s v="OM-1481&gt; take all stocks when move from WHIT to WHHK"/>
    <s v="Bugs"/>
    <x v="1"/>
    <d v="2016-01-07T18:29:00"/>
    <x v="10"/>
    <x v="1"/>
    <x v="8"/>
    <n v="1"/>
    <m/>
    <n v="141.1"/>
    <n v="24.900000000000002"/>
  </r>
  <r>
    <s v="Backend - OM"/>
    <x v="1"/>
    <s v="Bugs"/>
    <s v="OM-1918"/>
    <s v="OM-1481&gt; take all stocks when move from WHIT to WHHK"/>
    <s v="Bugs"/>
    <x v="1"/>
    <d v="2016-01-11T18:22:00"/>
    <x v="10"/>
    <x v="1"/>
    <x v="8"/>
    <n v="1"/>
    <m/>
    <n v="141.1"/>
    <n v="24.900000000000002"/>
  </r>
  <r>
    <s v="Backend - OM"/>
    <x v="1"/>
    <s v="Bugs"/>
    <s v="OM-1918"/>
    <s v="OM-1481&gt; take all stocks when move from WHIT to WHHK"/>
    <s v="Bugs"/>
    <x v="1"/>
    <d v="2016-01-12T16:23:00"/>
    <x v="10"/>
    <x v="1"/>
    <x v="8"/>
    <n v="0.5"/>
    <m/>
    <n v="141.1"/>
    <n v="24.900000000000002"/>
  </r>
  <r>
    <s v="Backend - OM"/>
    <x v="1"/>
    <s v="Bugs"/>
    <s v="OM-1919"/>
    <s v="OM-1481&gt; update sbg_order_item_warehouse"/>
    <s v="Bugs"/>
    <x v="1"/>
    <d v="2016-01-08T18:35:00"/>
    <x v="10"/>
    <x v="1"/>
    <x v="8"/>
    <n v="2"/>
    <m/>
    <n v="141.1"/>
    <n v="24.900000000000002"/>
  </r>
  <r>
    <s v="Backend - OM"/>
    <x v="2"/>
    <s v="Bugs"/>
    <s v="OM-1919"/>
    <s v="OM-1481&gt; update sbg_order_item_warehouse"/>
    <s v="Bugs"/>
    <x v="1"/>
    <d v="2016-01-08T18:35:00"/>
    <x v="10"/>
    <x v="1"/>
    <x v="16"/>
    <n v="2"/>
    <m/>
    <n v="141.1"/>
    <n v="24.900000000000002"/>
  </r>
  <r>
    <s v="Backend - OM"/>
    <x v="1"/>
    <s v="Bugs"/>
    <s v="OM-1919"/>
    <s v="OM-1481&gt; update sbg_order_item_warehouse"/>
    <s v="Bugs"/>
    <x v="1"/>
    <d v="2016-01-11T15:50:00"/>
    <x v="10"/>
    <x v="1"/>
    <x v="8"/>
    <n v="2"/>
    <m/>
    <n v="141.1"/>
    <n v="24.900000000000002"/>
  </r>
  <r>
    <s v="Backend - OM"/>
    <x v="1"/>
    <s v="Bugs"/>
    <s v="OM-1919"/>
    <s v="OM-1481&gt; update sbg_order_item_warehouse"/>
    <s v="Bugs"/>
    <x v="1"/>
    <d v="2016-01-12T16:23:00"/>
    <x v="10"/>
    <x v="1"/>
    <x v="8"/>
    <n v="0.5"/>
    <m/>
    <n v="141.1"/>
    <n v="24.900000000000002"/>
  </r>
  <r>
    <s v="Backend - OM"/>
    <x v="1"/>
    <s v="Sub-task"/>
    <s v="OM-1921"/>
    <s v="OM-1540&gt; Test case design and execution"/>
    <s v="Sub-task"/>
    <x v="0"/>
    <d v="2015-12-02T15:15:00"/>
    <x v="9"/>
    <x v="0"/>
    <x v="8"/>
    <n v="1"/>
    <m/>
    <n v="147.9"/>
    <n v="26.100000000000005"/>
  </r>
  <r>
    <s v="Backend - OM"/>
    <x v="1"/>
    <s v="Technical task"/>
    <s v="OM-1942"/>
    <s v="OM-1553&gt; Test case design and execution"/>
    <s v="Technical task"/>
    <x v="0"/>
    <d v="2015-12-14T17:15:00"/>
    <x v="9"/>
    <x v="0"/>
    <x v="8"/>
    <n v="3"/>
    <m/>
    <n v="147.9"/>
    <n v="26.100000000000005"/>
  </r>
  <r>
    <s v="Backend - OM"/>
    <x v="2"/>
    <s v="New Feature"/>
    <s v="OM-1948"/>
    <s v="RX Lens Lab Allocation"/>
    <s v="New Feature"/>
    <x v="0"/>
    <d v="2015-12-01T15:50:00"/>
    <x v="9"/>
    <x v="0"/>
    <x v="16"/>
    <n v="8"/>
    <s v="lay a plan."/>
    <n v="147.9"/>
    <n v="26.100000000000005"/>
  </r>
  <r>
    <s v="Backend - OM"/>
    <x v="2"/>
    <s v="New Feature"/>
    <s v="OM-1948"/>
    <s v="RX Lens Lab Allocation"/>
    <s v="New Feature"/>
    <x v="0"/>
    <d v="2015-12-02T18:24:00"/>
    <x v="9"/>
    <x v="0"/>
    <x v="16"/>
    <n v="8"/>
    <s v="Design database and coding."/>
    <n v="147.9"/>
    <n v="26.100000000000005"/>
  </r>
  <r>
    <s v="Backend - OM"/>
    <x v="2"/>
    <s v="New Feature"/>
    <s v="OM-1948"/>
    <s v="RX Lens Lab Allocation"/>
    <s v="New Feature"/>
    <x v="0"/>
    <d v="2015-12-03T16:26:00"/>
    <x v="9"/>
    <x v="0"/>
    <x v="16"/>
    <n v="8"/>
    <s v="coding."/>
    <n v="147.9"/>
    <n v="26.100000000000005"/>
  </r>
  <r>
    <s v="Backend - OM"/>
    <x v="2"/>
    <s v="New Feature"/>
    <s v="OM-1948"/>
    <s v="RX Lens Lab Allocation"/>
    <s v="New Feature"/>
    <x v="0"/>
    <d v="2015-12-04T16:27:00"/>
    <x v="9"/>
    <x v="0"/>
    <x v="16"/>
    <n v="8"/>
    <s v="coding."/>
    <n v="147.9"/>
    <n v="26.100000000000005"/>
  </r>
  <r>
    <s v="Backend - OM"/>
    <x v="2"/>
    <s v="New Feature"/>
    <s v="OM-1948"/>
    <s v="RX Lens Lab Allocation"/>
    <s v="New Feature"/>
    <x v="0"/>
    <d v="2015-12-07T16:27:00"/>
    <x v="9"/>
    <x v="0"/>
    <x v="16"/>
    <n v="8"/>
    <s v="coding."/>
    <n v="147.9"/>
    <n v="26.100000000000005"/>
  </r>
  <r>
    <s v="Backend - OM"/>
    <x v="2"/>
    <s v="New Feature"/>
    <s v="OM-1948"/>
    <s v="RX Lens Lab Allocation"/>
    <s v="New Feature"/>
    <x v="0"/>
    <d v="2015-12-07T23:14:00"/>
    <x v="9"/>
    <x v="0"/>
    <x v="25"/>
    <n v="24"/>
    <m/>
    <n v="147.9"/>
    <n v="26.100000000000005"/>
  </r>
  <r>
    <s v="Backend - OM"/>
    <x v="2"/>
    <s v="New Feature"/>
    <s v="OM-1948"/>
    <s v="RX Lens Lab Allocation"/>
    <s v="New Feature"/>
    <x v="0"/>
    <d v="2015-12-08T16:28:00"/>
    <x v="9"/>
    <x v="0"/>
    <x v="16"/>
    <n v="8"/>
    <s v="coding."/>
    <n v="147.9"/>
    <n v="26.100000000000005"/>
  </r>
  <r>
    <s v="Backend - OM"/>
    <x v="2"/>
    <s v="New Feature"/>
    <s v="OM-1948"/>
    <s v="RX Lens Lab Allocation"/>
    <s v="New Feature"/>
    <x v="0"/>
    <d v="2015-12-09T16:29:00"/>
    <x v="9"/>
    <x v="0"/>
    <x v="16"/>
    <n v="8"/>
    <s v="coding."/>
    <n v="147.9"/>
    <n v="26.100000000000005"/>
  </r>
  <r>
    <s v="Backend - OM"/>
    <x v="2"/>
    <s v="New Feature"/>
    <s v="OM-1948"/>
    <s v="RX Lens Lab Allocation"/>
    <s v="New Feature"/>
    <x v="0"/>
    <d v="2015-12-10T16:29:00"/>
    <x v="9"/>
    <x v="0"/>
    <x v="16"/>
    <n v="8"/>
    <s v="local test."/>
    <n v="147.9"/>
    <n v="26.100000000000005"/>
  </r>
  <r>
    <s v="Backend - OM"/>
    <x v="2"/>
    <s v="New Feature"/>
    <s v="OM-1948"/>
    <s v="RX Lens Lab Allocation"/>
    <s v="New Feature"/>
    <x v="0"/>
    <d v="2015-12-11T16:43:00"/>
    <x v="9"/>
    <x v="0"/>
    <x v="16"/>
    <n v="4"/>
    <s v="ready for QA review."/>
    <n v="147.9"/>
    <n v="26.100000000000005"/>
  </r>
  <r>
    <s v="Backend - OM"/>
    <x v="2"/>
    <s v="New Feature"/>
    <s v="OM-1948"/>
    <s v="RX Lens Lab Allocation"/>
    <s v="New Feature"/>
    <x v="0"/>
    <d v="2015-12-16T16:57:00"/>
    <x v="9"/>
    <x v="0"/>
    <x v="16"/>
    <n v="8"/>
    <m/>
    <n v="147.9"/>
    <n v="26.100000000000005"/>
  </r>
  <r>
    <s v="Backend - OM"/>
    <x v="2"/>
    <s v="New Feature"/>
    <s v="OM-1948"/>
    <s v="RX Lens Lab Allocation"/>
    <s v="New Feature"/>
    <x v="0"/>
    <d v="2015-12-17T16:57:00"/>
    <x v="9"/>
    <x v="0"/>
    <x v="16"/>
    <n v="8"/>
    <m/>
    <n v="147.9"/>
    <n v="26.100000000000005"/>
  </r>
  <r>
    <s v="Backend - OM"/>
    <x v="2"/>
    <s v="New Feature"/>
    <s v="OM-1948"/>
    <s v="RX Lens Lab Allocation"/>
    <s v="New Feature"/>
    <x v="0"/>
    <d v="2015-12-17T18:45:00"/>
    <x v="9"/>
    <x v="0"/>
    <x v="9"/>
    <n v="1"/>
    <m/>
    <n v="147.9"/>
    <n v="26.100000000000005"/>
  </r>
  <r>
    <s v="Backend - OM"/>
    <x v="2"/>
    <s v="New Feature"/>
    <s v="OM-1948"/>
    <s v="RX Lens Lab Allocation"/>
    <s v="New Feature"/>
    <x v="0"/>
    <d v="2015-12-18T16:57:00"/>
    <x v="9"/>
    <x v="0"/>
    <x v="16"/>
    <n v="4"/>
    <m/>
    <n v="147.9"/>
    <n v="26.100000000000005"/>
  </r>
  <r>
    <s v="Backend - OM"/>
    <x v="1"/>
    <s v="New Feature"/>
    <s v="OM-1948"/>
    <s v="RX Lens Lab Allocation"/>
    <s v="New Feature"/>
    <x v="0"/>
    <d v="2015-12-23T18:32:00"/>
    <x v="9"/>
    <x v="0"/>
    <x v="8"/>
    <n v="2"/>
    <m/>
    <n v="147.9"/>
    <n v="26.100000000000005"/>
  </r>
  <r>
    <s v="Backend - OM"/>
    <x v="2"/>
    <s v="New Feature"/>
    <s v="OM-1948"/>
    <s v="RX Lens Lab Allocation"/>
    <s v="New Feature"/>
    <x v="0"/>
    <d v="2015-12-23T19:07:00"/>
    <x v="9"/>
    <x v="0"/>
    <x v="9"/>
    <n v="1"/>
    <m/>
    <n v="147.9"/>
    <n v="26.100000000000005"/>
  </r>
  <r>
    <s v="Backend - OM"/>
    <x v="1"/>
    <s v="New Feature"/>
    <s v="OM-1948"/>
    <s v="RX Lens Lab Allocation"/>
    <s v="New Feature"/>
    <x v="0"/>
    <d v="2015-12-25T18:33:00"/>
    <x v="9"/>
    <x v="0"/>
    <x v="8"/>
    <n v="2"/>
    <m/>
    <n v="147.9"/>
    <n v="26.100000000000005"/>
  </r>
  <r>
    <s v="Backend - OM"/>
    <x v="2"/>
    <s v="New Feature"/>
    <s v="OM-1948"/>
    <s v="RX Lens Lab Allocation"/>
    <s v="New Feature"/>
    <x v="0"/>
    <d v="2015-12-28T19:22:00"/>
    <x v="9"/>
    <x v="0"/>
    <x v="9"/>
    <n v="0.5"/>
    <m/>
    <n v="147.9"/>
    <n v="26.100000000000005"/>
  </r>
  <r>
    <s v="Backend - OM"/>
    <x v="1"/>
    <s v="New Feature"/>
    <s v="OM-1948"/>
    <s v="RX Lens Lab Allocation"/>
    <s v="New Feature"/>
    <x v="0"/>
    <d v="2015-12-29T18:45:00"/>
    <x v="9"/>
    <x v="0"/>
    <x v="8"/>
    <n v="5"/>
    <m/>
    <n v="147.9"/>
    <n v="26.100000000000005"/>
  </r>
  <r>
    <s v="Backend - OM"/>
    <x v="2"/>
    <s v="New Feature"/>
    <s v="OM-1948"/>
    <s v="RX Lens Lab Allocation"/>
    <s v="New Feature"/>
    <x v="0"/>
    <d v="2015-12-29T19:03:00"/>
    <x v="9"/>
    <x v="0"/>
    <x v="9"/>
    <n v="1"/>
    <s v="support QA test."/>
    <n v="147.9"/>
    <n v="26.100000000000005"/>
  </r>
  <r>
    <s v="Backend - OM"/>
    <x v="2"/>
    <s v="New Feature"/>
    <s v="OM-1948"/>
    <s v="RX Lens Lab Allocation"/>
    <s v="New Feature"/>
    <x v="0"/>
    <d v="2015-12-30T17:05:00"/>
    <x v="9"/>
    <x v="0"/>
    <x v="16"/>
    <n v="1"/>
    <m/>
    <n v="147.9"/>
    <n v="26.100000000000005"/>
  </r>
  <r>
    <s v="Backend - OM"/>
    <x v="1"/>
    <s v="New Feature"/>
    <s v="OM-1948"/>
    <s v="RX Lens Lab Allocation"/>
    <s v="New Feature"/>
    <x v="0"/>
    <d v="2015-12-30T18:38:00"/>
    <x v="9"/>
    <x v="0"/>
    <x v="8"/>
    <n v="2"/>
    <m/>
    <n v="147.9"/>
    <n v="26.100000000000005"/>
  </r>
  <r>
    <s v="Backend - OM"/>
    <x v="1"/>
    <s v="New Feature"/>
    <s v="OM-1948"/>
    <s v="RX Lens Lab Allocation"/>
    <s v="New Feature"/>
    <x v="0"/>
    <d v="2015-12-31T16:34:00"/>
    <x v="9"/>
    <x v="0"/>
    <x v="8"/>
    <n v="2"/>
    <m/>
    <n v="147.9"/>
    <n v="26.100000000000005"/>
  </r>
  <r>
    <s v="Backend - OM"/>
    <x v="1"/>
    <s v="New Feature"/>
    <s v="OM-1948"/>
    <s v="RX Lens Lab Allocation"/>
    <s v="New Feature"/>
    <x v="0"/>
    <d v="2016-01-06T18:28:00"/>
    <x v="10"/>
    <x v="1"/>
    <x v="8"/>
    <n v="1.5"/>
    <m/>
    <n v="141.1"/>
    <n v="24.900000000000002"/>
  </r>
  <r>
    <s v="Backend - OM"/>
    <x v="1"/>
    <s v="New Feature"/>
    <s v="OM-1948"/>
    <s v="RX Lens Lab Allocation"/>
    <s v="New Feature"/>
    <x v="0"/>
    <d v="2016-01-13T18:35:00"/>
    <x v="10"/>
    <x v="1"/>
    <x v="8"/>
    <n v="2"/>
    <m/>
    <n v="141.1"/>
    <n v="24.900000000000002"/>
  </r>
  <r>
    <s v="Backend - OM"/>
    <x v="1"/>
    <s v="New Feature"/>
    <s v="OM-1948"/>
    <s v="RX Lens Lab Allocation"/>
    <s v="New Feature"/>
    <x v="0"/>
    <d v="2016-01-14T18:15:00"/>
    <x v="10"/>
    <x v="1"/>
    <x v="8"/>
    <n v="2"/>
    <m/>
    <n v="141.1"/>
    <n v="24.900000000000002"/>
  </r>
  <r>
    <s v="Backend - OM"/>
    <x v="1"/>
    <s v="New Feature"/>
    <s v="OM-1948"/>
    <s v="RX Lens Lab Allocation"/>
    <s v="New Feature"/>
    <x v="0"/>
    <d v="2016-01-14T18:57:00"/>
    <x v="10"/>
    <x v="1"/>
    <x v="8"/>
    <n v="1"/>
    <m/>
    <n v="141.1"/>
    <n v="24.900000000000002"/>
  </r>
  <r>
    <s v="Backend - OM"/>
    <x v="1"/>
    <s v="New Feature"/>
    <s v="OM-1948"/>
    <s v="RX Lens Lab Allocation"/>
    <s v="New Feature"/>
    <x v="0"/>
    <d v="2016-01-15T17:59:00"/>
    <x v="10"/>
    <x v="1"/>
    <x v="8"/>
    <n v="1"/>
    <m/>
    <n v="141.1"/>
    <n v="24.900000000000002"/>
  </r>
  <r>
    <s v="Backend - OM"/>
    <x v="1"/>
    <s v="New Feature"/>
    <s v="OM-1948"/>
    <s v="RX Lens Lab Allocation"/>
    <s v="New Feature"/>
    <x v="0"/>
    <d v="2016-01-20T18:45:00"/>
    <x v="10"/>
    <x v="1"/>
    <x v="8"/>
    <n v="1.5"/>
    <m/>
    <n v="141.1"/>
    <n v="24.900000000000002"/>
  </r>
  <r>
    <s v="Backend - OM"/>
    <x v="1"/>
    <s v="New Feature"/>
    <s v="OM-1948"/>
    <s v="RX Lens Lab Allocation"/>
    <s v="New Feature"/>
    <x v="0"/>
    <d v="2016-01-21T18:40:00"/>
    <x v="10"/>
    <x v="1"/>
    <x v="8"/>
    <n v="2"/>
    <m/>
    <n v="141.1"/>
    <n v="24.900000000000002"/>
  </r>
  <r>
    <s v="Backend - OM"/>
    <x v="1"/>
    <s v="New Feature"/>
    <s v="OM-1948"/>
    <s v="RX Lens Lab Allocation"/>
    <s v="New Feature"/>
    <x v="0"/>
    <d v="2016-01-22T18:55:00"/>
    <x v="10"/>
    <x v="1"/>
    <x v="8"/>
    <n v="1"/>
    <m/>
    <n v="141.1"/>
    <n v="24.900000000000002"/>
  </r>
  <r>
    <s v="Backend - OM"/>
    <x v="1"/>
    <s v="New Feature"/>
    <s v="OM-1948"/>
    <s v="RX Lens Lab Allocation"/>
    <s v="New Feature"/>
    <x v="0"/>
    <d v="2016-01-26T21:58:00"/>
    <x v="10"/>
    <x v="1"/>
    <x v="8"/>
    <n v="4"/>
    <m/>
    <n v="141.1"/>
    <n v="24.900000000000002"/>
  </r>
  <r>
    <s v="Backend - OM"/>
    <x v="2"/>
    <s v="New Feature"/>
    <s v="OM-1948"/>
    <s v="RX Lens Lab Allocation"/>
    <s v="New Feature"/>
    <x v="0"/>
    <d v="2016-01-26T21:58:00"/>
    <x v="10"/>
    <x v="1"/>
    <x v="9"/>
    <n v="4"/>
    <m/>
    <n v="141.1"/>
    <n v="24.900000000000002"/>
  </r>
  <r>
    <s v="Backend - OM"/>
    <x v="2"/>
    <s v="New Feature"/>
    <s v="OM-1948"/>
    <s v="RX Lens Lab Allocation"/>
    <s v="New Feature"/>
    <x v="0"/>
    <d v="2016-01-27T17:36:00"/>
    <x v="10"/>
    <x v="1"/>
    <x v="16"/>
    <n v="8"/>
    <m/>
    <n v="141.1"/>
    <n v="24.900000000000002"/>
  </r>
  <r>
    <s v="Backend - OM"/>
    <x v="1"/>
    <s v="New Feature"/>
    <s v="OM-1964"/>
    <s v="Enhance Price Refresh Function to Support Multiple Lines"/>
    <s v="New Feature"/>
    <x v="0"/>
    <d v="2015-12-02T18:28:00"/>
    <x v="9"/>
    <x v="0"/>
    <x v="8"/>
    <n v="1"/>
    <m/>
    <n v="147.9"/>
    <n v="26.100000000000005"/>
  </r>
  <r>
    <s v="Backend - OM"/>
    <x v="1"/>
    <s v="New Feature"/>
    <s v="OM-1964"/>
    <s v="Enhance Price Refresh Function to Support Multiple Lines"/>
    <s v="New Feature"/>
    <x v="0"/>
    <d v="2015-12-04T18:32:00"/>
    <x v="9"/>
    <x v="0"/>
    <x v="8"/>
    <n v="2.5"/>
    <m/>
    <n v="147.9"/>
    <n v="26.100000000000005"/>
  </r>
  <r>
    <s v="Backend - OM"/>
    <x v="2"/>
    <s v="New Feature"/>
    <s v="OM-1964"/>
    <s v="Enhance Price Refresh Function to Support Multiple Lines"/>
    <s v="New Feature"/>
    <x v="0"/>
    <d v="2015-12-08T16:02:00"/>
    <x v="9"/>
    <x v="0"/>
    <x v="27"/>
    <n v="4"/>
    <m/>
    <n v="147.9"/>
    <n v="26.100000000000005"/>
  </r>
  <r>
    <s v="Backend - OM"/>
    <x v="1"/>
    <s v="New Feature"/>
    <s v="OM-1964"/>
    <s v="Enhance Price Refresh Function to Support Multiple Lines"/>
    <s v="New Feature"/>
    <x v="0"/>
    <d v="2015-12-09T18:29:00"/>
    <x v="9"/>
    <x v="0"/>
    <x v="8"/>
    <n v="1"/>
    <m/>
    <n v="147.9"/>
    <n v="26.100000000000005"/>
  </r>
  <r>
    <s v="Backend - OM"/>
    <x v="2"/>
    <s v="New Feature"/>
    <s v="OM-1964"/>
    <s v="Enhance Price Refresh Function to Support Multiple Lines"/>
    <s v="New Feature"/>
    <x v="0"/>
    <d v="2015-12-10T12:49:00"/>
    <x v="9"/>
    <x v="0"/>
    <x v="27"/>
    <n v="10"/>
    <m/>
    <n v="147.9"/>
    <n v="26.100000000000005"/>
  </r>
  <r>
    <s v="Backend - OM"/>
    <x v="1"/>
    <s v="New Feature"/>
    <s v="OM-1964"/>
    <s v="Enhance Price Refresh Function to Support Multiple Lines"/>
    <s v="New Feature"/>
    <x v="0"/>
    <d v="2015-12-11T18:40:00"/>
    <x v="9"/>
    <x v="0"/>
    <x v="8"/>
    <n v="2"/>
    <m/>
    <n v="147.9"/>
    <n v="26.100000000000005"/>
  </r>
  <r>
    <s v="Backend - OM"/>
    <x v="1"/>
    <s v="New Feature"/>
    <s v="OM-1964"/>
    <s v="Enhance Price Refresh Function to Support Multiple Lines"/>
    <s v="New Feature"/>
    <x v="0"/>
    <d v="2015-12-15T15:31:00"/>
    <x v="9"/>
    <x v="0"/>
    <x v="8"/>
    <n v="1"/>
    <m/>
    <n v="147.9"/>
    <n v="26.100000000000005"/>
  </r>
  <r>
    <s v="Backend - OM"/>
    <x v="1"/>
    <s v="New Feature"/>
    <s v="OM-1997"/>
    <s v="Add RX Slip ID in Order details page VIEW / EDIT page"/>
    <s v="New Feature"/>
    <x v="0"/>
    <d v="2015-12-09T17:41:00"/>
    <x v="9"/>
    <x v="0"/>
    <x v="30"/>
    <n v="1"/>
    <m/>
    <n v="147.9"/>
    <n v="26.100000000000005"/>
  </r>
  <r>
    <s v="Backend - OM"/>
    <x v="1"/>
    <s v="New Feature"/>
    <s v="OM-1997"/>
    <s v="Add RX Slip ID in Order details page VIEW / EDIT page"/>
    <s v="New Feature"/>
    <x v="0"/>
    <d v="2015-12-18T10:17:00"/>
    <x v="9"/>
    <x v="0"/>
    <x v="30"/>
    <n v="1"/>
    <m/>
    <n v="147.9"/>
    <n v="26.100000000000005"/>
  </r>
  <r>
    <s v="Backend - OM"/>
    <x v="2"/>
    <s v="New Feature"/>
    <s v="OM-1997"/>
    <s v="Add RX Slip ID in Order details page VIEW / EDIT page"/>
    <s v="New Feature"/>
    <x v="0"/>
    <d v="2015-12-21T18:19:00"/>
    <x v="9"/>
    <x v="0"/>
    <x v="20"/>
    <n v="3"/>
    <m/>
    <n v="147.9"/>
    <n v="26.100000000000005"/>
  </r>
  <r>
    <s v="Backend - OM"/>
    <x v="1"/>
    <s v="New Feature"/>
    <s v="OM-1997"/>
    <s v="Add RX Slip ID in Order details page VIEW / EDIT page"/>
    <s v="New Feature"/>
    <x v="0"/>
    <d v="2015-12-21T18:41:00"/>
    <x v="9"/>
    <x v="0"/>
    <x v="30"/>
    <n v="2"/>
    <m/>
    <n v="147.9"/>
    <n v="26.100000000000005"/>
  </r>
  <r>
    <s v="Backend - OM"/>
    <x v="1"/>
    <s v="New Feature"/>
    <s v="OM-1997"/>
    <s v="Add RX Slip ID in Order details page VIEW / EDIT page"/>
    <s v="New Feature"/>
    <x v="0"/>
    <d v="2015-12-28T18:01:00"/>
    <x v="9"/>
    <x v="0"/>
    <x v="30"/>
    <n v="4"/>
    <m/>
    <n v="147.9"/>
    <n v="26.100000000000005"/>
  </r>
  <r>
    <s v="Backend - OM"/>
    <x v="2"/>
    <s v="New Feature"/>
    <s v="OM-1997"/>
    <s v="Add RX Slip ID in Order details page VIEW / EDIT page"/>
    <s v="New Feature"/>
    <x v="0"/>
    <d v="2015-12-30T11:00:00"/>
    <x v="9"/>
    <x v="0"/>
    <x v="20"/>
    <n v="8"/>
    <m/>
    <n v="147.9"/>
    <n v="26.100000000000005"/>
  </r>
  <r>
    <s v="Backend - OM"/>
    <x v="2"/>
    <s v="New Feature"/>
    <s v="OM-1997"/>
    <s v="Add RX Slip ID in Order details page VIEW / EDIT page"/>
    <s v="New Feature"/>
    <x v="0"/>
    <d v="2016-01-04T14:48:00"/>
    <x v="10"/>
    <x v="1"/>
    <x v="20"/>
    <n v="2"/>
    <m/>
    <n v="141.1"/>
    <n v="24.900000000000002"/>
  </r>
  <r>
    <s v="Backend - OM"/>
    <x v="2"/>
    <s v="New Feature"/>
    <s v="OM-1997"/>
    <s v="Add RX Slip ID in Order details page VIEW / EDIT page"/>
    <s v="New Feature"/>
    <x v="0"/>
    <d v="2016-01-06T14:49:00"/>
    <x v="10"/>
    <x v="1"/>
    <x v="20"/>
    <n v="2"/>
    <m/>
    <n v="141.1"/>
    <n v="24.900000000000002"/>
  </r>
  <r>
    <s v="Backend - OM"/>
    <x v="1"/>
    <s v="New Feature"/>
    <s v="OM-1997"/>
    <s v="Add RX Slip ID in Order details page VIEW / EDIT page"/>
    <s v="New Feature"/>
    <x v="0"/>
    <d v="2016-01-12T18:06:00"/>
    <x v="10"/>
    <x v="1"/>
    <x v="8"/>
    <n v="0.5"/>
    <m/>
    <n v="141.1"/>
    <n v="24.900000000000002"/>
  </r>
  <r>
    <s v="Backend - OM"/>
    <x v="1"/>
    <s v="New Feature"/>
    <s v="OM-1997"/>
    <s v="Add RX Slip ID in Order details page VIEW / EDIT page"/>
    <s v="New Feature"/>
    <x v="0"/>
    <d v="2016-01-14T18:14:00"/>
    <x v="10"/>
    <x v="1"/>
    <x v="8"/>
    <n v="1"/>
    <m/>
    <n v="141.1"/>
    <n v="24.900000000000002"/>
  </r>
  <r>
    <s v="Backend - OM"/>
    <x v="2"/>
    <s v="New Feature"/>
    <s v="OM-1997"/>
    <s v="Add RX Slip ID in Order details page VIEW / EDIT page"/>
    <s v="New Feature"/>
    <x v="0"/>
    <d v="2016-01-14T19:10:00"/>
    <x v="10"/>
    <x v="1"/>
    <x v="20"/>
    <n v="2"/>
    <m/>
    <n v="141.1"/>
    <n v="24.900000000000002"/>
  </r>
  <r>
    <s v="Backend - OM"/>
    <x v="1"/>
    <s v="New Feature"/>
    <s v="OM-1997"/>
    <s v="Add RX Slip ID in Order details page VIEW / EDIT page"/>
    <s v="New Feature"/>
    <x v="0"/>
    <d v="2016-01-21T18:40:00"/>
    <x v="10"/>
    <x v="1"/>
    <x v="8"/>
    <n v="2"/>
    <m/>
    <n v="141.1"/>
    <n v="24.900000000000002"/>
  </r>
  <r>
    <s v="Backend - OM"/>
    <x v="2"/>
    <s v="New Feature"/>
    <s v="OM-1997"/>
    <s v="Add RX Slip ID in Order details page VIEW / EDIT page"/>
    <s v="New Feature"/>
    <x v="0"/>
    <d v="2016-01-27T11:00:00"/>
    <x v="10"/>
    <x v="1"/>
    <x v="20"/>
    <n v="8"/>
    <m/>
    <n v="141.1"/>
    <n v="24.900000000000002"/>
  </r>
  <r>
    <s v="Backend - OM"/>
    <x v="2"/>
    <s v="New Feature"/>
    <s v="OM-2010"/>
    <s v="Please help add one courier UPS_CL(IT) for creating Italy contact lenses ship manifest. "/>
    <s v="New Feature"/>
    <x v="0"/>
    <d v="2016-01-06T10:16:00"/>
    <x v="10"/>
    <x v="1"/>
    <x v="20"/>
    <n v="2"/>
    <m/>
    <n v="141.1"/>
    <n v="24.900000000000002"/>
  </r>
  <r>
    <s v="Backend - OM"/>
    <x v="1"/>
    <s v="New Feature"/>
    <s v="OM-2010"/>
    <s v="Please help add one courier UPS_CL(IT) for creating Italy contact lenses ship manifest. "/>
    <s v="New Feature"/>
    <x v="0"/>
    <d v="2016-01-08T18:26:00"/>
    <x v="10"/>
    <x v="1"/>
    <x v="8"/>
    <n v="1"/>
    <m/>
    <n v="141.1"/>
    <n v="24.900000000000002"/>
  </r>
  <r>
    <s v="Backend - OM"/>
    <x v="2"/>
    <s v="New Feature"/>
    <s v="OM-2010"/>
    <s v="Please help add one courier UPS_CL(IT) for creating Italy contact lenses ship manifest. "/>
    <s v="New Feature"/>
    <x v="0"/>
    <d v="2016-01-11T10:39:00"/>
    <x v="10"/>
    <x v="1"/>
    <x v="20"/>
    <n v="3"/>
    <m/>
    <n v="141.1"/>
    <n v="24.900000000000002"/>
  </r>
  <r>
    <s v="Backend - OM"/>
    <x v="1"/>
    <s v="New Feature"/>
    <s v="OM-2010"/>
    <s v="Please help add one courier UPS_CL(IT) for creating Italy contact lenses ship manifest. "/>
    <s v="New Feature"/>
    <x v="0"/>
    <d v="2016-01-12T16:27:00"/>
    <x v="10"/>
    <x v="1"/>
    <x v="8"/>
    <n v="0.5"/>
    <m/>
    <n v="141.1"/>
    <n v="24.900000000000002"/>
  </r>
  <r>
    <s v="Backend - OM"/>
    <x v="2"/>
    <s v="New Feature"/>
    <s v="OM-2010"/>
    <s v="Please help add one courier UPS_CL(IT) for creating Italy contact lenses ship manifest. "/>
    <s v="New Feature"/>
    <x v="0"/>
    <d v="2016-01-21T11:00:00"/>
    <x v="10"/>
    <x v="1"/>
    <x v="20"/>
    <n v="4"/>
    <m/>
    <n v="141.1"/>
    <n v="24.900000000000002"/>
  </r>
  <r>
    <s v="Backend - OM"/>
    <x v="2"/>
    <s v="New Feature"/>
    <s v="OM-2010"/>
    <s v="Please help add one courier UPS_CL(IT) for creating Italy contact lenses ship manifest. "/>
    <s v="New Feature"/>
    <x v="0"/>
    <d v="2016-01-26T11:00:00"/>
    <x v="10"/>
    <x v="1"/>
    <x v="20"/>
    <n v="4"/>
    <m/>
    <n v="141.1"/>
    <n v="24.900000000000002"/>
  </r>
  <r>
    <s v="Backend - OM"/>
    <x v="1"/>
    <s v="New Feature"/>
    <s v="OM-2019"/>
    <s v="Exchange Rate Maintenance"/>
    <s v="New Feature"/>
    <x v="0"/>
    <d v="2015-12-02T18:02:00"/>
    <x v="9"/>
    <x v="0"/>
    <x v="8"/>
    <n v="2"/>
    <m/>
    <n v="147.9"/>
    <n v="26.100000000000005"/>
  </r>
  <r>
    <s v="Backend - OM"/>
    <x v="1"/>
    <s v="New Feature"/>
    <s v="OM-2019"/>
    <s v="Exchange Rate Maintenance"/>
    <s v="New Feature"/>
    <x v="0"/>
    <d v="2015-12-07T17:04:00"/>
    <x v="9"/>
    <x v="0"/>
    <x v="8"/>
    <n v="1"/>
    <m/>
    <n v="147.9"/>
    <n v="26.100000000000005"/>
  </r>
  <r>
    <s v="Backend - OM"/>
    <x v="1"/>
    <s v="New Feature"/>
    <s v="OM-2019"/>
    <s v="Exchange Rate Maintenance"/>
    <s v="New Feature"/>
    <x v="0"/>
    <d v="2015-12-08T15:39:00"/>
    <x v="9"/>
    <x v="0"/>
    <x v="8"/>
    <n v="1"/>
    <m/>
    <n v="147.9"/>
    <n v="26.100000000000005"/>
  </r>
  <r>
    <s v="Backend - OM"/>
    <x v="2"/>
    <s v="New Feature"/>
    <s v="OM-2019"/>
    <s v="Exchange Rate Maintenance"/>
    <s v="New Feature"/>
    <x v="0"/>
    <d v="2015-12-08T16:02:00"/>
    <x v="9"/>
    <x v="0"/>
    <x v="27"/>
    <n v="1"/>
    <m/>
    <n v="147.9"/>
    <n v="26.100000000000005"/>
  </r>
  <r>
    <s v="Backend - OM"/>
    <x v="2"/>
    <s v="New Feature"/>
    <s v="OM-2040"/>
    <s v="Auto Responder v2"/>
    <s v="New Feature"/>
    <x v="0"/>
    <d v="2015-12-01T18:46:00"/>
    <x v="9"/>
    <x v="0"/>
    <x v="9"/>
    <n v="3"/>
    <m/>
    <n v="147.9"/>
    <n v="26.100000000000005"/>
  </r>
  <r>
    <s v="Backend - OM"/>
    <x v="2"/>
    <s v="New Feature"/>
    <s v="OM-2040"/>
    <s v="Auto Responder v2"/>
    <s v="New Feature"/>
    <x v="0"/>
    <d v="2015-12-02T18:36:00"/>
    <x v="9"/>
    <x v="0"/>
    <x v="9"/>
    <n v="7"/>
    <m/>
    <n v="147.9"/>
    <n v="26.100000000000005"/>
  </r>
  <r>
    <s v="Backend - OM"/>
    <x v="2"/>
    <s v="New Feature"/>
    <s v="OM-2040"/>
    <s v="Auto Responder v2"/>
    <s v="New Feature"/>
    <x v="0"/>
    <d v="2015-12-03T18:43:00"/>
    <x v="9"/>
    <x v="0"/>
    <x v="9"/>
    <n v="5"/>
    <s v="test email. familiar with reorder email."/>
    <n v="147.9"/>
    <n v="26.100000000000005"/>
  </r>
  <r>
    <s v="Backend - OM"/>
    <x v="2"/>
    <s v="New Feature"/>
    <s v="OM-2040"/>
    <s v="Auto Responder v2"/>
    <s v="New Feature"/>
    <x v="0"/>
    <d v="2015-12-04T18:57:00"/>
    <x v="9"/>
    <x v="0"/>
    <x v="9"/>
    <n v="1"/>
    <s v="discuss and test the email template"/>
    <n v="147.9"/>
    <n v="26.100000000000005"/>
  </r>
  <r>
    <s v="Backend - OM"/>
    <x v="2"/>
    <s v="New Feature"/>
    <s v="OM-2040"/>
    <s v="Auto Responder v2"/>
    <s v="New Feature"/>
    <x v="0"/>
    <d v="2015-12-08T22:08:00"/>
    <x v="9"/>
    <x v="0"/>
    <x v="9"/>
    <n v="1"/>
    <m/>
    <n v="147.9"/>
    <n v="26.100000000000005"/>
  </r>
  <r>
    <s v="Backend - OM"/>
    <x v="2"/>
    <s v="New Feature"/>
    <s v="OM-2040"/>
    <s v="Auto Responder v2"/>
    <s v="New Feature"/>
    <x v="0"/>
    <d v="2015-12-09T18:36:00"/>
    <x v="9"/>
    <x v="0"/>
    <x v="9"/>
    <n v="3"/>
    <m/>
    <n v="147.9"/>
    <n v="26.100000000000005"/>
  </r>
  <r>
    <s v="Backend - OM"/>
    <x v="2"/>
    <s v="New Feature"/>
    <s v="OM-2040"/>
    <s v="Auto Responder v2"/>
    <s v="New Feature"/>
    <x v="0"/>
    <d v="2015-12-10T19:15:00"/>
    <x v="9"/>
    <x v="0"/>
    <x v="9"/>
    <n v="5"/>
    <m/>
    <n v="147.9"/>
    <n v="26.100000000000005"/>
  </r>
  <r>
    <s v="Backend - OM"/>
    <x v="2"/>
    <s v="New Feature"/>
    <s v="OM-2040"/>
    <s v="Auto Responder v2"/>
    <s v="New Feature"/>
    <x v="0"/>
    <d v="2015-12-11T10:27:00"/>
    <x v="9"/>
    <x v="0"/>
    <x v="9"/>
    <n v="4"/>
    <m/>
    <n v="147.9"/>
    <n v="26.100000000000005"/>
  </r>
  <r>
    <s v="Backend - OM"/>
    <x v="2"/>
    <s v="New Feature"/>
    <s v="OM-2040"/>
    <s v="Auto Responder v2"/>
    <s v="New Feature"/>
    <x v="0"/>
    <d v="2015-12-15T18:56:00"/>
    <x v="9"/>
    <x v="0"/>
    <x v="9"/>
    <n v="4"/>
    <m/>
    <n v="147.9"/>
    <n v="26.100000000000005"/>
  </r>
  <r>
    <s v="Backend - OM"/>
    <x v="2"/>
    <s v="New Feature"/>
    <s v="OM-2040"/>
    <s v="Auto Responder v2"/>
    <s v="New Feature"/>
    <x v="0"/>
    <d v="2015-12-17T18:46:00"/>
    <x v="9"/>
    <x v="0"/>
    <x v="9"/>
    <n v="4"/>
    <m/>
    <n v="147.9"/>
    <n v="26.100000000000005"/>
  </r>
  <r>
    <s v="Backend - OM"/>
    <x v="2"/>
    <s v="New Feature"/>
    <s v="OM-2040"/>
    <s v="Auto Responder v2"/>
    <s v="New Feature"/>
    <x v="0"/>
    <d v="2015-12-18T18:51:00"/>
    <x v="9"/>
    <x v="0"/>
    <x v="9"/>
    <n v="5"/>
    <s v="order confirmation email"/>
    <n v="147.9"/>
    <n v="26.100000000000005"/>
  </r>
  <r>
    <s v="Backend - OM"/>
    <x v="2"/>
    <s v="New Feature"/>
    <s v="OM-2040"/>
    <s v="Auto Responder v2"/>
    <s v="New Feature"/>
    <x v="0"/>
    <d v="2015-12-21T18:43:00"/>
    <x v="9"/>
    <x v="0"/>
    <x v="9"/>
    <n v="0.5"/>
    <m/>
    <n v="147.9"/>
    <n v="26.100000000000005"/>
  </r>
  <r>
    <s v="Backend - OM"/>
    <x v="2"/>
    <s v="New Feature"/>
    <s v="OM-2040"/>
    <s v="Auto Responder v2"/>
    <s v="New Feature"/>
    <x v="0"/>
    <d v="2015-12-22T18:41:00"/>
    <x v="9"/>
    <x v="0"/>
    <x v="9"/>
    <n v="6"/>
    <m/>
    <n v="147.9"/>
    <n v="26.100000000000005"/>
  </r>
  <r>
    <s v="Backend - OM"/>
    <x v="2"/>
    <s v="New Feature"/>
    <s v="OM-2040"/>
    <s v="Auto Responder v2"/>
    <s v="New Feature"/>
    <x v="0"/>
    <d v="2015-12-23T19:06:00"/>
    <x v="9"/>
    <x v="0"/>
    <x v="9"/>
    <n v="4"/>
    <m/>
    <n v="147.9"/>
    <n v="26.100000000000005"/>
  </r>
  <r>
    <s v="Backend - OM"/>
    <x v="2"/>
    <s v="New Feature"/>
    <s v="OM-2040"/>
    <s v="Auto Responder v2"/>
    <s v="New Feature"/>
    <x v="0"/>
    <d v="2015-12-25T18:52:00"/>
    <x v="9"/>
    <x v="0"/>
    <x v="9"/>
    <n v="1"/>
    <m/>
    <n v="147.9"/>
    <n v="26.100000000000005"/>
  </r>
  <r>
    <s v="Backend - OM"/>
    <x v="2"/>
    <s v="New Feature"/>
    <s v="OM-2040"/>
    <s v="Auto Responder v2"/>
    <s v="New Feature"/>
    <x v="0"/>
    <d v="2015-12-28T19:19:00"/>
    <x v="9"/>
    <x v="0"/>
    <x v="9"/>
    <n v="4.5"/>
    <s v="test and environment configuration"/>
    <n v="147.9"/>
    <n v="26.100000000000005"/>
  </r>
  <r>
    <s v="Backend - OM"/>
    <x v="2"/>
    <s v="New Feature"/>
    <s v="OM-2040"/>
    <s v="Auto Responder v2"/>
    <s v="New Feature"/>
    <x v="0"/>
    <d v="2015-12-29T19:00:00"/>
    <x v="9"/>
    <x v="0"/>
    <x v="9"/>
    <n v="3"/>
    <s v="support QA test !"/>
    <n v="147.9"/>
    <n v="26.100000000000005"/>
  </r>
  <r>
    <s v="Backend - OM"/>
    <x v="2"/>
    <s v="New Feature"/>
    <s v="OM-2040"/>
    <s v="Auto Responder v2"/>
    <s v="New Feature"/>
    <x v="0"/>
    <d v="2015-12-30T19:09:00"/>
    <x v="9"/>
    <x v="0"/>
    <x v="9"/>
    <n v="4"/>
    <s v="support QA test"/>
    <n v="147.9"/>
    <n v="26.100000000000005"/>
  </r>
  <r>
    <s v="Backend - OM"/>
    <x v="2"/>
    <s v="New Feature"/>
    <s v="OM-2040"/>
    <s v="Auto Responder v2"/>
    <s v="New Feature"/>
    <x v="0"/>
    <d v="2016-01-05T10:21:00"/>
    <x v="10"/>
    <x v="1"/>
    <x v="9"/>
    <n v="2"/>
    <m/>
    <n v="141.1"/>
    <n v="24.900000000000002"/>
  </r>
  <r>
    <s v="Backend - OM"/>
    <x v="2"/>
    <s v="New Feature"/>
    <s v="OM-2040"/>
    <s v="Auto Responder v2"/>
    <s v="New Feature"/>
    <x v="0"/>
    <d v="2016-01-06T18:46:00"/>
    <x v="10"/>
    <x v="1"/>
    <x v="9"/>
    <n v="3"/>
    <s v="test"/>
    <n v="141.1"/>
    <n v="24.900000000000002"/>
  </r>
  <r>
    <s v="Backend - OM"/>
    <x v="2"/>
    <s v="New Feature"/>
    <s v="OM-2040"/>
    <s v="Auto Responder v2"/>
    <s v="New Feature"/>
    <x v="0"/>
    <d v="2016-01-06T18:50:00"/>
    <x v="10"/>
    <x v="1"/>
    <x v="9"/>
    <n v="1.5"/>
    <s v="write the AR test step.docx"/>
    <n v="141.1"/>
    <n v="24.900000000000002"/>
  </r>
  <r>
    <s v="Backend - OM"/>
    <x v="2"/>
    <s v="New Feature"/>
    <s v="OM-2040"/>
    <s v="Auto Responder v2"/>
    <s v="New Feature"/>
    <x v="0"/>
    <d v="2016-01-07T18:44:00"/>
    <x v="10"/>
    <x v="1"/>
    <x v="9"/>
    <n v="2"/>
    <m/>
    <n v="141.1"/>
    <n v="24.900000000000002"/>
  </r>
  <r>
    <s v="Backend - OM"/>
    <x v="2"/>
    <s v="New Feature"/>
    <s v="OM-2040"/>
    <s v="Auto Responder v2"/>
    <s v="New Feature"/>
    <x v="0"/>
    <d v="2016-01-08T18:44:00"/>
    <x v="10"/>
    <x v="1"/>
    <x v="9"/>
    <n v="1"/>
    <m/>
    <n v="141.1"/>
    <n v="24.900000000000002"/>
  </r>
  <r>
    <s v="Backend - OM"/>
    <x v="2"/>
    <s v="New Feature"/>
    <s v="OM-2040"/>
    <s v="Auto Responder v2"/>
    <s v="New Feature"/>
    <x v="0"/>
    <d v="2016-01-13T10:11:00"/>
    <x v="10"/>
    <x v="1"/>
    <x v="9"/>
    <n v="1.5"/>
    <s v="support test"/>
    <n v="141.1"/>
    <n v="24.900000000000002"/>
  </r>
  <r>
    <s v="Backend - OM"/>
    <x v="1"/>
    <s v="New Feature"/>
    <s v="OM-2040"/>
    <s v="Auto Responder v2"/>
    <s v="New Feature"/>
    <x v="0"/>
    <d v="2016-01-14T18:17:00"/>
    <x v="10"/>
    <x v="1"/>
    <x v="21"/>
    <n v="3"/>
    <m/>
    <n v="141.1"/>
    <n v="24.900000000000002"/>
  </r>
  <r>
    <s v="Backend - OM"/>
    <x v="2"/>
    <s v="New Feature"/>
    <s v="OM-2040"/>
    <s v="Auto Responder v2"/>
    <s v="New Feature"/>
    <x v="0"/>
    <d v="2016-01-14T19:22:00"/>
    <x v="10"/>
    <x v="1"/>
    <x v="9"/>
    <n v="5"/>
    <s v="Return Received AR"/>
    <n v="141.1"/>
    <n v="24.900000000000002"/>
  </r>
  <r>
    <s v="Backend - OM"/>
    <x v="2"/>
    <s v="New Feature"/>
    <s v="OM-2040"/>
    <s v="Auto Responder v2"/>
    <s v="New Feature"/>
    <x v="0"/>
    <d v="2016-01-15T17:56:00"/>
    <x v="10"/>
    <x v="1"/>
    <x v="9"/>
    <n v="7"/>
    <s v="Return Received AR and other detail complete"/>
    <n v="141.1"/>
    <n v="24.900000000000002"/>
  </r>
  <r>
    <s v="Backend - OM"/>
    <x v="1"/>
    <s v="New Feature"/>
    <s v="OM-2040"/>
    <s v="Auto Responder v2"/>
    <s v="New Feature"/>
    <x v="0"/>
    <d v="2016-01-15T18:44:00"/>
    <x v="10"/>
    <x v="1"/>
    <x v="21"/>
    <n v="5"/>
    <m/>
    <n v="141.1"/>
    <n v="24.900000000000002"/>
  </r>
  <r>
    <s v="Backend - OM"/>
    <x v="2"/>
    <s v="New Feature"/>
    <s v="OM-2040"/>
    <s v="Auto Responder v2"/>
    <s v="New Feature"/>
    <x v="0"/>
    <d v="2016-01-16T19:31:00"/>
    <x v="10"/>
    <x v="1"/>
    <x v="9"/>
    <n v="0.5"/>
    <m/>
    <n v="141.1"/>
    <n v="24.900000000000002"/>
  </r>
  <r>
    <s v="Backend - OM"/>
    <x v="2"/>
    <s v="New Feature"/>
    <s v="OM-2040"/>
    <s v="Auto Responder v2"/>
    <s v="New Feature"/>
    <x v="0"/>
    <d v="2016-01-18T15:27:00"/>
    <x v="10"/>
    <x v="1"/>
    <x v="9"/>
    <n v="1"/>
    <m/>
    <n v="141.1"/>
    <n v="24.900000000000002"/>
  </r>
  <r>
    <s v="Backend - OM"/>
    <x v="2"/>
    <s v="New Feature"/>
    <s v="OM-2040"/>
    <s v="Auto Responder v2"/>
    <s v="New Feature"/>
    <x v="0"/>
    <d v="2016-01-19T19:01:00"/>
    <x v="10"/>
    <x v="1"/>
    <x v="9"/>
    <n v="1"/>
    <s v="talk about the update with daisy"/>
    <n v="141.1"/>
    <n v="24.900000000000002"/>
  </r>
  <r>
    <s v="Backend - OM"/>
    <x v="1"/>
    <s v="New Feature"/>
    <s v="OM-2040"/>
    <s v="Auto Responder v2"/>
    <s v="New Feature"/>
    <x v="0"/>
    <d v="2016-01-21T18:07:00"/>
    <x v="10"/>
    <x v="1"/>
    <x v="21"/>
    <n v="5"/>
    <m/>
    <n v="141.1"/>
    <n v="24.900000000000002"/>
  </r>
  <r>
    <s v="Backend - OM"/>
    <x v="2"/>
    <s v="New Feature"/>
    <s v="OM-2040"/>
    <s v="Auto Responder v2"/>
    <s v="New Feature"/>
    <x v="0"/>
    <d v="2016-01-22T17:42:00"/>
    <x v="10"/>
    <x v="1"/>
    <x v="9"/>
    <n v="4"/>
    <s v="support QA test"/>
    <n v="141.1"/>
    <n v="24.900000000000002"/>
  </r>
  <r>
    <s v="Backend - OM"/>
    <x v="1"/>
    <s v="New Feature"/>
    <s v="OM-2040"/>
    <s v="Auto Responder v2"/>
    <s v="New Feature"/>
    <x v="0"/>
    <d v="2016-01-22T17:46:00"/>
    <x v="10"/>
    <x v="1"/>
    <x v="21"/>
    <n v="6"/>
    <m/>
    <n v="141.1"/>
    <n v="24.900000000000002"/>
  </r>
  <r>
    <s v="Backend - OM"/>
    <x v="2"/>
    <s v="New Feature"/>
    <s v="OM-2040"/>
    <s v="Auto Responder v2"/>
    <s v="New Feature"/>
    <x v="0"/>
    <d v="2016-01-23T17:39:00"/>
    <x v="10"/>
    <x v="1"/>
    <x v="9"/>
    <n v="3"/>
    <s v="test the weekly status update email (yesterday test at omtest not correct, but local sever is ok). tidy the files and submit to tunk."/>
    <n v="141.1"/>
    <n v="24.900000000000002"/>
  </r>
  <r>
    <s v="Backend - OM"/>
    <x v="2"/>
    <s v="New Feature"/>
    <s v="OM-2040"/>
    <s v="Auto Responder v2"/>
    <s v="New Feature"/>
    <x v="0"/>
    <d v="2016-01-25T18:48:00"/>
    <x v="10"/>
    <x v="1"/>
    <x v="9"/>
    <n v="4"/>
    <s v="support to test"/>
    <n v="141.1"/>
    <n v="24.900000000000002"/>
  </r>
  <r>
    <s v="Backend - OM"/>
    <x v="2"/>
    <s v="New Feature"/>
    <s v="OM-2040"/>
    <s v="Auto Responder v2"/>
    <s v="New Feature"/>
    <x v="0"/>
    <d v="2016-01-26T21:59:00"/>
    <x v="10"/>
    <x v="1"/>
    <x v="9"/>
    <n v="5"/>
    <s v="release"/>
    <n v="141.1"/>
    <n v="24.900000000000002"/>
  </r>
  <r>
    <s v="Backend - OM"/>
    <x v="1"/>
    <s v="New Feature"/>
    <s v="OM-2056"/>
    <s v="Role-based Authorization for Payment Manual Confirm"/>
    <s v="New Feature"/>
    <x v="0"/>
    <d v="2015-12-04T17:59:00"/>
    <x v="9"/>
    <x v="0"/>
    <x v="8"/>
    <n v="2"/>
    <m/>
    <n v="147.9"/>
    <n v="26.100000000000005"/>
  </r>
  <r>
    <s v="Backend - OM"/>
    <x v="1"/>
    <s v="New Feature"/>
    <s v="OM-2056"/>
    <s v="Role-based Authorization for Payment Manual Confirm"/>
    <s v="New Feature"/>
    <x v="0"/>
    <d v="2015-12-07T17:04:00"/>
    <x v="9"/>
    <x v="0"/>
    <x v="8"/>
    <n v="1"/>
    <m/>
    <n v="147.9"/>
    <n v="26.100000000000005"/>
  </r>
  <r>
    <s v="Backend - OM"/>
    <x v="2"/>
    <s v="Bugs"/>
    <s v="OM-2071"/>
    <s v="OM-1948&gt; is_stock=0 going to wrong lab"/>
    <s v="Bugs"/>
    <x v="1"/>
    <d v="2015-12-23T10:17:00"/>
    <x v="9"/>
    <x v="0"/>
    <x v="16"/>
    <n v="2"/>
    <m/>
    <n v="147.9"/>
    <n v="26.100000000000005"/>
  </r>
  <r>
    <s v="Backend - OM"/>
    <x v="1"/>
    <s v="Bugs"/>
    <s v="OM-2071"/>
    <s v="OM-1948&gt; is_stock=0 going to wrong lab"/>
    <s v="Bugs"/>
    <x v="1"/>
    <d v="2015-12-23T18:32:00"/>
    <x v="9"/>
    <x v="0"/>
    <x v="8"/>
    <n v="2"/>
    <m/>
    <n v="147.9"/>
    <n v="26.100000000000005"/>
  </r>
  <r>
    <s v="Backend - OM"/>
    <x v="2"/>
    <s v="Bugs"/>
    <s v="OM-2072"/>
    <s v="OM-1948&gt; didn't go to correct lab if cx got same SPH &amp; CYL"/>
    <s v="Bugs"/>
    <x v="1"/>
    <d v="2016-01-14T10:02:00"/>
    <x v="10"/>
    <x v="1"/>
    <x v="16"/>
    <n v="2"/>
    <m/>
    <n v="141.1"/>
    <n v="24.900000000000002"/>
  </r>
  <r>
    <s v="Backend - OM"/>
    <x v="1"/>
    <s v="Bugs"/>
    <s v="OM-2072"/>
    <s v="OM-1948&gt; didn't go to correct lab if cx got same SPH &amp; CYL"/>
    <s v="Bugs"/>
    <x v="1"/>
    <d v="2016-01-15T18:00:00"/>
    <x v="10"/>
    <x v="1"/>
    <x v="8"/>
    <n v="1"/>
    <m/>
    <n v="141.1"/>
    <n v="24.900000000000002"/>
  </r>
  <r>
    <s v="Backend - OM"/>
    <x v="1"/>
    <s v="Bugs"/>
    <s v="OM-2073"/>
    <s v="OM-1948&gt; didn't release the data once the item scanned in RX PO ENTRY"/>
    <s v="Bugs"/>
    <x v="1"/>
    <d v="2016-01-21T18:41:00"/>
    <x v="10"/>
    <x v="1"/>
    <x v="8"/>
    <n v="1"/>
    <m/>
    <n v="141.1"/>
    <n v="24.900000000000002"/>
  </r>
  <r>
    <s v="Backend - OM"/>
    <x v="2"/>
    <s v="Bugs"/>
    <s v="OM-2074"/>
    <s v="OM-1948&gt; only found one data however it goes to is_stock=1"/>
    <s v="Bugs"/>
    <x v="1"/>
    <d v="2016-01-19T18:03:00"/>
    <x v="10"/>
    <x v="1"/>
    <x v="16"/>
    <n v="2"/>
    <m/>
    <n v="141.1"/>
    <n v="24.900000000000002"/>
  </r>
  <r>
    <s v="Backend - OM"/>
    <x v="2"/>
    <s v="Bugs"/>
    <s v="OM-2075"/>
    <s v="OM-1948&gt; italy rx allocation shows nothing on page"/>
    <s v="Bugs"/>
    <x v="1"/>
    <d v="2016-01-21T16:10:00"/>
    <x v="10"/>
    <x v="1"/>
    <x v="16"/>
    <n v="1"/>
    <m/>
    <n v="141.1"/>
    <n v="24.900000000000002"/>
  </r>
  <r>
    <s v="Backend - OM"/>
    <x v="1"/>
    <s v="Bugs"/>
    <s v="OM-2075"/>
    <s v="OM-1948&gt; italy rx allocation shows nothing on page"/>
    <s v="Bugs"/>
    <x v="1"/>
    <d v="2016-01-22T18:56:00"/>
    <x v="10"/>
    <x v="1"/>
    <x v="8"/>
    <n v="1"/>
    <m/>
    <n v="141.1"/>
    <n v="24.900000000000002"/>
  </r>
  <r>
    <s v="Backend - OM"/>
    <x v="1"/>
    <s v="Sub-task"/>
    <s v="OM-2077"/>
    <s v="OM-1964&gt; Test case design and execution"/>
    <s v="Sub-task"/>
    <x v="0"/>
    <d v="2015-12-10T12:32:00"/>
    <x v="9"/>
    <x v="0"/>
    <x v="8"/>
    <n v="2"/>
    <m/>
    <n v="147.9"/>
    <n v="26.100000000000005"/>
  </r>
  <r>
    <s v="Backend - OM"/>
    <x v="1"/>
    <s v="Sub-task"/>
    <s v="OM-2078"/>
    <s v="OM-2019&gt; Test case design and execution"/>
    <s v="Sub-task"/>
    <x v="0"/>
    <d v="2015-12-02T17:07:00"/>
    <x v="9"/>
    <x v="0"/>
    <x v="8"/>
    <n v="1"/>
    <m/>
    <n v="147.9"/>
    <n v="26.100000000000005"/>
  </r>
  <r>
    <s v="Backend - OM"/>
    <x v="1"/>
    <s v="Sub-task"/>
    <s v="OM-2079"/>
    <s v="OM-2056&gt; Test case design and execution"/>
    <s v="Sub-task"/>
    <x v="0"/>
    <d v="2015-12-07T12:13:00"/>
    <x v="9"/>
    <x v="0"/>
    <x v="8"/>
    <n v="2"/>
    <m/>
    <n v="147.9"/>
    <n v="26.100000000000005"/>
  </r>
  <r>
    <s v="Backend - OM"/>
    <x v="1"/>
    <s v="Technical task"/>
    <s v="OM-2080"/>
    <s v="OM-1948&gt; Test case design and execution"/>
    <s v="Technical task"/>
    <x v="0"/>
    <d v="2015-12-30T18:38:00"/>
    <x v="9"/>
    <x v="0"/>
    <x v="8"/>
    <n v="1"/>
    <m/>
    <n v="147.9"/>
    <n v="26.100000000000005"/>
  </r>
  <r>
    <s v="Backend - OM"/>
    <x v="1"/>
    <s v="Technical task"/>
    <s v="OM-2080"/>
    <s v="OM-1948&gt; Test case design and execution"/>
    <s v="Technical task"/>
    <x v="0"/>
    <d v="2016-01-04T16:34:00"/>
    <x v="10"/>
    <x v="1"/>
    <x v="8"/>
    <n v="2"/>
    <m/>
    <n v="141.1"/>
    <n v="24.900000000000002"/>
  </r>
  <r>
    <s v="Backend - OM"/>
    <x v="2"/>
    <s v="Improvement"/>
    <s v="OM-2170"/>
    <s v="New Manifest in OM"/>
    <s v="Improvement"/>
    <x v="0"/>
    <d v="2016-01-01T11:00:00"/>
    <x v="10"/>
    <x v="1"/>
    <x v="20"/>
    <n v="8"/>
    <m/>
    <n v="141.1"/>
    <n v="24.900000000000002"/>
  </r>
  <r>
    <s v="Backend - OM"/>
    <x v="2"/>
    <s v="Improvement"/>
    <s v="OM-2170"/>
    <s v="New Manifest in OM"/>
    <s v="Improvement"/>
    <x v="0"/>
    <d v="2016-01-06T10:16:00"/>
    <x v="10"/>
    <x v="1"/>
    <x v="20"/>
    <n v="2"/>
    <m/>
    <n v="141.1"/>
    <n v="24.900000000000002"/>
  </r>
  <r>
    <s v="Backend - OM"/>
    <x v="2"/>
    <s v="Improvement"/>
    <s v="OM-2170"/>
    <s v="New Manifest in OM"/>
    <s v="Improvement"/>
    <x v="0"/>
    <d v="2016-01-06T10:16:00"/>
    <x v="10"/>
    <x v="1"/>
    <x v="20"/>
    <n v="2"/>
    <m/>
    <n v="141.1"/>
    <n v="24.900000000000002"/>
  </r>
  <r>
    <s v="Backend - OM"/>
    <x v="2"/>
    <s v="Improvement"/>
    <s v="OM-2170"/>
    <s v="New Manifest in OM"/>
    <s v="Improvement"/>
    <x v="0"/>
    <d v="2016-01-06T18:48:00"/>
    <x v="10"/>
    <x v="1"/>
    <x v="9"/>
    <n v="0.5"/>
    <m/>
    <n v="141.1"/>
    <n v="24.900000000000002"/>
  </r>
  <r>
    <s v="Backend - OM"/>
    <x v="1"/>
    <s v="Improvement"/>
    <s v="OM-2170"/>
    <s v="New Manifest in OM"/>
    <s v="Improvement"/>
    <x v="0"/>
    <d v="2016-01-08T18:26:00"/>
    <x v="10"/>
    <x v="1"/>
    <x v="8"/>
    <n v="1"/>
    <m/>
    <n v="141.1"/>
    <n v="24.900000000000002"/>
  </r>
  <r>
    <s v="Backend - OM"/>
    <x v="1"/>
    <s v="Improvement"/>
    <s v="OM-2170"/>
    <s v="New Manifest in OM"/>
    <s v="Improvement"/>
    <x v="0"/>
    <d v="2016-01-13T10:11:00"/>
    <x v="10"/>
    <x v="1"/>
    <x v="8"/>
    <n v="0.5"/>
    <m/>
    <n v="141.1"/>
    <n v="24.900000000000002"/>
  </r>
  <r>
    <s v="Backend - OM"/>
    <x v="2"/>
    <s v="New Feature"/>
    <s v="OM-2232"/>
    <s v="Planning &amp; Estimating Next 90-Day Projects"/>
    <s v="New Feature"/>
    <x v="0"/>
    <d v="2015-12-07T23:11:00"/>
    <x v="9"/>
    <x v="0"/>
    <x v="25"/>
    <n v="40"/>
    <m/>
    <n v="147.9"/>
    <n v="26.100000000000005"/>
  </r>
  <r>
    <s v="Backend - OM"/>
    <x v="2"/>
    <s v="New Feature"/>
    <s v="OM-2232"/>
    <s v="Planning &amp; Estimating Next 90-Day Projects"/>
    <s v="New Feature"/>
    <x v="0"/>
    <d v="2016-01-07T23:11:00"/>
    <x v="10"/>
    <x v="1"/>
    <x v="25"/>
    <n v="80"/>
    <m/>
    <n v="141.1"/>
    <n v="24.900000000000002"/>
  </r>
  <r>
    <s v="SBG Quality Assurance"/>
    <x v="1"/>
    <s v="Task"/>
    <s v="QA-196"/>
    <s v="work log 2015"/>
    <s v="Task"/>
    <x v="0"/>
    <d v="2015-12-01T18:32:00"/>
    <x v="9"/>
    <x v="0"/>
    <x v="8"/>
    <n v="2.5"/>
    <s v="1. QA meeting 2. other thing"/>
    <n v="147.9"/>
    <n v="26.100000000000005"/>
  </r>
  <r>
    <s v="SBG Quality Assurance"/>
    <x v="1"/>
    <s v="Task"/>
    <s v="QA-196"/>
    <s v="work log 2015"/>
    <s v="Task"/>
    <x v="0"/>
    <d v="2015-12-02T18:28:00"/>
    <x v="9"/>
    <x v="0"/>
    <x v="8"/>
    <n v="1"/>
    <s v="QA meeting"/>
    <n v="147.9"/>
    <n v="26.100000000000005"/>
  </r>
  <r>
    <s v="SBG Quality Assurance"/>
    <x v="1"/>
    <s v="Task"/>
    <s v="QA-196"/>
    <s v="work log 2015"/>
    <s v="Task"/>
    <x v="0"/>
    <d v="2015-12-04T18:33:00"/>
    <x v="9"/>
    <x v="0"/>
    <x v="8"/>
    <n v="0.5"/>
    <s v="1. QA meeting 2. other thing"/>
    <n v="147.9"/>
    <n v="26.100000000000005"/>
  </r>
  <r>
    <s v="SBG Quality Assurance"/>
    <x v="1"/>
    <s v="Task"/>
    <s v="QA-196"/>
    <s v="work log 2015"/>
    <s v="Task"/>
    <x v="0"/>
    <d v="2015-12-07T18:30:00"/>
    <x v="9"/>
    <x v="0"/>
    <x v="8"/>
    <n v="1.5"/>
    <s v="1. confirm requirements 2. other thing"/>
    <n v="147.9"/>
    <n v="26.100000000000005"/>
  </r>
  <r>
    <s v="SBG Quality Assurance"/>
    <x v="1"/>
    <s v="Task"/>
    <s v="QA-196"/>
    <s v="work log 2015"/>
    <s v="Task"/>
    <x v="0"/>
    <d v="2015-12-08T22:07:00"/>
    <x v="9"/>
    <x v="0"/>
    <x v="8"/>
    <n v="3"/>
    <s v="1. establish VMware 2. re-install printer 3. other thing"/>
    <n v="147.9"/>
    <n v="26.100000000000005"/>
  </r>
  <r>
    <s v="SBG Quality Assurance"/>
    <x v="1"/>
    <s v="Task"/>
    <s v="QA-196"/>
    <s v="work log 2015"/>
    <s v="Task"/>
    <x v="0"/>
    <d v="2015-12-09T18:22:00"/>
    <x v="9"/>
    <x v="0"/>
    <x v="8"/>
    <n v="2"/>
    <s v="QA meeting"/>
    <n v="147.9"/>
    <n v="26.100000000000005"/>
  </r>
  <r>
    <s v="SBG Quality Assurance"/>
    <x v="1"/>
    <s v="Task"/>
    <s v="QA-196"/>
    <s v="work log 2015"/>
    <s v="Task"/>
    <x v="0"/>
    <d v="2015-12-10T13:52:00"/>
    <x v="9"/>
    <x v="0"/>
    <x v="8"/>
    <n v="1"/>
    <s v="1. QA meeting 2. other thing"/>
    <n v="147.9"/>
    <n v="26.100000000000005"/>
  </r>
  <r>
    <s v="SBG Quality Assurance"/>
    <x v="1"/>
    <s v="Task"/>
    <s v="QA-196"/>
    <s v="work log 2015"/>
    <s v="Task"/>
    <x v="0"/>
    <d v="2015-12-11T18:41:00"/>
    <x v="9"/>
    <x v="0"/>
    <x v="8"/>
    <n v="1"/>
    <s v="1. per talk with Allen 2. other thing"/>
    <n v="147.9"/>
    <n v="26.100000000000005"/>
  </r>
  <r>
    <s v="SBG Quality Assurance"/>
    <x v="1"/>
    <s v="Task"/>
    <s v="QA-196"/>
    <s v="work log 2015"/>
    <s v="Task"/>
    <x v="0"/>
    <d v="2015-12-14T18:30:00"/>
    <x v="9"/>
    <x v="0"/>
    <x v="8"/>
    <n v="0.5"/>
    <s v="other thing"/>
    <n v="147.9"/>
    <n v="26.100000000000005"/>
  </r>
  <r>
    <s v="SBG Quality Assurance"/>
    <x v="1"/>
    <s v="Task"/>
    <s v="QA-196"/>
    <s v="work log 2015"/>
    <s v="Task"/>
    <x v="0"/>
    <d v="2015-12-15T18:32:00"/>
    <x v="9"/>
    <x v="0"/>
    <x v="8"/>
    <n v="2"/>
    <s v="1. confirm requirement with Irene and Nancy 2. other thing"/>
    <n v="147.9"/>
    <n v="26.100000000000005"/>
  </r>
  <r>
    <s v="SBG Quality Assurance"/>
    <x v="1"/>
    <s v="Task"/>
    <s v="QA-196"/>
    <s v="work log 2015"/>
    <s v="Task"/>
    <x v="0"/>
    <d v="2015-12-16T18:30:00"/>
    <x v="9"/>
    <x v="0"/>
    <x v="8"/>
    <n v="2"/>
    <s v="1. QA meeting 2. other thing"/>
    <n v="147.9"/>
    <n v="26.100000000000005"/>
  </r>
  <r>
    <s v="SBG Quality Assurance"/>
    <x v="1"/>
    <s v="Task"/>
    <s v="QA-196"/>
    <s v="work log 2015"/>
    <s v="Task"/>
    <x v="0"/>
    <d v="2015-12-17T18:35:00"/>
    <x v="9"/>
    <x v="0"/>
    <x v="8"/>
    <n v="1"/>
    <s v="1. QA meeting 2. other thing"/>
    <n v="147.9"/>
    <n v="26.100000000000005"/>
  </r>
  <r>
    <s v="SBG Quality Assurance"/>
    <x v="1"/>
    <s v="Task"/>
    <s v="QA-196"/>
    <s v="work log 2015"/>
    <s v="Task"/>
    <x v="0"/>
    <d v="2015-12-21T18:34:00"/>
    <x v="9"/>
    <x v="0"/>
    <x v="8"/>
    <n v="2"/>
    <s v="1. coding compared 2. other thing"/>
    <n v="147.9"/>
    <n v="26.100000000000005"/>
  </r>
  <r>
    <s v="SBG Quality Assurance"/>
    <x v="1"/>
    <s v="Task"/>
    <s v="QA-196"/>
    <s v="work log 2015"/>
    <s v="Task"/>
    <x v="0"/>
    <d v="2015-12-22T18:37:00"/>
    <x v="9"/>
    <x v="0"/>
    <x v="8"/>
    <n v="2.5"/>
    <s v="1. IT meeting 2. other thing"/>
    <n v="147.9"/>
    <n v="26.100000000000005"/>
  </r>
  <r>
    <s v="SBG Quality Assurance"/>
    <x v="1"/>
    <s v="Task"/>
    <s v="QA-196"/>
    <s v="work log 2015"/>
    <s v="Task"/>
    <x v="0"/>
    <d v="2015-12-23T18:33:00"/>
    <x v="9"/>
    <x v="0"/>
    <x v="8"/>
    <n v="3"/>
    <s v="1. discussion with back-end team on the RX lab jira 2. other thing"/>
    <n v="147.9"/>
    <n v="26.100000000000005"/>
  </r>
  <r>
    <s v="SBG Quality Assurance"/>
    <x v="1"/>
    <s v="Task"/>
    <s v="QA-196"/>
    <s v="work log 2015"/>
    <s v="Task"/>
    <x v="0"/>
    <d v="2015-12-24T16:38:00"/>
    <x v="9"/>
    <x v="0"/>
    <x v="8"/>
    <n v="6"/>
    <s v="1. QA meeting (3h) 2. discussion on rx lab 3. other thing"/>
    <n v="147.9"/>
    <n v="26.100000000000005"/>
  </r>
  <r>
    <s v="SBG Quality Assurance"/>
    <x v="1"/>
    <s v="Task"/>
    <s v="QA-196"/>
    <s v="work log 2015"/>
    <s v="Task"/>
    <x v="0"/>
    <d v="2015-12-25T18:37:00"/>
    <x v="9"/>
    <x v="0"/>
    <x v="8"/>
    <n v="6"/>
    <s v="1. training (2.5h) 2. QA meeting 3. party 4. other thing"/>
    <n v="147.9"/>
    <n v="26.100000000000005"/>
  </r>
  <r>
    <s v="SBG Quality Assurance"/>
    <x v="1"/>
    <s v="Task"/>
    <s v="QA-196"/>
    <s v="work log 2015"/>
    <s v="Task"/>
    <x v="0"/>
    <d v="2015-12-28T19:27:00"/>
    <x v="9"/>
    <x v="0"/>
    <x v="8"/>
    <n v="2"/>
    <s v="other thing"/>
    <n v="147.9"/>
    <n v="26.100000000000005"/>
  </r>
  <r>
    <s v="SBG Quality Assurance"/>
    <x v="1"/>
    <s v="Task"/>
    <s v="QA-196"/>
    <s v="work log 2015"/>
    <s v="Task"/>
    <x v="0"/>
    <d v="2015-12-29T18:30:00"/>
    <x v="9"/>
    <x v="0"/>
    <x v="8"/>
    <n v="3"/>
    <s v="1. IT meeting 2. QA meeting 3. other thing"/>
    <n v="147.9"/>
    <n v="26.100000000000005"/>
  </r>
  <r>
    <s v="SBG Quality Assurance"/>
    <x v="1"/>
    <s v="Task"/>
    <s v="QA-196"/>
    <s v="work log 2015"/>
    <s v="Task"/>
    <x v="0"/>
    <d v="2015-12-30T18:38:00"/>
    <x v="9"/>
    <x v="0"/>
    <x v="8"/>
    <n v="3"/>
    <s v="1. PMO lunch meeting 2. other thing"/>
    <n v="147.9"/>
    <n v="26.100000000000005"/>
  </r>
  <r>
    <s v="SBG Quality Assurance"/>
    <x v="1"/>
    <s v="Task"/>
    <s v="QA-196"/>
    <s v="work log 2015"/>
    <s v="Task"/>
    <x v="0"/>
    <d v="2015-12-31T16:34:00"/>
    <x v="9"/>
    <x v="0"/>
    <x v="8"/>
    <n v="4"/>
    <s v="1. GIT training 2. other thing"/>
    <n v="147.9"/>
    <n v="26.100000000000005"/>
  </r>
  <r>
    <s v="SBG Quality Assurance"/>
    <x v="1"/>
    <s v="Task"/>
    <s v="QA-196"/>
    <s v="work log 2015"/>
    <s v="Task"/>
    <x v="0"/>
    <d v="2016-01-04T18:34:00"/>
    <x v="10"/>
    <x v="1"/>
    <x v="8"/>
    <n v="1"/>
    <s v="other thing"/>
    <n v="141.1"/>
    <n v="24.900000000000002"/>
  </r>
  <r>
    <s v="SBG Quality Assurance"/>
    <x v="1"/>
    <s v="Task"/>
    <s v="QA-213"/>
    <s v="Work log 2015 Oct. to Dec. Candy Gan"/>
    <s v="Task"/>
    <x v="0"/>
    <d v="2015-12-24T16:36:00"/>
    <x v="9"/>
    <x v="0"/>
    <x v="1"/>
    <n v="4"/>
    <s v="Meetings."/>
    <n v="147.9"/>
    <n v="26.100000000000005"/>
  </r>
  <r>
    <s v="SBG Quality Assurance"/>
    <x v="1"/>
    <s v="Task"/>
    <s v="QA-213"/>
    <s v="Work log 2015 Oct. to Dec. Candy Gan"/>
    <s v="Task"/>
    <x v="0"/>
    <d v="2015-12-25T17:32:00"/>
    <x v="9"/>
    <x v="0"/>
    <x v="1"/>
    <n v="4"/>
    <s v="Training 2.5h Meeting 1.5h"/>
    <n v="147.9"/>
    <n v="26.100000000000005"/>
  </r>
  <r>
    <s v="SBG Quality Assurance"/>
    <x v="1"/>
    <s v="Task"/>
    <s v="QA-213"/>
    <s v="Work log 2015 Oct. to Dec. Candy Gan"/>
    <s v="Task"/>
    <x v="0"/>
    <d v="2015-12-31T17:58:00"/>
    <x v="9"/>
    <x v="0"/>
    <x v="1"/>
    <n v="2"/>
    <m/>
    <n v="147.9"/>
    <n v="26.100000000000005"/>
  </r>
  <r>
    <s v="SBG Quality Assurance"/>
    <x v="1"/>
    <s v="Task"/>
    <s v="QA-228"/>
    <s v="Performance baseline testing"/>
    <s v="Task"/>
    <x v="0"/>
    <d v="2015-12-10T15:50:00"/>
    <x v="9"/>
    <x v="0"/>
    <x v="26"/>
    <n v="3"/>
    <m/>
    <n v="147.9"/>
    <n v="26.100000000000005"/>
  </r>
  <r>
    <s v="SBG Quality Assurance"/>
    <x v="1"/>
    <s v="Sub-task"/>
    <s v="QA-235"/>
    <s v="QA-225&gt; Prod testing"/>
    <s v="Sub-task"/>
    <x v="0"/>
    <d v="2015-12-01T15:18:00"/>
    <x v="9"/>
    <x v="0"/>
    <x v="1"/>
    <n v="3"/>
    <m/>
    <n v="147.9"/>
    <n v="26.100000000000005"/>
  </r>
  <r>
    <s v="SBG Quality Assurance"/>
    <x v="1"/>
    <s v="Sub-task"/>
    <s v="QA-238"/>
    <s v="QA-237&gt; CLONE - Prod testing"/>
    <s v="Sub-task"/>
    <x v="0"/>
    <d v="2015-12-08T18:18:00"/>
    <x v="9"/>
    <x v="0"/>
    <x v="23"/>
    <n v="3"/>
    <m/>
    <n v="147.9"/>
    <n v="26.100000000000005"/>
  </r>
  <r>
    <s v="SBG Quality Assurance"/>
    <x v="1"/>
    <s v="Sub-task"/>
    <s v="QA-238"/>
    <s v="QA-237&gt; CLONE - Prod testing"/>
    <s v="Sub-task"/>
    <x v="0"/>
    <d v="2015-12-16T13:51:00"/>
    <x v="9"/>
    <x v="0"/>
    <x v="23"/>
    <n v="2"/>
    <m/>
    <n v="147.9"/>
    <n v="26.100000000000005"/>
  </r>
  <r>
    <s v="SBG Quality Assurance"/>
    <x v="1"/>
    <s v="Sub-task"/>
    <s v="QA-238"/>
    <s v="QA-237&gt; CLONE - Prod testing"/>
    <s v="Sub-task"/>
    <x v="0"/>
    <d v="2015-12-24T07:52:00"/>
    <x v="9"/>
    <x v="0"/>
    <x v="23"/>
    <n v="8"/>
    <m/>
    <n v="147.9"/>
    <n v="26.100000000000005"/>
  </r>
  <r>
    <s v="SBG Quality Assurance"/>
    <x v="1"/>
    <s v="Sub-task"/>
    <s v="QA-239"/>
    <s v="QA-237&gt; CLONE - Prod testing"/>
    <s v="Sub-task"/>
    <x v="0"/>
    <d v="2015-12-08T15:30:00"/>
    <x v="9"/>
    <x v="0"/>
    <x v="26"/>
    <n v="3"/>
    <m/>
    <n v="147.9"/>
    <n v="26.100000000000005"/>
  </r>
  <r>
    <s v="SBG Quality Assurance"/>
    <x v="1"/>
    <s v="Sub-task"/>
    <s v="QA-241"/>
    <s v="QA-237&gt; CLONE - Prod testing"/>
    <s v="Sub-task"/>
    <x v="0"/>
    <d v="2015-12-08T17:37:00"/>
    <x v="9"/>
    <x v="0"/>
    <x v="1"/>
    <n v="3"/>
    <m/>
    <n v="147.9"/>
    <n v="26.100000000000005"/>
  </r>
  <r>
    <s v="SBG Quality Assurance"/>
    <x v="1"/>
    <s v="Sub-task"/>
    <s v="QA-244"/>
    <s v="QA-243&gt; CLONE - CLONE - Prod testing"/>
    <s v="Sub-task"/>
    <x v="0"/>
    <d v="2015-12-15T16:15:00"/>
    <x v="9"/>
    <x v="0"/>
    <x v="23"/>
    <n v="3"/>
    <m/>
    <n v="147.9"/>
    <n v="26.100000000000005"/>
  </r>
  <r>
    <s v="SBG Quality Assurance"/>
    <x v="1"/>
    <s v="Sub-task"/>
    <s v="QA-245"/>
    <s v="QA-243&gt; CLONE - CLONE - Prod testing"/>
    <s v="Sub-task"/>
    <x v="0"/>
    <d v="2015-12-15T16:13:00"/>
    <x v="9"/>
    <x v="0"/>
    <x v="26"/>
    <n v="3"/>
    <m/>
    <n v="147.9"/>
    <n v="26.100000000000005"/>
  </r>
  <r>
    <s v="SBG Quality Assurance"/>
    <x v="1"/>
    <s v="Sub-task"/>
    <s v="QA-246"/>
    <s v="QA-243&gt; CLONE - CLONE - Prod testing"/>
    <s v="Sub-task"/>
    <x v="0"/>
    <d v="2015-12-15T16:19:00"/>
    <x v="9"/>
    <x v="0"/>
    <x v="8"/>
    <n v="3"/>
    <m/>
    <n v="147.9"/>
    <n v="26.100000000000005"/>
  </r>
  <r>
    <s v="SBG Quality Assurance"/>
    <x v="1"/>
    <s v="Sub-task"/>
    <s v="QA-247"/>
    <s v="QA-243&gt; CLONE - CLONE - Prod testing"/>
    <s v="Sub-task"/>
    <x v="0"/>
    <d v="2015-12-16T09:15:00"/>
    <x v="9"/>
    <x v="0"/>
    <x v="26"/>
    <n v="3"/>
    <m/>
    <n v="147.9"/>
    <n v="26.100000000000005"/>
  </r>
  <r>
    <s v="SBG Quality Assurance"/>
    <x v="1"/>
    <s v="Sub-task"/>
    <s v="QA-248"/>
    <s v="QA-243&gt; CLONE - CLONE - Prod testing"/>
    <s v="Sub-task"/>
    <x v="0"/>
    <d v="2015-12-15T18:19:00"/>
    <x v="9"/>
    <x v="0"/>
    <x v="21"/>
    <n v="4"/>
    <m/>
    <n v="147.9"/>
    <n v="26.100000000000005"/>
  </r>
  <r>
    <s v="SBG Quality Assurance"/>
    <x v="1"/>
    <s v="Sub-task"/>
    <s v="QA-254"/>
    <s v="QA-228&gt; Test case design and execution"/>
    <s v="Sub-task"/>
    <x v="0"/>
    <d v="2015-12-09T18:41:00"/>
    <x v="9"/>
    <x v="0"/>
    <x v="26"/>
    <n v="2"/>
    <m/>
    <n v="147.9"/>
    <n v="26.100000000000005"/>
  </r>
  <r>
    <s v="SBG Quality Assurance"/>
    <x v="1"/>
    <s v="Sub-task"/>
    <s v="QA-254"/>
    <s v="QA-228&gt; Test case design and execution"/>
    <s v="Sub-task"/>
    <x v="0"/>
    <d v="2015-12-10T09:43:00"/>
    <x v="9"/>
    <x v="0"/>
    <x v="26"/>
    <n v="0.1"/>
    <m/>
    <n v="147.9"/>
    <n v="26.100000000000005"/>
  </r>
  <r>
    <s v="SBG Quality Assurance"/>
    <x v="1"/>
    <s v="Sub-task"/>
    <s v="QA-255"/>
    <s v="QA-229&gt; Test case design and execution"/>
    <s v="Sub-task"/>
    <x v="0"/>
    <d v="2015-12-02T16:52:00"/>
    <x v="9"/>
    <x v="0"/>
    <x v="26"/>
    <n v="2"/>
    <m/>
    <n v="147.9"/>
    <n v="26.100000000000005"/>
  </r>
  <r>
    <s v="SBG Quality Assurance"/>
    <x v="1"/>
    <s v="Sub-task"/>
    <s v="QA-255"/>
    <s v="QA-229&gt; Test case design and execution"/>
    <s v="Sub-task"/>
    <x v="0"/>
    <d v="2015-12-03T15:42:00"/>
    <x v="9"/>
    <x v="0"/>
    <x v="26"/>
    <n v="3"/>
    <m/>
    <n v="147.9"/>
    <n v="26.100000000000005"/>
  </r>
  <r>
    <s v="SBG Quality Assurance"/>
    <x v="1"/>
    <s v="Improvement"/>
    <s v="QA-257"/>
    <s v="PHP 5.6 online testing"/>
    <s v="Improvement"/>
    <x v="0"/>
    <d v="2015-12-09T18:38:00"/>
    <x v="9"/>
    <x v="0"/>
    <x v="26"/>
    <n v="2"/>
    <m/>
    <n v="147.9"/>
    <n v="26.100000000000005"/>
  </r>
  <r>
    <s v="SBG Quality Assurance"/>
    <x v="1"/>
    <s v="Improvement"/>
    <s v="QA-257"/>
    <s v="PHP 5.6 online testing"/>
    <s v="Improvement"/>
    <x v="0"/>
    <d v="2015-12-10T15:50:00"/>
    <x v="9"/>
    <x v="0"/>
    <x v="26"/>
    <n v="1"/>
    <m/>
    <n v="147.9"/>
    <n v="26.100000000000005"/>
  </r>
  <r>
    <s v="SBG Quality Assurance"/>
    <x v="1"/>
    <s v="Sub-task"/>
    <s v="QA-258"/>
    <s v="QA-243&gt; Prod testing"/>
    <s v="Sub-task"/>
    <x v="0"/>
    <d v="2015-12-11T12:09:00"/>
    <x v="9"/>
    <x v="0"/>
    <x v="26"/>
    <n v="4"/>
    <m/>
    <n v="147.9"/>
    <n v="26.100000000000005"/>
  </r>
  <r>
    <s v="SBG Quality Assurance"/>
    <x v="1"/>
    <s v="Sub-task"/>
    <s v="QA-258"/>
    <s v="QA-243&gt; Prod testing"/>
    <s v="Sub-task"/>
    <x v="0"/>
    <d v="2015-12-15T11:48:00"/>
    <x v="9"/>
    <x v="0"/>
    <x v="26"/>
    <n v="4"/>
    <m/>
    <n v="147.9"/>
    <n v="26.100000000000005"/>
  </r>
  <r>
    <s v="SBG Quality Assurance"/>
    <x v="1"/>
    <s v="Sub-task"/>
    <s v="QA-258"/>
    <s v="QA-243&gt; Prod testing"/>
    <s v="Sub-task"/>
    <x v="0"/>
    <d v="2015-12-16T09:15:00"/>
    <x v="9"/>
    <x v="0"/>
    <x v="26"/>
    <n v="3"/>
    <m/>
    <n v="147.9"/>
    <n v="26.100000000000005"/>
  </r>
  <r>
    <s v="SBG Quality Assurance"/>
    <x v="1"/>
    <s v="Sub-task"/>
    <s v="QA-258"/>
    <s v="QA-243&gt; Prod testing"/>
    <s v="Sub-task"/>
    <x v="0"/>
    <d v="2015-12-17T09:48:00"/>
    <x v="9"/>
    <x v="0"/>
    <x v="26"/>
    <n v="6"/>
    <m/>
    <n v="147.9"/>
    <n v="26.100000000000005"/>
  </r>
  <r>
    <s v="SBG Quality Assurance"/>
    <x v="1"/>
    <s v="Task"/>
    <s v="QA-259"/>
    <s v="Test ELB online"/>
    <s v="Task"/>
    <x v="0"/>
    <d v="2015-12-01T13:10:00"/>
    <x v="9"/>
    <x v="0"/>
    <x v="26"/>
    <n v="3"/>
    <m/>
    <n v="147.9"/>
    <n v="26.100000000000005"/>
  </r>
  <r>
    <s v="SBG Quality Assurance"/>
    <x v="1"/>
    <s v="Task"/>
    <s v="QA-259"/>
    <s v="Test ELB online"/>
    <s v="Task"/>
    <x v="0"/>
    <d v="2015-12-02T10:09:00"/>
    <x v="9"/>
    <x v="0"/>
    <x v="26"/>
    <n v="6"/>
    <m/>
    <n v="147.9"/>
    <n v="26.100000000000005"/>
  </r>
  <r>
    <s v="SBG Quality Assurance"/>
    <x v="1"/>
    <s v="Task"/>
    <s v="QA-259"/>
    <s v="Test ELB online"/>
    <s v="Task"/>
    <x v="0"/>
    <d v="2015-12-03T14:09:00"/>
    <x v="9"/>
    <x v="0"/>
    <x v="26"/>
    <n v="2"/>
    <m/>
    <n v="147.9"/>
    <n v="26.100000000000005"/>
  </r>
  <r>
    <s v="SBG Quality Assurance"/>
    <x v="1"/>
    <s v="Task"/>
    <s v="QA-259"/>
    <s v="Test ELB online"/>
    <s v="Task"/>
    <x v="0"/>
    <d v="2015-12-07T09:09:00"/>
    <x v="9"/>
    <x v="0"/>
    <x v="26"/>
    <n v="7"/>
    <m/>
    <n v="147.9"/>
    <n v="26.100000000000005"/>
  </r>
  <r>
    <s v="SBG Quality Assurance"/>
    <x v="1"/>
    <s v="Task"/>
    <s v="QA-259"/>
    <s v="Test ELB online"/>
    <s v="Task"/>
    <x v="0"/>
    <d v="2015-12-08T12:09:00"/>
    <x v="9"/>
    <x v="0"/>
    <x v="26"/>
    <n v="4"/>
    <m/>
    <n v="147.9"/>
    <n v="26.100000000000005"/>
  </r>
  <r>
    <s v="SBG Quality Assurance"/>
    <x v="1"/>
    <s v="Task"/>
    <s v="QA-259"/>
    <s v="Test ELB online"/>
    <s v="Task"/>
    <x v="0"/>
    <d v="2015-12-09T12:09:00"/>
    <x v="9"/>
    <x v="0"/>
    <x v="26"/>
    <n v="4"/>
    <m/>
    <n v="147.9"/>
    <n v="26.100000000000005"/>
  </r>
  <r>
    <s v="SBG Quality Assurance"/>
    <x v="1"/>
    <s v="Task"/>
    <s v="QA-259"/>
    <s v="Test ELB online"/>
    <s v="Task"/>
    <x v="0"/>
    <d v="2015-12-17T15:59:00"/>
    <x v="9"/>
    <x v="0"/>
    <x v="26"/>
    <n v="2"/>
    <m/>
    <n v="147.9"/>
    <n v="26.100000000000005"/>
  </r>
  <r>
    <s v="SBG Quality Assurance"/>
    <x v="1"/>
    <s v="Task"/>
    <s v="QA-259"/>
    <s v="Test ELB online"/>
    <s v="Task"/>
    <x v="0"/>
    <d v="2015-12-18T09:18:00"/>
    <x v="9"/>
    <x v="0"/>
    <x v="26"/>
    <n v="1"/>
    <m/>
    <n v="147.9"/>
    <n v="26.100000000000005"/>
  </r>
  <r>
    <s v="SBG Quality Assurance"/>
    <x v="1"/>
    <s v="Improvement"/>
    <s v="QA-261"/>
    <s v="1222 release"/>
    <s v="Improvement"/>
    <x v="0"/>
    <d v="2015-12-14T09:48:00"/>
    <x v="9"/>
    <x v="0"/>
    <x v="26"/>
    <n v="6"/>
    <m/>
    <n v="147.9"/>
    <n v="26.100000000000005"/>
  </r>
  <r>
    <s v="SBG Quality Assurance"/>
    <x v="1"/>
    <s v="Improvement"/>
    <s v="QA-261"/>
    <s v="1222 release"/>
    <s v="Improvement"/>
    <x v="0"/>
    <d v="2015-12-21T12:44:00"/>
    <x v="9"/>
    <x v="0"/>
    <x v="26"/>
    <n v="3"/>
    <m/>
    <n v="147.9"/>
    <n v="26.100000000000005"/>
  </r>
  <r>
    <s v="SBG Quality Assurance"/>
    <x v="1"/>
    <s v="Improvement"/>
    <s v="QA-261"/>
    <s v="1222 release"/>
    <s v="Improvement"/>
    <x v="0"/>
    <d v="2015-12-22T12:23:00"/>
    <x v="9"/>
    <x v="0"/>
    <x v="26"/>
    <n v="4"/>
    <m/>
    <n v="147.9"/>
    <n v="26.100000000000005"/>
  </r>
  <r>
    <s v="SBG Quality Assurance"/>
    <x v="1"/>
    <s v="Improvement"/>
    <s v="QA-261"/>
    <s v="1222 release"/>
    <s v="Improvement"/>
    <x v="0"/>
    <d v="2015-12-22T14:40:00"/>
    <x v="9"/>
    <x v="0"/>
    <x v="21"/>
    <n v="3"/>
    <m/>
    <n v="147.9"/>
    <n v="26.100000000000005"/>
  </r>
  <r>
    <s v="SBG Quality Assurance"/>
    <x v="1"/>
    <s v="Improvement"/>
    <s v="QA-261"/>
    <s v="1222 release"/>
    <s v="Improvement"/>
    <x v="0"/>
    <d v="2015-12-22T16:05:00"/>
    <x v="9"/>
    <x v="0"/>
    <x v="8"/>
    <n v="4"/>
    <m/>
    <n v="147.9"/>
    <n v="26.100000000000005"/>
  </r>
  <r>
    <s v="SBG Quality Assurance"/>
    <x v="1"/>
    <s v="Task"/>
    <s v="QA-262"/>
    <s v="GIT learning"/>
    <s v="Task"/>
    <x v="0"/>
    <d v="2015-12-18T17:20:00"/>
    <x v="9"/>
    <x v="0"/>
    <x v="26"/>
    <n v="1"/>
    <m/>
    <n v="147.9"/>
    <n v="26.100000000000005"/>
  </r>
  <r>
    <s v="SBG Quality Assurance"/>
    <x v="1"/>
    <s v="Task"/>
    <s v="QA-262"/>
    <s v="GIT learning"/>
    <s v="Task"/>
    <x v="0"/>
    <d v="2015-12-18T17:59:00"/>
    <x v="9"/>
    <x v="0"/>
    <x v="23"/>
    <n v="1.5"/>
    <m/>
    <n v="147.9"/>
    <n v="26.100000000000005"/>
  </r>
  <r>
    <s v="SBG Quality Assurance"/>
    <x v="1"/>
    <s v="Task"/>
    <s v="QA-262"/>
    <s v="GIT learning"/>
    <s v="Task"/>
    <x v="0"/>
    <d v="2015-12-25T13:52:00"/>
    <x v="9"/>
    <x v="0"/>
    <x v="23"/>
    <n v="2"/>
    <m/>
    <n v="147.9"/>
    <n v="26.100000000000005"/>
  </r>
  <r>
    <s v="SBG Quality Assurance"/>
    <x v="1"/>
    <s v="Task"/>
    <s v="QA-262"/>
    <s v="GIT learning"/>
    <s v="Task"/>
    <x v="0"/>
    <d v="2015-12-31T07:53:00"/>
    <x v="9"/>
    <x v="0"/>
    <x v="23"/>
    <n v="8"/>
    <m/>
    <n v="147.9"/>
    <n v="26.100000000000005"/>
  </r>
  <r>
    <s v="SBG Quality Assurance"/>
    <x v="1"/>
    <s v="Task"/>
    <s v="QA-263"/>
    <s v="Automation"/>
    <s v="Task"/>
    <x v="0"/>
    <d v="2015-12-16T17:04:00"/>
    <x v="9"/>
    <x v="0"/>
    <x v="23"/>
    <n v="1"/>
    <m/>
    <n v="147.9"/>
    <n v="26.100000000000005"/>
  </r>
  <r>
    <s v="SBG Quality Assurance"/>
    <x v="1"/>
    <s v="Task"/>
    <s v="QA-263"/>
    <s v="Automation"/>
    <s v="Task"/>
    <x v="0"/>
    <d v="2015-12-17T18:11:00"/>
    <x v="9"/>
    <x v="0"/>
    <x v="23"/>
    <n v="4"/>
    <m/>
    <n v="147.9"/>
    <n v="26.100000000000005"/>
  </r>
  <r>
    <s v="SBG Quality Assurance"/>
    <x v="1"/>
    <s v="Task"/>
    <s v="QA-263"/>
    <s v="Automation"/>
    <s v="Task"/>
    <x v="0"/>
    <d v="2015-12-18T17:59:00"/>
    <x v="9"/>
    <x v="0"/>
    <x v="23"/>
    <n v="2"/>
    <m/>
    <n v="147.9"/>
    <n v="26.100000000000005"/>
  </r>
  <r>
    <s v="SBG Quality Assurance"/>
    <x v="1"/>
    <s v="Task"/>
    <s v="QA-265"/>
    <s v="work log 2016"/>
    <s v="Task"/>
    <x v="0"/>
    <d v="2016-01-05T18:34:00"/>
    <x v="10"/>
    <x v="1"/>
    <x v="8"/>
    <n v="3"/>
    <s v="1. discuss with Tommy 2. help Daisy to establish test server 3. IT meeting 4. other thing"/>
    <n v="141.1"/>
    <n v="24.900000000000002"/>
  </r>
  <r>
    <s v="SBG Quality Assurance"/>
    <x v="1"/>
    <s v="Task"/>
    <s v="QA-265"/>
    <s v="work log 2016"/>
    <s v="Task"/>
    <x v="0"/>
    <d v="2016-01-06T18:31:00"/>
    <x v="10"/>
    <x v="1"/>
    <x v="8"/>
    <n v="1.5"/>
    <m/>
    <n v="141.1"/>
    <n v="24.900000000000002"/>
  </r>
  <r>
    <s v="SBG Quality Assurance"/>
    <x v="1"/>
    <s v="Task"/>
    <s v="QA-265"/>
    <s v="work log 2016"/>
    <s v="Task"/>
    <x v="0"/>
    <d v="2016-01-07T18:30:00"/>
    <x v="10"/>
    <x v="1"/>
    <x v="8"/>
    <n v="2"/>
    <s v="1. QA meeting 2. other thing"/>
    <n v="141.1"/>
    <n v="24.900000000000002"/>
  </r>
  <r>
    <s v="SBG Quality Assurance"/>
    <x v="1"/>
    <s v="Task"/>
    <s v="QA-265"/>
    <s v="work log 2016"/>
    <s v="Task"/>
    <x v="0"/>
    <d v="2016-01-08T18:35:00"/>
    <x v="10"/>
    <x v="1"/>
    <x v="8"/>
    <n v="2"/>
    <s v="1. QA meeting 2. per talk with Allen 3. other thing"/>
    <n v="141.1"/>
    <n v="24.900000000000002"/>
  </r>
  <r>
    <s v="SBG Quality Assurance"/>
    <x v="1"/>
    <s v="Task"/>
    <s v="QA-265"/>
    <s v="work log 2016"/>
    <s v="Task"/>
    <x v="0"/>
    <d v="2016-01-11T18:38:00"/>
    <x v="10"/>
    <x v="1"/>
    <x v="8"/>
    <n v="1"/>
    <s v="1. QA meeting 2. other thing"/>
    <n v="141.1"/>
    <n v="24.900000000000002"/>
  </r>
  <r>
    <s v="SBG Quality Assurance"/>
    <x v="1"/>
    <s v="Task"/>
    <s v="QA-265"/>
    <s v="work log 2016"/>
    <s v="Task"/>
    <x v="0"/>
    <d v="2016-01-12T18:31:00"/>
    <x v="10"/>
    <x v="1"/>
    <x v="8"/>
    <n v="3"/>
    <s v="1. IT meeting 2. GIT install 3. other thing"/>
    <n v="141.1"/>
    <n v="24.900000000000002"/>
  </r>
  <r>
    <s v="SBG Quality Assurance"/>
    <x v="1"/>
    <s v="Task"/>
    <s v="QA-265"/>
    <s v="work log 2016"/>
    <s v="Task"/>
    <x v="0"/>
    <d v="2016-01-13T18:42:00"/>
    <x v="10"/>
    <x v="1"/>
    <x v="8"/>
    <n v="3.5"/>
    <s v="1. QA meeting 2. help Frank to check Cart Abandonment 3. help Tiny and Agnes to check Reorder 4. other thing"/>
    <n v="141.1"/>
    <n v="24.900000000000002"/>
  </r>
  <r>
    <s v="SBG Quality Assurance"/>
    <x v="1"/>
    <s v="Task"/>
    <s v="QA-265"/>
    <s v="work log 2016"/>
    <s v="Task"/>
    <x v="0"/>
    <d v="2016-01-14T18:59:00"/>
    <x v="10"/>
    <x v="1"/>
    <x v="8"/>
    <n v="2"/>
    <s v="1. set up environment 2. help Agnes check CL reorder 3. other thing"/>
    <n v="141.1"/>
    <n v="24.900000000000002"/>
  </r>
  <r>
    <s v="SBG Quality Assurance"/>
    <x v="1"/>
    <s v="Task"/>
    <s v="QA-265"/>
    <s v="work log 2016"/>
    <s v="Task"/>
    <x v="0"/>
    <d v="2016-01-15T18:58:00"/>
    <x v="10"/>
    <x v="1"/>
    <x v="8"/>
    <n v="2"/>
    <s v="1. QA stand-up meeting 2. other thing"/>
    <n v="141.1"/>
    <n v="24.900000000000002"/>
  </r>
  <r>
    <s v="SBG Quality Assurance"/>
    <x v="1"/>
    <s v="Task"/>
    <s v="QA-265"/>
    <s v="work log 2016"/>
    <s v="Task"/>
    <x v="0"/>
    <d v="2016-01-16T19:05:00"/>
    <x v="10"/>
    <x v="1"/>
    <x v="8"/>
    <n v="1.5"/>
    <s v="1. discuss requirement with Irene 2. other thing"/>
    <n v="141.1"/>
    <n v="24.900000000000002"/>
  </r>
  <r>
    <s v="SBG Quality Assurance"/>
    <x v="1"/>
    <s v="Task"/>
    <s v="QA-265"/>
    <s v="work log 2016"/>
    <s v="Task"/>
    <x v="0"/>
    <d v="2016-01-19T20:15:00"/>
    <x v="10"/>
    <x v="1"/>
    <x v="8"/>
    <n v="1"/>
    <s v="IT meeting"/>
    <n v="141.1"/>
    <n v="24.900000000000002"/>
  </r>
  <r>
    <s v="SBG Quality Assurance"/>
    <x v="1"/>
    <s v="Task"/>
    <s v="QA-265"/>
    <s v="work log 2016"/>
    <s v="Task"/>
    <x v="0"/>
    <d v="2016-01-20T18:26:00"/>
    <x v="10"/>
    <x v="1"/>
    <x v="8"/>
    <n v="3"/>
    <s v="1. QA meeting 2. Welcome Wed. 3. help HK check the printer 4. other thing"/>
    <n v="141.1"/>
    <n v="24.900000000000002"/>
  </r>
  <r>
    <s v="SBG Quality Assurance"/>
    <x v="1"/>
    <s v="Task"/>
    <s v="QA-265"/>
    <s v="work log 2016"/>
    <s v="Task"/>
    <x v="0"/>
    <d v="2016-01-21T18:52:00"/>
    <x v="10"/>
    <x v="1"/>
    <x v="8"/>
    <n v="1"/>
    <s v="other thing"/>
    <n v="141.1"/>
    <n v="24.900000000000002"/>
  </r>
  <r>
    <s v="SBG Quality Assurance"/>
    <x v="1"/>
    <s v="Task"/>
    <s v="QA-265"/>
    <s v="work log 2016"/>
    <s v="Task"/>
    <x v="0"/>
    <d v="2016-01-22T18:56:00"/>
    <x v="10"/>
    <x v="1"/>
    <x v="8"/>
    <n v="2"/>
    <s v="IT sharing"/>
    <n v="141.1"/>
    <n v="24.900000000000002"/>
  </r>
  <r>
    <s v="SBG Quality Assurance"/>
    <x v="1"/>
    <s v="Task"/>
    <s v="QA-265"/>
    <s v="work log 2016"/>
    <s v="Task"/>
    <x v="0"/>
    <d v="2016-01-23T17:37:00"/>
    <x v="10"/>
    <x v="1"/>
    <x v="8"/>
    <n v="1"/>
    <s v="other thing"/>
    <n v="141.1"/>
    <n v="24.900000000000002"/>
  </r>
  <r>
    <s v="SBG Quality Assurance"/>
    <x v="1"/>
    <s v="Task"/>
    <s v="QA-265"/>
    <s v="work log 2016"/>
    <s v="Task"/>
    <x v="0"/>
    <d v="2016-01-25T20:03:00"/>
    <x v="10"/>
    <x v="1"/>
    <x v="8"/>
    <n v="0.5"/>
    <s v="QA meeting"/>
    <n v="141.1"/>
    <n v="24.900000000000002"/>
  </r>
  <r>
    <s v="SBG Quality Assurance"/>
    <x v="1"/>
    <s v="Task"/>
    <s v="QA-265"/>
    <s v="work log 2016"/>
    <s v="Task"/>
    <x v="0"/>
    <d v="2016-01-28T18:35:00"/>
    <x v="10"/>
    <x v="1"/>
    <x v="8"/>
    <n v="8"/>
    <s v="1. QA meeting 2. help HK check issues (2h) 3. establish Virtual machine and JMETER"/>
    <n v="141.1"/>
    <n v="24.900000000000002"/>
  </r>
  <r>
    <s v="SBG Quality Assurance"/>
    <x v="1"/>
    <s v="Task"/>
    <s v="QA-265"/>
    <s v="work log 2016"/>
    <s v="Task"/>
    <x v="0"/>
    <d v="2016-01-29T18:57:00"/>
    <x v="10"/>
    <x v="1"/>
    <x v="8"/>
    <n v="4"/>
    <s v="1. QA meeting 2. QA sharing (1.5h) 3. other thing"/>
    <n v="141.1"/>
    <n v="24.900000000000002"/>
  </r>
  <r>
    <s v="SBG Quality Assurance"/>
    <x v="1"/>
    <s v="Improvement"/>
    <s v="QA-270"/>
    <s v="automation framework"/>
    <s v="Improvement"/>
    <x v="0"/>
    <d v="2016-01-07T15:18:00"/>
    <x v="10"/>
    <x v="1"/>
    <x v="26"/>
    <n v="6"/>
    <m/>
    <n v="141.1"/>
    <n v="24.900000000000002"/>
  </r>
  <r>
    <s v="SBG Quality Assurance"/>
    <x v="1"/>
    <s v="Improvement"/>
    <s v="QA-270"/>
    <s v="automation framework"/>
    <s v="Improvement"/>
    <x v="0"/>
    <d v="2016-01-11T16:20:00"/>
    <x v="10"/>
    <x v="1"/>
    <x v="26"/>
    <n v="4"/>
    <m/>
    <n v="141.1"/>
    <n v="24.900000000000002"/>
  </r>
  <r>
    <s v="SBG Quality Assurance"/>
    <x v="1"/>
    <s v="Improvement"/>
    <s v="QA-270"/>
    <s v="automation framework"/>
    <s v="Improvement"/>
    <x v="0"/>
    <d v="2016-01-14T14:23:00"/>
    <x v="10"/>
    <x v="1"/>
    <x v="26"/>
    <n v="6"/>
    <m/>
    <n v="141.1"/>
    <n v="24.900000000000002"/>
  </r>
  <r>
    <s v="SBG Quality Assurance"/>
    <x v="1"/>
    <s v="Improvement"/>
    <s v="QA-270"/>
    <s v="automation framework"/>
    <s v="Improvement"/>
    <x v="0"/>
    <d v="2016-01-18T12:48:00"/>
    <x v="10"/>
    <x v="1"/>
    <x v="26"/>
    <n v="3"/>
    <m/>
    <n v="141.1"/>
    <n v="24.900000000000002"/>
  </r>
  <r>
    <s v="SBG Quality Assurance"/>
    <x v="1"/>
    <s v="Improvement"/>
    <s v="QA-270"/>
    <s v="automation framework"/>
    <s v="Improvement"/>
    <x v="0"/>
    <d v="2016-01-18T15:03:00"/>
    <x v="10"/>
    <x v="1"/>
    <x v="26"/>
    <n v="2"/>
    <m/>
    <n v="141.1"/>
    <n v="24.900000000000002"/>
  </r>
  <r>
    <s v="SBG Quality Assurance"/>
    <x v="1"/>
    <s v="Improvement"/>
    <s v="QA-279"/>
    <s v="Automation integration"/>
    <s v="Improvement"/>
    <x v="0"/>
    <d v="2015-12-22T12:44:00"/>
    <x v="9"/>
    <x v="0"/>
    <x v="26"/>
    <n v="3"/>
    <m/>
    <n v="147.9"/>
    <n v="26.100000000000005"/>
  </r>
  <r>
    <s v="SBG Quality Assurance"/>
    <x v="1"/>
    <s v="Improvement"/>
    <s v="QA-279"/>
    <s v="Automation integration"/>
    <s v="Improvement"/>
    <x v="0"/>
    <d v="2015-12-23T07:44:00"/>
    <x v="9"/>
    <x v="0"/>
    <x v="26"/>
    <n v="8"/>
    <m/>
    <n v="147.9"/>
    <n v="26.100000000000005"/>
  </r>
  <r>
    <s v="SBG Quality Assurance"/>
    <x v="1"/>
    <s v="Improvement"/>
    <s v="QA-279"/>
    <s v="Automation integration"/>
    <s v="Improvement"/>
    <x v="0"/>
    <d v="2015-12-24T07:44:00"/>
    <x v="9"/>
    <x v="0"/>
    <x v="26"/>
    <n v="8"/>
    <m/>
    <n v="147.9"/>
    <n v="26.100000000000005"/>
  </r>
  <r>
    <s v="SBG Quality Assurance"/>
    <x v="1"/>
    <s v="Improvement"/>
    <s v="QA-279"/>
    <s v="Automation integration"/>
    <s v="Improvement"/>
    <x v="0"/>
    <d v="2015-12-25T07:44:00"/>
    <x v="9"/>
    <x v="0"/>
    <x v="26"/>
    <n v="8"/>
    <m/>
    <n v="147.9"/>
    <n v="26.100000000000005"/>
  </r>
  <r>
    <s v="SBG Quality Assurance"/>
    <x v="1"/>
    <s v="Improvement"/>
    <s v="QA-279"/>
    <s v="Automation integration"/>
    <s v="Improvement"/>
    <x v="0"/>
    <d v="2015-12-28T07:44:00"/>
    <x v="9"/>
    <x v="0"/>
    <x v="26"/>
    <n v="8"/>
    <m/>
    <n v="147.9"/>
    <n v="26.100000000000005"/>
  </r>
  <r>
    <s v="SBG Quality Assurance"/>
    <x v="1"/>
    <s v="Improvement"/>
    <s v="QA-279"/>
    <s v="Automation integration"/>
    <s v="Improvement"/>
    <x v="0"/>
    <d v="2015-12-29T07:44:00"/>
    <x v="9"/>
    <x v="0"/>
    <x v="26"/>
    <n v="8"/>
    <m/>
    <n v="147.9"/>
    <n v="26.100000000000005"/>
  </r>
  <r>
    <s v="SBG Quality Assurance"/>
    <x v="1"/>
    <s v="Improvement"/>
    <s v="QA-279"/>
    <s v="Automation integration"/>
    <s v="Improvement"/>
    <x v="0"/>
    <d v="2016-01-05T07:43:00"/>
    <x v="10"/>
    <x v="1"/>
    <x v="26"/>
    <n v="8"/>
    <m/>
    <n v="141.1"/>
    <n v="24.900000000000002"/>
  </r>
  <r>
    <s v="SBG Quality Assurance"/>
    <x v="1"/>
    <s v="Improvement"/>
    <s v="QA-279"/>
    <s v="Automation integration"/>
    <s v="Improvement"/>
    <x v="0"/>
    <d v="2016-01-06T07:43:00"/>
    <x v="10"/>
    <x v="1"/>
    <x v="26"/>
    <n v="8"/>
    <m/>
    <n v="141.1"/>
    <n v="24.900000000000002"/>
  </r>
  <r>
    <s v="SBG Quality Assurance"/>
    <x v="1"/>
    <s v="Improvement"/>
    <s v="QA-279"/>
    <s v="Automation integration"/>
    <s v="Improvement"/>
    <x v="0"/>
    <d v="2016-01-07T13:43:00"/>
    <x v="10"/>
    <x v="1"/>
    <x v="26"/>
    <n v="2"/>
    <m/>
    <n v="141.1"/>
    <n v="24.900000000000002"/>
  </r>
  <r>
    <s v="SBG Quality Assurance"/>
    <x v="1"/>
    <s v="Improvement"/>
    <s v="QA-279"/>
    <s v="Automation integration"/>
    <s v="Improvement"/>
    <x v="0"/>
    <d v="2016-01-08T07:43:00"/>
    <x v="10"/>
    <x v="1"/>
    <x v="26"/>
    <n v="8"/>
    <m/>
    <n v="141.1"/>
    <n v="24.900000000000002"/>
  </r>
  <r>
    <s v="SBG Quality Assurance"/>
    <x v="1"/>
    <s v="Improvement"/>
    <s v="QA-279"/>
    <s v="Automation integration"/>
    <s v="Improvement"/>
    <x v="0"/>
    <d v="2016-01-12T07:43:00"/>
    <x v="10"/>
    <x v="1"/>
    <x v="26"/>
    <n v="8"/>
    <m/>
    <n v="141.1"/>
    <n v="24.900000000000002"/>
  </r>
  <r>
    <s v="SBG Quality Assurance"/>
    <x v="1"/>
    <s v="Improvement"/>
    <s v="QA-279"/>
    <s v="Automation integration"/>
    <s v="Improvement"/>
    <x v="0"/>
    <d v="2016-01-13T07:43:00"/>
    <x v="10"/>
    <x v="1"/>
    <x v="26"/>
    <n v="8"/>
    <m/>
    <n v="141.1"/>
    <n v="24.900000000000002"/>
  </r>
  <r>
    <s v="SBG Quality Assurance"/>
    <x v="1"/>
    <s v="Improvement"/>
    <s v="QA-279"/>
    <s v="Automation integration"/>
    <s v="Improvement"/>
    <x v="0"/>
    <d v="2016-01-14T13:43:00"/>
    <x v="10"/>
    <x v="1"/>
    <x v="26"/>
    <n v="2"/>
    <m/>
    <n v="141.1"/>
    <n v="24.900000000000002"/>
  </r>
  <r>
    <s v="SBG Quality Assurance"/>
    <x v="1"/>
    <s v="Improvement"/>
    <s v="QA-279"/>
    <s v="Automation integration"/>
    <s v="Improvement"/>
    <x v="0"/>
    <d v="2016-01-15T07:43:00"/>
    <x v="10"/>
    <x v="1"/>
    <x v="26"/>
    <n v="8"/>
    <m/>
    <n v="141.1"/>
    <n v="24.900000000000002"/>
  </r>
  <r>
    <s v="SBG Quality Assurance"/>
    <x v="1"/>
    <s v="Improvement"/>
    <s v="QA-279"/>
    <s v="Automation integration"/>
    <s v="Improvement"/>
    <x v="0"/>
    <d v="2016-01-22T18:12:00"/>
    <x v="10"/>
    <x v="1"/>
    <x v="26"/>
    <n v="8"/>
    <m/>
    <n v="141.1"/>
    <n v="24.900000000000002"/>
  </r>
  <r>
    <s v="SBG Quality Assurance"/>
    <x v="1"/>
    <s v="Improvement"/>
    <s v="QA-279"/>
    <s v="Automation integration"/>
    <s v="Improvement"/>
    <x v="0"/>
    <d v="2016-01-25T19:01:00"/>
    <x v="10"/>
    <x v="1"/>
    <x v="26"/>
    <n v="5"/>
    <m/>
    <n v="141.1"/>
    <n v="24.900000000000002"/>
  </r>
  <r>
    <s v="SBG Quality Assurance"/>
    <x v="1"/>
    <s v="Improvement"/>
    <s v="QA-279"/>
    <s v="Automation integration"/>
    <s v="Improvement"/>
    <x v="0"/>
    <d v="2016-01-26T17:59:00"/>
    <x v="10"/>
    <x v="1"/>
    <x v="26"/>
    <n v="8"/>
    <m/>
    <n v="141.1"/>
    <n v="24.900000000000002"/>
  </r>
  <r>
    <s v="SBG Quality Assurance"/>
    <x v="1"/>
    <s v="Task"/>
    <s v="QA-280"/>
    <s v="Test automation"/>
    <s v="Task"/>
    <x v="0"/>
    <d v="2016-01-28T18:34:00"/>
    <x v="10"/>
    <x v="1"/>
    <x v="26"/>
    <n v="8"/>
    <m/>
    <n v="141.1"/>
    <n v="24.900000000000002"/>
  </r>
  <r>
    <s v="SBG Quality Assurance"/>
    <x v="1"/>
    <s v="Task"/>
    <s v="QA-280"/>
    <s v="Test automation"/>
    <s v="Task"/>
    <x v="0"/>
    <d v="2016-01-28T18:35:00"/>
    <x v="10"/>
    <x v="1"/>
    <x v="23"/>
    <n v="4"/>
    <m/>
    <n v="141.1"/>
    <n v="24.900000000000002"/>
  </r>
  <r>
    <s v="SBG Quality Assurance"/>
    <x v="1"/>
    <s v="Task"/>
    <s v="QA-280"/>
    <s v="Test automation"/>
    <s v="Task"/>
    <x v="0"/>
    <d v="2016-01-29T17:55:00"/>
    <x v="10"/>
    <x v="1"/>
    <x v="26"/>
    <n v="6"/>
    <m/>
    <n v="141.1"/>
    <n v="24.900000000000002"/>
  </r>
  <r>
    <s v="SBG Quality Assurance"/>
    <x v="1"/>
    <s v="Task"/>
    <s v="QA-280"/>
    <s v="Test automation"/>
    <s v="Task"/>
    <x v="0"/>
    <d v="2016-01-29T18:56:00"/>
    <x v="10"/>
    <x v="1"/>
    <x v="8"/>
    <n v="2"/>
    <m/>
    <n v="141.1"/>
    <n v="24.900000000000002"/>
  </r>
  <r>
    <s v="Backend - Scan"/>
    <x v="1"/>
    <s v="New Feature"/>
    <s v="SCAN-416"/>
    <s v="Fedex's shipment - Digital invoice (paperless)"/>
    <s v="New Feature"/>
    <x v="0"/>
    <d v="2015-12-17T14:36:00"/>
    <x v="9"/>
    <x v="0"/>
    <x v="8"/>
    <n v="3"/>
    <m/>
    <n v="147.9"/>
    <n v="26.100000000000005"/>
  </r>
  <r>
    <s v="Backend - Scan"/>
    <x v="2"/>
    <s v="New Feature"/>
    <s v="SCAN-416"/>
    <s v="Fedex's shipment - Digital invoice (paperless)"/>
    <s v="New Feature"/>
    <x v="0"/>
    <d v="2015-12-21T10:12:00"/>
    <x v="9"/>
    <x v="0"/>
    <x v="16"/>
    <n v="6"/>
    <m/>
    <n v="147.9"/>
    <n v="26.100000000000005"/>
  </r>
  <r>
    <s v="Backend - Scan"/>
    <x v="2"/>
    <s v="New Feature"/>
    <s v="SCAN-416"/>
    <s v="Fedex's shipment - Digital invoice (paperless)"/>
    <s v="New Feature"/>
    <x v="0"/>
    <d v="2015-12-23T10:23:00"/>
    <x v="9"/>
    <x v="0"/>
    <x v="16"/>
    <n v="2"/>
    <m/>
    <n v="147.9"/>
    <n v="26.100000000000005"/>
  </r>
  <r>
    <s v="Backend - Scan"/>
    <x v="2"/>
    <s v="New Feature"/>
    <s v="SCAN-416"/>
    <s v="Fedex's shipment - Digital invoice (paperless)"/>
    <s v="New Feature"/>
    <x v="0"/>
    <d v="2016-01-06T18:50:00"/>
    <x v="10"/>
    <x v="1"/>
    <x v="9"/>
    <n v="2"/>
    <m/>
    <n v="141.1"/>
    <n v="24.900000000000002"/>
  </r>
  <r>
    <s v="Backend - Scan"/>
    <x v="2"/>
    <s v="New Feature"/>
    <s v="SCAN-416"/>
    <s v="Fedex's shipment - Digital invoice (paperless)"/>
    <s v="New Feature"/>
    <x v="0"/>
    <d v="2016-01-13T11:57:00"/>
    <x v="10"/>
    <x v="1"/>
    <x v="16"/>
    <n v="4"/>
    <m/>
    <n v="141.1"/>
    <n v="24.900000000000002"/>
  </r>
  <r>
    <s v="Backend - Scan"/>
    <x v="1"/>
    <s v="New Feature"/>
    <s v="SCAN-416"/>
    <s v="Fedex's shipment - Digital invoice (paperless)"/>
    <s v="New Feature"/>
    <x v="0"/>
    <d v="2016-01-14T18:17:00"/>
    <x v="10"/>
    <x v="1"/>
    <x v="8"/>
    <n v="0.5"/>
    <m/>
    <n v="141.1"/>
    <n v="24.900000000000002"/>
  </r>
  <r>
    <s v="Backend - Scan"/>
    <x v="1"/>
    <s v="New Feature"/>
    <s v="SCAN-416"/>
    <s v="Fedex's shipment - Digital invoice (paperless)"/>
    <s v="New Feature"/>
    <x v="0"/>
    <d v="2016-01-15T17:59:00"/>
    <x v="10"/>
    <x v="1"/>
    <x v="8"/>
    <n v="2"/>
    <m/>
    <n v="141.1"/>
    <n v="24.900000000000002"/>
  </r>
  <r>
    <s v="Backend - Scan"/>
    <x v="2"/>
    <s v="New Feature"/>
    <s v="SCAN-416"/>
    <s v="Fedex's shipment - Digital invoice (paperless)"/>
    <s v="New Feature"/>
    <x v="0"/>
    <d v="2016-01-20T15:13:00"/>
    <x v="10"/>
    <x v="1"/>
    <x v="16"/>
    <n v="6"/>
    <m/>
    <n v="141.1"/>
    <n v="24.900000000000002"/>
  </r>
  <r>
    <s v="Backend - Scan"/>
    <x v="2"/>
    <s v="New Feature"/>
    <s v="SCAN-416"/>
    <s v="Fedex's shipment - Digital invoice (paperless)"/>
    <s v="New Feature"/>
    <x v="0"/>
    <d v="2016-01-21T15:13:00"/>
    <x v="10"/>
    <x v="1"/>
    <x v="16"/>
    <n v="6"/>
    <m/>
    <n v="141.1"/>
    <n v="24.900000000000002"/>
  </r>
  <r>
    <s v="Backend - Scan"/>
    <x v="1"/>
    <s v="New Feature"/>
    <s v="SCAN-416"/>
    <s v="Fedex's shipment - Digital invoice (paperless)"/>
    <s v="New Feature"/>
    <x v="0"/>
    <d v="2016-01-21T18:52:00"/>
    <x v="10"/>
    <x v="1"/>
    <x v="8"/>
    <n v="1"/>
    <m/>
    <n v="141.1"/>
    <n v="24.900000000000002"/>
  </r>
  <r>
    <s v="Backend - Scan"/>
    <x v="2"/>
    <s v="New Feature"/>
    <s v="SCAN-416"/>
    <s v="Fedex's shipment - Digital invoice (paperless)"/>
    <s v="New Feature"/>
    <x v="0"/>
    <d v="2016-01-22T15:14:00"/>
    <x v="10"/>
    <x v="1"/>
    <x v="16"/>
    <n v="8"/>
    <m/>
    <n v="141.1"/>
    <n v="24.900000000000002"/>
  </r>
  <r>
    <s v="Backend - Scan"/>
    <x v="1"/>
    <s v="New Feature"/>
    <s v="SCAN-416"/>
    <s v="Fedex's shipment - Digital invoice (paperless)"/>
    <s v="New Feature"/>
    <x v="0"/>
    <d v="2016-01-22T18:55:00"/>
    <x v="10"/>
    <x v="1"/>
    <x v="8"/>
    <n v="2"/>
    <m/>
    <n v="141.1"/>
    <n v="24.900000000000002"/>
  </r>
  <r>
    <s v="Backend - Scan"/>
    <x v="1"/>
    <s v="New Feature"/>
    <s v="SCAN-416"/>
    <s v="Fedex's shipment - Digital invoice (paperless)"/>
    <s v="New Feature"/>
    <x v="0"/>
    <d v="2016-01-25T20:01:00"/>
    <x v="10"/>
    <x v="1"/>
    <x v="8"/>
    <n v="3"/>
    <m/>
    <n v="141.1"/>
    <n v="24.900000000000002"/>
  </r>
  <r>
    <s v="Backend - Scan"/>
    <x v="1"/>
    <s v="New Feature"/>
    <s v="SCAN-416"/>
    <s v="Fedex's shipment - Digital invoice (paperless)"/>
    <s v="New Feature"/>
    <x v="0"/>
    <d v="2016-01-26T21:58:00"/>
    <x v="10"/>
    <x v="1"/>
    <x v="8"/>
    <n v="3"/>
    <m/>
    <n v="141.1"/>
    <n v="24.900000000000002"/>
  </r>
  <r>
    <s v="Backend - Scan"/>
    <x v="2"/>
    <s v="Improvement"/>
    <s v="SCAN-496"/>
    <s v="WHIT Scan - Contact Lens - Stop printing order slips when order is complete"/>
    <s v="Improvement"/>
    <x v="0"/>
    <d v="2016-01-15T19:01:00"/>
    <x v="10"/>
    <x v="1"/>
    <x v="9"/>
    <n v="1"/>
    <m/>
    <n v="141.1"/>
    <n v="24.900000000000002"/>
  </r>
  <r>
    <s v="Backend - Scan"/>
    <x v="1"/>
    <s v="Improvement"/>
    <s v="SCAN-496"/>
    <s v="WHIT Scan - Contact Lens - Stop printing order slips when order is complete"/>
    <s v="Improvement"/>
    <x v="0"/>
    <d v="2016-01-16T18:01:00"/>
    <x v="10"/>
    <x v="1"/>
    <x v="8"/>
    <n v="5"/>
    <m/>
    <n v="141.1"/>
    <n v="24.900000000000002"/>
  </r>
  <r>
    <s v="Backend - Scan"/>
    <x v="2"/>
    <s v="Improvement"/>
    <s v="SCAN-496"/>
    <s v="WHIT Scan - Contact Lens - Stop printing order slips when order is complete"/>
    <s v="Improvement"/>
    <x v="0"/>
    <d v="2016-01-16T18:32:00"/>
    <x v="10"/>
    <x v="1"/>
    <x v="9"/>
    <n v="2"/>
    <s v="detail complete and support QA test."/>
    <n v="141.1"/>
    <n v="24.900000000000002"/>
  </r>
  <r>
    <s v="Backend - Scan"/>
    <x v="1"/>
    <s v="Improvement"/>
    <s v="SCAN-496"/>
    <s v="WHIT Scan - Contact Lens - Stop printing order slips when order is complete"/>
    <s v="Improvement"/>
    <x v="0"/>
    <d v="2016-01-18T12:44:00"/>
    <x v="10"/>
    <x v="1"/>
    <x v="8"/>
    <n v="3"/>
    <m/>
    <n v="141.1"/>
    <n v="24.900000000000002"/>
  </r>
  <r>
    <s v="Backend - Scan"/>
    <x v="2"/>
    <s v="Improvement"/>
    <s v="SCAN-496"/>
    <s v="WHIT Scan - Contact Lens - Stop printing order slips when order is complete"/>
    <s v="Improvement"/>
    <x v="0"/>
    <d v="2016-01-18T12:58:00"/>
    <x v="10"/>
    <x v="1"/>
    <x v="9"/>
    <n v="1"/>
    <m/>
    <n v="141.1"/>
    <n v="24.900000000000002"/>
  </r>
  <r>
    <s v="Backend - Scan"/>
    <x v="2"/>
    <s v="Improvement"/>
    <s v="SCAN-496"/>
    <s v="WHIT Scan - Contact Lens - Stop printing order slips when order is complete"/>
    <s v="Improvement"/>
    <x v="0"/>
    <d v="2016-01-19T17:40:00"/>
    <x v="10"/>
    <x v="1"/>
    <x v="9"/>
    <n v="1"/>
    <m/>
    <n v="141.1"/>
    <n v="24.900000000000002"/>
  </r>
  <r>
    <s v="Backend - Scan"/>
    <x v="2"/>
    <s v="Improvement"/>
    <s v="SCAN-496"/>
    <s v="WHIT Scan - Contact Lens - Stop printing order slips when order is complete"/>
    <s v="Improvement"/>
    <x v="0"/>
    <d v="2016-01-19T20:03:00"/>
    <x v="10"/>
    <x v="1"/>
    <x v="9"/>
    <n v="2"/>
    <m/>
    <n v="141.1"/>
    <n v="24.900000000000002"/>
  </r>
  <r>
    <s v="Backend - Scan"/>
    <x v="1"/>
    <s v="Improvement"/>
    <s v="SCAN-496"/>
    <s v="WHIT Scan - Contact Lens - Stop printing order slips when order is complete"/>
    <s v="Improvement"/>
    <x v="0"/>
    <d v="2016-01-19T20:15:00"/>
    <x v="10"/>
    <x v="1"/>
    <x v="8"/>
    <n v="5"/>
    <m/>
    <n v="141.1"/>
    <n v="24.900000000000002"/>
  </r>
  <r>
    <s v="Backend - Scan"/>
    <x v="2"/>
    <s v="Bug"/>
    <s v="SCAN-497"/>
    <s v="CN server migration issue to cause repeated orders appear on difference's PO"/>
    <s v="Bug"/>
    <x v="1"/>
    <d v="2015-12-16T17:11:00"/>
    <x v="9"/>
    <x v="0"/>
    <x v="9"/>
    <n v="3"/>
    <m/>
    <n v="147.9"/>
    <n v="26.100000000000005"/>
  </r>
  <r>
    <s v="Backend - Scan"/>
    <x v="2"/>
    <s v="Bug"/>
    <s v="SCAN-517"/>
    <s v="Item scanned and printed RX slip out, but no update in Scanning and OM"/>
    <s v="Bug"/>
    <x v="1"/>
    <d v="2015-12-28T17:57:00"/>
    <x v="9"/>
    <x v="0"/>
    <x v="9"/>
    <n v="2"/>
    <m/>
    <n v="147.9"/>
    <n v="26.100000000000005"/>
  </r>
  <r>
    <s v="Backend - Scan"/>
    <x v="2"/>
    <s v="Improvement"/>
    <s v="SCAN-525"/>
    <s v="release the stock if item shipped"/>
    <s v="Improvement"/>
    <x v="0"/>
    <d v="2015-12-23T18:57:00"/>
    <x v="9"/>
    <x v="0"/>
    <x v="9"/>
    <n v="1"/>
    <m/>
    <n v="147.9"/>
    <n v="26.100000000000005"/>
  </r>
  <r>
    <s v="Backend - Scan"/>
    <x v="2"/>
    <s v="Improvement"/>
    <s v="SCAN-525"/>
    <s v="release the stock if item shipped"/>
    <s v="Improvement"/>
    <x v="0"/>
    <d v="2015-12-24T17:41:00"/>
    <x v="9"/>
    <x v="0"/>
    <x v="9"/>
    <n v="4"/>
    <m/>
    <n v="147.9"/>
    <n v="26.100000000000005"/>
  </r>
  <r>
    <s v="Backend - Scan"/>
    <x v="2"/>
    <s v="Improvement"/>
    <s v="SCAN-525"/>
    <s v="release the stock if item shipped"/>
    <s v="Improvement"/>
    <x v="0"/>
    <d v="2015-12-25T17:41:00"/>
    <x v="9"/>
    <x v="0"/>
    <x v="9"/>
    <n v="1"/>
    <m/>
    <n v="147.9"/>
    <n v="26.100000000000005"/>
  </r>
  <r>
    <s v="Backend - Scan"/>
    <x v="2"/>
    <s v="Improvement"/>
    <s v="SCAN-525"/>
    <s v="release the stock if item shipped"/>
    <s v="Improvement"/>
    <x v="0"/>
    <d v="2015-12-31T16:48:00"/>
    <x v="9"/>
    <x v="0"/>
    <x v="9"/>
    <n v="4"/>
    <m/>
    <n v="147.9"/>
    <n v="26.100000000000005"/>
  </r>
  <r>
    <s v="Backend - Scan"/>
    <x v="1"/>
    <s v="Improvement"/>
    <s v="SCAN-525"/>
    <s v="release the stock if item shipped"/>
    <s v="Improvement"/>
    <x v="0"/>
    <d v="2016-01-04T17:10:00"/>
    <x v="10"/>
    <x v="1"/>
    <x v="8"/>
    <n v="4"/>
    <m/>
    <n v="141.1"/>
    <n v="24.900000000000002"/>
  </r>
  <r>
    <s v="Backend - Scan"/>
    <x v="2"/>
    <s v="Improvement"/>
    <s v="SCAN-525"/>
    <s v="release the stock if item shipped"/>
    <s v="Improvement"/>
    <x v="0"/>
    <d v="2016-01-04T18:19:00"/>
    <x v="10"/>
    <x v="1"/>
    <x v="9"/>
    <n v="2"/>
    <m/>
    <n v="141.1"/>
    <n v="24.900000000000002"/>
  </r>
  <r>
    <s v="Backend - Scan"/>
    <x v="1"/>
    <s v="Improvement"/>
    <s v="SCAN-525"/>
    <s v="release the stock if item shipped"/>
    <s v="Improvement"/>
    <x v="0"/>
    <d v="2016-01-05T16:58:00"/>
    <x v="10"/>
    <x v="1"/>
    <x v="8"/>
    <n v="2"/>
    <m/>
    <n v="141.1"/>
    <n v="24.900000000000002"/>
  </r>
  <r>
    <s v="Backend - Scan"/>
    <x v="2"/>
    <s v="Bug"/>
    <s v="SCAN-529"/>
    <s v="IT bug of printing incorrect shipping slip"/>
    <s v="Bug"/>
    <x v="1"/>
    <d v="2016-01-07T16:54:00"/>
    <x v="10"/>
    <x v="1"/>
    <x v="20"/>
    <n v="2"/>
    <m/>
    <n v="141.1"/>
    <n v="24.900000000000002"/>
  </r>
  <r>
    <s v="Backend - Scan"/>
    <x v="2"/>
    <s v="Bug"/>
    <s v="SCAN-529"/>
    <s v="IT bug of printing incorrect shipping slip"/>
    <s v="Bug"/>
    <x v="1"/>
    <d v="2016-01-08T16:54:00"/>
    <x v="10"/>
    <x v="1"/>
    <x v="20"/>
    <n v="3"/>
    <m/>
    <n v="141.1"/>
    <n v="24.900000000000002"/>
  </r>
  <r>
    <s v="Backend - Scan"/>
    <x v="2"/>
    <s v="Bug"/>
    <s v="SCAN-529"/>
    <s v="IT bug of printing incorrect shipping slip"/>
    <s v="Bug"/>
    <x v="1"/>
    <d v="2016-01-15T17:00:00"/>
    <x v="10"/>
    <x v="1"/>
    <x v="20"/>
    <n v="8"/>
    <m/>
    <n v="141.1"/>
    <n v="24.900000000000002"/>
  </r>
  <r>
    <s v="Backend - Scan"/>
    <x v="2"/>
    <s v="Bug"/>
    <s v="SCAN-529"/>
    <s v="IT bug of printing incorrect shipping slip"/>
    <s v="Bug"/>
    <x v="1"/>
    <d v="2016-01-23T12:06:00"/>
    <x v="10"/>
    <x v="1"/>
    <x v="9"/>
    <n v="2"/>
    <m/>
    <n v="141.1"/>
    <n v="24.900000000000002"/>
  </r>
  <r>
    <s v="Backend - Scan"/>
    <x v="2"/>
    <s v="Bug"/>
    <s v="SCAN-529"/>
    <s v="IT bug of printing incorrect shipping slip"/>
    <s v="Bug"/>
    <x v="1"/>
    <d v="2016-01-25T18:46:00"/>
    <x v="10"/>
    <x v="1"/>
    <x v="9"/>
    <n v="2"/>
    <s v="check the data"/>
    <n v="141.1"/>
    <n v="24.900000000000002"/>
  </r>
  <r>
    <s v="Backend - Scan"/>
    <x v="1"/>
    <s v="Bug"/>
    <s v="SCAN-529"/>
    <s v="IT bug of printing incorrect shipping slip"/>
    <s v="Bug"/>
    <x v="1"/>
    <d v="2016-01-25T20:02:00"/>
    <x v="10"/>
    <x v="1"/>
    <x v="8"/>
    <n v="2"/>
    <m/>
    <n v="141.1"/>
    <n v="24.900000000000002"/>
  </r>
  <r>
    <s v="Backend - Scan"/>
    <x v="2"/>
    <s v="Bug"/>
    <s v="SCAN-529"/>
    <s v="IT bug of printing incorrect shipping slip"/>
    <s v="Bug"/>
    <x v="1"/>
    <d v="2016-01-26T21:59:00"/>
    <x v="10"/>
    <x v="1"/>
    <x v="9"/>
    <n v="2"/>
    <m/>
    <n v="141.1"/>
    <n v="24.900000000000002"/>
  </r>
  <r>
    <s v="Backend - Scan"/>
    <x v="2"/>
    <s v="Bug"/>
    <s v="SCAN-532"/>
    <s v="Scan submit alter &quot;OM Error&quot;"/>
    <s v="Bug"/>
    <x v="1"/>
    <d v="2016-01-29T12:01:00"/>
    <x v="10"/>
    <x v="1"/>
    <x v="9"/>
    <n v="4"/>
    <m/>
    <n v="141.1"/>
    <n v="24.900000000000002"/>
  </r>
  <r>
    <s v="Backend - Scan"/>
    <x v="2"/>
    <s v="Improvement"/>
    <s v="SCAN-540"/>
    <s v="UPC uploaded in OM but N/A in Scan"/>
    <s v="Improvement"/>
    <x v="0"/>
    <d v="2016-01-11T11:05:00"/>
    <x v="10"/>
    <x v="1"/>
    <x v="27"/>
    <n v="8"/>
    <m/>
    <n v="141.1"/>
    <n v="24.900000000000002"/>
  </r>
  <r>
    <s v="Backend - Scan"/>
    <x v="2"/>
    <s v="Bug"/>
    <s v="SCAN-542"/>
    <s v="Scan IT bug"/>
    <s v="Bug"/>
    <x v="1"/>
    <d v="2016-01-25T12:16:00"/>
    <x v="10"/>
    <x v="1"/>
    <x v="9"/>
    <n v="2.5"/>
    <m/>
    <n v="141.1"/>
    <n v="24.900000000000002"/>
  </r>
  <r>
    <s v="Backend - Scan"/>
    <x v="1"/>
    <s v="Task"/>
    <s v="SCAN-561"/>
    <s v="Shipping Rule Update"/>
    <s v="Task"/>
    <x v="0"/>
    <d v="2015-12-21T17:11:00"/>
    <x v="9"/>
    <x v="0"/>
    <x v="8"/>
    <n v="3"/>
    <m/>
    <n v="147.9"/>
    <n v="26.100000000000005"/>
  </r>
  <r>
    <s v="Backend - Scan"/>
    <x v="1"/>
    <s v="Task"/>
    <s v="SCAN-561"/>
    <s v="Shipping Rule Update"/>
    <s v="Task"/>
    <x v="0"/>
    <d v="2015-12-22T14:38:00"/>
    <x v="9"/>
    <x v="0"/>
    <x v="8"/>
    <n v="1"/>
    <m/>
    <n v="147.9"/>
    <n v="26.100000000000005"/>
  </r>
  <r>
    <s v="Backend - Scan"/>
    <x v="2"/>
    <s v="Task"/>
    <s v="SCAN-562"/>
    <s v="Functionality to delete all the lab list overnight"/>
    <s v="Task"/>
    <x v="0"/>
    <d v="2016-01-20T11:24:00"/>
    <x v="10"/>
    <x v="1"/>
    <x v="16"/>
    <n v="2"/>
    <m/>
    <n v="141.1"/>
    <n v="24.900000000000002"/>
  </r>
  <r>
    <s v="Backend - Scan"/>
    <x v="1"/>
    <s v="Task"/>
    <s v="SCAN-562"/>
    <s v="Functionality to delete all the lab list overnight"/>
    <s v="Task"/>
    <x v="0"/>
    <d v="2016-01-20T18:35:00"/>
    <x v="10"/>
    <x v="1"/>
    <x v="8"/>
    <n v="2"/>
    <m/>
    <n v="141.1"/>
    <n v="24.900000000000002"/>
  </r>
  <r>
    <s v="Backend - Scan"/>
    <x v="1"/>
    <s v="Task"/>
    <s v="SCAN-562"/>
    <s v="Functionality to delete all the lab list overnight"/>
    <s v="Task"/>
    <x v="0"/>
    <d v="2016-01-21T18:40:00"/>
    <x v="10"/>
    <x v="1"/>
    <x v="8"/>
    <n v="1"/>
    <m/>
    <n v="141.1"/>
    <n v="24.900000000000002"/>
  </r>
  <r>
    <s v="Backend - Scan"/>
    <x v="2"/>
    <s v="Task"/>
    <s v="SCAN-564"/>
    <s v="Aramex API issue"/>
    <s v="Task"/>
    <x v="0"/>
    <d v="2016-01-13T10:18:00"/>
    <x v="10"/>
    <x v="1"/>
    <x v="9"/>
    <n v="2"/>
    <m/>
    <n v="141.1"/>
    <n v="24.900000000000002"/>
  </r>
  <r>
    <s v="Backend - Scan"/>
    <x v="2"/>
    <s v="Task"/>
    <s v="SCAN-565"/>
    <s v="Shpping rules update - Norway"/>
    <s v="Task"/>
    <x v="0"/>
    <d v="2016-01-16T16:08:00"/>
    <x v="10"/>
    <x v="1"/>
    <x v="9"/>
    <n v="1"/>
    <m/>
    <n v="141.1"/>
    <n v="24.900000000000002"/>
  </r>
  <r>
    <s v="Backend - Scan"/>
    <x v="2"/>
    <s v="New Feature"/>
    <s v="SCAN-571"/>
    <s v="Barcode to show on Rx slip"/>
    <s v="New Feature"/>
    <x v="0"/>
    <d v="2015-12-14T10:30:00"/>
    <x v="9"/>
    <x v="0"/>
    <x v="16"/>
    <n v="8"/>
    <s v="coding."/>
    <n v="147.9"/>
    <n v="26.100000000000005"/>
  </r>
  <r>
    <s v="Backend - Scan"/>
    <x v="2"/>
    <s v="New Feature"/>
    <s v="SCAN-571"/>
    <s v="Barcode to show on Rx slip"/>
    <s v="New Feature"/>
    <x v="0"/>
    <d v="2015-12-15T10:30:00"/>
    <x v="9"/>
    <x v="0"/>
    <x v="16"/>
    <n v="4"/>
    <s v="testing."/>
    <n v="147.9"/>
    <n v="26.100000000000005"/>
  </r>
  <r>
    <s v="Backend - Scan"/>
    <x v="2"/>
    <s v="New Feature"/>
    <s v="SCAN-571"/>
    <s v="Barcode to show on Rx slip"/>
    <s v="New Feature"/>
    <x v="0"/>
    <d v="2015-12-18T16:57:00"/>
    <x v="9"/>
    <x v="0"/>
    <x v="16"/>
    <n v="4"/>
    <m/>
    <n v="147.9"/>
    <n v="26.100000000000005"/>
  </r>
  <r>
    <s v="Backend - Scan"/>
    <x v="1"/>
    <s v="New Feature"/>
    <s v="SCAN-571"/>
    <s v="Barcode to show on Rx slip"/>
    <s v="New Feature"/>
    <x v="0"/>
    <d v="2015-12-23T18:27:00"/>
    <x v="9"/>
    <x v="0"/>
    <x v="8"/>
    <n v="1"/>
    <m/>
    <n v="147.9"/>
    <n v="26.100000000000005"/>
  </r>
  <r>
    <s v="Backend - Scan"/>
    <x v="2"/>
    <s v="New Feature"/>
    <s v="SCAN-571"/>
    <s v="Barcode to show on Rx slip"/>
    <s v="New Feature"/>
    <x v="0"/>
    <d v="2015-12-30T10:25:00"/>
    <x v="9"/>
    <x v="0"/>
    <x v="9"/>
    <n v="1"/>
    <s v="discuss the requirement."/>
    <n v="147.9"/>
    <n v="26.100000000000005"/>
  </r>
  <r>
    <s v="Backend - Scan"/>
    <x v="1"/>
    <s v="New Feature"/>
    <s v="SCAN-571"/>
    <s v="Barcode to show on Rx slip"/>
    <s v="New Feature"/>
    <x v="0"/>
    <d v="2015-12-30T16:26:00"/>
    <x v="9"/>
    <x v="0"/>
    <x v="8"/>
    <n v="1"/>
    <m/>
    <n v="147.9"/>
    <n v="26.100000000000005"/>
  </r>
  <r>
    <s v="Backend - Scan"/>
    <x v="2"/>
    <s v="New Feature"/>
    <s v="SCAN-571"/>
    <s v="Barcode to show on Rx slip"/>
    <s v="New Feature"/>
    <x v="0"/>
    <d v="2015-12-30T16:59:00"/>
    <x v="9"/>
    <x v="0"/>
    <x v="16"/>
    <n v="4"/>
    <m/>
    <n v="147.9"/>
    <n v="26.100000000000005"/>
  </r>
  <r>
    <s v="Backend - Scan"/>
    <x v="2"/>
    <s v="New Feature"/>
    <s v="SCAN-571"/>
    <s v="Barcode to show on Rx slip"/>
    <s v="New Feature"/>
    <x v="0"/>
    <d v="2016-01-04T10:03:00"/>
    <x v="10"/>
    <x v="1"/>
    <x v="16"/>
    <n v="6"/>
    <m/>
    <n v="141.1"/>
    <n v="24.900000000000002"/>
  </r>
  <r>
    <s v="Backend - Scan"/>
    <x v="2"/>
    <s v="New Feature"/>
    <s v="SCAN-571"/>
    <s v="Barcode to show on Rx slip"/>
    <s v="New Feature"/>
    <x v="0"/>
    <d v="2016-01-05T10:04:00"/>
    <x v="10"/>
    <x v="1"/>
    <x v="16"/>
    <n v="8"/>
    <m/>
    <n v="141.1"/>
    <n v="24.900000000000002"/>
  </r>
  <r>
    <s v="Backend - Scan"/>
    <x v="2"/>
    <s v="New Feature"/>
    <s v="SCAN-571"/>
    <s v="Barcode to show on Rx slip"/>
    <s v="New Feature"/>
    <x v="0"/>
    <d v="2016-01-06T10:05:00"/>
    <x v="10"/>
    <x v="1"/>
    <x v="16"/>
    <n v="2"/>
    <m/>
    <n v="141.1"/>
    <n v="24.900000000000002"/>
  </r>
  <r>
    <s v="Backend - Scan"/>
    <x v="2"/>
    <s v="New Feature"/>
    <s v="SCAN-571"/>
    <s v="Barcode to show on Rx slip"/>
    <s v="New Feature"/>
    <x v="0"/>
    <d v="2016-01-06T17:56:00"/>
    <x v="10"/>
    <x v="1"/>
    <x v="16"/>
    <n v="3"/>
    <m/>
    <n v="141.1"/>
    <n v="24.900000000000002"/>
  </r>
  <r>
    <s v="Backend - Scan"/>
    <x v="2"/>
    <s v="New Feature"/>
    <s v="SCAN-571"/>
    <s v="Barcode to show on Rx slip"/>
    <s v="New Feature"/>
    <x v="0"/>
    <d v="2016-01-07T10:05:00"/>
    <x v="10"/>
    <x v="1"/>
    <x v="16"/>
    <n v="5.5"/>
    <m/>
    <n v="141.1"/>
    <n v="24.900000000000002"/>
  </r>
  <r>
    <s v="Backend - Scan"/>
    <x v="2"/>
    <s v="New Feature"/>
    <s v="SCAN-571"/>
    <s v="Barcode to show on Rx slip"/>
    <s v="New Feature"/>
    <x v="0"/>
    <d v="2016-01-08T11:56:00"/>
    <x v="10"/>
    <x v="1"/>
    <x v="16"/>
    <n v="6"/>
    <m/>
    <n v="141.1"/>
    <n v="24.900000000000002"/>
  </r>
  <r>
    <s v="Backend - Scan"/>
    <x v="2"/>
    <s v="New Feature"/>
    <s v="SCAN-571"/>
    <s v="Barcode to show on Rx slip"/>
    <s v="New Feature"/>
    <x v="0"/>
    <d v="2016-01-11T11:56:00"/>
    <x v="10"/>
    <x v="1"/>
    <x v="16"/>
    <n v="8"/>
    <m/>
    <n v="141.1"/>
    <n v="24.900000000000002"/>
  </r>
  <r>
    <s v="Backend - Scan"/>
    <x v="2"/>
    <s v="New Feature"/>
    <s v="SCAN-571"/>
    <s v="Barcode to show on Rx slip"/>
    <s v="New Feature"/>
    <x v="0"/>
    <d v="2016-01-12T11:57:00"/>
    <x v="10"/>
    <x v="1"/>
    <x v="16"/>
    <n v="8"/>
    <m/>
    <n v="141.1"/>
    <n v="24.900000000000002"/>
  </r>
  <r>
    <s v="Backend - Scan"/>
    <x v="2"/>
    <s v="New Feature"/>
    <s v="SCAN-571"/>
    <s v="Barcode to show on Rx slip"/>
    <s v="New Feature"/>
    <x v="0"/>
    <d v="2016-01-13T11:57:00"/>
    <x v="10"/>
    <x v="1"/>
    <x v="16"/>
    <n v="5"/>
    <m/>
    <n v="141.1"/>
    <n v="24.900000000000002"/>
  </r>
  <r>
    <s v="Backend - Scan"/>
    <x v="2"/>
    <s v="New Feature"/>
    <s v="SCAN-571"/>
    <s v="Barcode to show on Rx slip"/>
    <s v="New Feature"/>
    <x v="0"/>
    <d v="2016-01-14T18:04:00"/>
    <x v="10"/>
    <x v="1"/>
    <x v="16"/>
    <n v="6"/>
    <m/>
    <n v="141.1"/>
    <n v="24.900000000000002"/>
  </r>
  <r>
    <s v="Backend - Scan"/>
    <x v="1"/>
    <s v="New Feature"/>
    <s v="SCAN-571"/>
    <s v="Barcode to show on Rx slip"/>
    <s v="New Feature"/>
    <x v="0"/>
    <d v="2016-01-14T18:15:00"/>
    <x v="10"/>
    <x v="1"/>
    <x v="8"/>
    <n v="2"/>
    <m/>
    <n v="141.1"/>
    <n v="24.900000000000002"/>
  </r>
  <r>
    <s v="Backend - Scan"/>
    <x v="1"/>
    <s v="New Feature"/>
    <s v="SCAN-571"/>
    <s v="Barcode to show on Rx slip"/>
    <s v="New Feature"/>
    <x v="0"/>
    <d v="2016-01-15T18:49:00"/>
    <x v="10"/>
    <x v="1"/>
    <x v="8"/>
    <n v="2"/>
    <m/>
    <n v="141.1"/>
    <n v="24.900000000000002"/>
  </r>
  <r>
    <s v="Backend - Scan"/>
    <x v="2"/>
    <s v="New Feature"/>
    <s v="SCAN-571"/>
    <s v="Barcode to show on Rx slip"/>
    <s v="New Feature"/>
    <x v="0"/>
    <d v="2016-01-18T18:06:00"/>
    <x v="10"/>
    <x v="1"/>
    <x v="16"/>
    <n v="8"/>
    <m/>
    <n v="141.1"/>
    <n v="24.900000000000002"/>
  </r>
  <r>
    <s v="Backend - Scan"/>
    <x v="1"/>
    <s v="New Feature"/>
    <s v="SCAN-571"/>
    <s v="Barcode to show on Rx slip"/>
    <s v="New Feature"/>
    <x v="0"/>
    <d v="2016-01-18T19:34:00"/>
    <x v="10"/>
    <x v="1"/>
    <x v="8"/>
    <n v="5"/>
    <m/>
    <n v="141.1"/>
    <n v="24.900000000000002"/>
  </r>
  <r>
    <s v="Backend - Scan"/>
    <x v="2"/>
    <s v="New Feature"/>
    <s v="SCAN-571"/>
    <s v="Barcode to show on Rx slip"/>
    <s v="New Feature"/>
    <x v="0"/>
    <d v="2016-01-19T15:12:00"/>
    <x v="10"/>
    <x v="1"/>
    <x v="16"/>
    <n v="6"/>
    <m/>
    <n v="141.1"/>
    <n v="24.900000000000002"/>
  </r>
  <r>
    <s v="Backend - Scan"/>
    <x v="1"/>
    <s v="New Feature"/>
    <s v="SCAN-571"/>
    <s v="Barcode to show on Rx slip"/>
    <s v="New Feature"/>
    <x v="0"/>
    <d v="2016-01-20T18:45:00"/>
    <x v="10"/>
    <x v="1"/>
    <x v="8"/>
    <n v="1.5"/>
    <m/>
    <n v="141.1"/>
    <n v="24.900000000000002"/>
  </r>
  <r>
    <s v="Backend - Scan"/>
    <x v="1"/>
    <s v="New Feature"/>
    <s v="SCAN-571"/>
    <s v="Barcode to show on Rx slip"/>
    <s v="New Feature"/>
    <x v="0"/>
    <d v="2016-01-22T18:55:00"/>
    <x v="10"/>
    <x v="1"/>
    <x v="8"/>
    <n v="1"/>
    <m/>
    <n v="141.1"/>
    <n v="24.900000000000002"/>
  </r>
  <r>
    <s v="Backend - Scan"/>
    <x v="1"/>
    <s v="New Feature"/>
    <s v="SCAN-571"/>
    <s v="Barcode to show on Rx slip"/>
    <s v="New Feature"/>
    <x v="0"/>
    <d v="2016-01-23T17:29:00"/>
    <x v="10"/>
    <x v="1"/>
    <x v="8"/>
    <n v="1"/>
    <m/>
    <n v="141.1"/>
    <n v="24.900000000000002"/>
  </r>
  <r>
    <s v="Backend - Scan"/>
    <x v="1"/>
    <s v="New Feature"/>
    <s v="SCAN-571"/>
    <s v="Barcode to show on Rx slip"/>
    <s v="New Feature"/>
    <x v="0"/>
    <d v="2016-01-25T20:02:00"/>
    <x v="10"/>
    <x v="1"/>
    <x v="8"/>
    <n v="2"/>
    <m/>
    <n v="141.1"/>
    <n v="24.900000000000002"/>
  </r>
  <r>
    <s v="Backend - Scan"/>
    <x v="2"/>
    <s v="New Feature"/>
    <s v="SCAN-571"/>
    <s v="Barcode to show on Rx slip"/>
    <s v="New Feature"/>
    <x v="0"/>
    <d v="2016-01-26T17:35:00"/>
    <x v="10"/>
    <x v="1"/>
    <x v="16"/>
    <n v="12"/>
    <m/>
    <n v="141.1"/>
    <n v="24.900000000000002"/>
  </r>
  <r>
    <s v="Backend - Scan"/>
    <x v="1"/>
    <s v="New Feature"/>
    <s v="SCAN-571"/>
    <s v="Barcode to show on Rx slip"/>
    <s v="New Feature"/>
    <x v="0"/>
    <d v="2016-01-26T21:58:00"/>
    <x v="10"/>
    <x v="1"/>
    <x v="8"/>
    <n v="4"/>
    <m/>
    <n v="141.1"/>
    <n v="24.900000000000002"/>
  </r>
  <r>
    <s v="Backend - Scan"/>
    <x v="2"/>
    <s v="Task"/>
    <s v="SCAN-573"/>
    <s v="Shipping rules update (2)"/>
    <s v="Task"/>
    <x v="0"/>
    <d v="2015-12-28T19:19:00"/>
    <x v="9"/>
    <x v="0"/>
    <x v="9"/>
    <n v="1"/>
    <m/>
    <n v="147.9"/>
    <n v="26.100000000000005"/>
  </r>
  <r>
    <s v="Backend - Scan"/>
    <x v="1"/>
    <s v="Task"/>
    <s v="SCAN-573"/>
    <s v="Shipping rules update (2)"/>
    <s v="Task"/>
    <x v="0"/>
    <d v="2015-12-30T18:37:00"/>
    <x v="9"/>
    <x v="0"/>
    <x v="8"/>
    <n v="1"/>
    <m/>
    <n v="147.9"/>
    <n v="26.100000000000005"/>
  </r>
  <r>
    <s v="Backend - Scan"/>
    <x v="1"/>
    <s v="Task"/>
    <s v="SCAN-573"/>
    <s v="Shipping rules update (2)"/>
    <s v="Task"/>
    <x v="0"/>
    <d v="2015-12-31T12:32:00"/>
    <x v="9"/>
    <x v="0"/>
    <x v="8"/>
    <n v="1"/>
    <m/>
    <n v="147.9"/>
    <n v="26.100000000000005"/>
  </r>
  <r>
    <s v="Backend - Scan"/>
    <x v="1"/>
    <s v="Task"/>
    <s v="SCAN-573"/>
    <s v="Shipping rules update (2)"/>
    <s v="Task"/>
    <x v="0"/>
    <d v="2016-01-05T16:12:00"/>
    <x v="10"/>
    <x v="1"/>
    <x v="8"/>
    <n v="1"/>
    <m/>
    <n v="141.1"/>
    <n v="24.900000000000002"/>
  </r>
  <r>
    <s v="Backend - Scan"/>
    <x v="2"/>
    <s v="Task"/>
    <s v="SCAN-575"/>
    <s v="Shipping rules update"/>
    <s v="Task"/>
    <x v="0"/>
    <d v="2015-12-10T11:51:00"/>
    <x v="9"/>
    <x v="0"/>
    <x v="9"/>
    <n v="2"/>
    <m/>
    <n v="147.9"/>
    <n v="26.100000000000005"/>
  </r>
  <r>
    <s v="Backend - Scan"/>
    <x v="2"/>
    <s v="Task"/>
    <s v="SCAN-575"/>
    <s v="Shipping rules update"/>
    <s v="Task"/>
    <x v="0"/>
    <d v="2015-12-15T12:28:00"/>
    <x v="9"/>
    <x v="0"/>
    <x v="9"/>
    <n v="1"/>
    <m/>
    <n v="147.9"/>
    <n v="26.100000000000005"/>
  </r>
  <r>
    <s v="Backend - Scan"/>
    <x v="2"/>
    <s v="Improvement"/>
    <s v="SCAN-578"/>
    <s v="Contact Lens - Duplicate UPCs found on Scan System - Clean Up"/>
    <s v="Improvement"/>
    <x v="0"/>
    <d v="2016-01-07T18:43:00"/>
    <x v="10"/>
    <x v="1"/>
    <x v="9"/>
    <n v="3"/>
    <s v="check contact lens incorrect data"/>
    <n v="141.1"/>
    <n v="24.900000000000002"/>
  </r>
  <r>
    <s v="Backend - Scan"/>
    <x v="2"/>
    <s v="Improvement"/>
    <s v="SCAN-578"/>
    <s v="Contact Lens - Duplicate UPCs found on Scan System - Clean Up"/>
    <s v="Improvement"/>
    <x v="0"/>
    <d v="2016-01-08T18:43:00"/>
    <x v="10"/>
    <x v="1"/>
    <x v="9"/>
    <n v="6"/>
    <s v="fix contact data"/>
    <n v="141.1"/>
    <n v="24.900000000000002"/>
  </r>
  <r>
    <s v="Backend - Scan"/>
    <x v="2"/>
    <s v="Improvement"/>
    <s v="SCAN-578"/>
    <s v="Contact Lens - Duplicate UPCs found on Scan System - Clean Up"/>
    <s v="Improvement"/>
    <x v="0"/>
    <d v="2016-01-11T18:40:00"/>
    <x v="10"/>
    <x v="1"/>
    <x v="9"/>
    <n v="3"/>
    <m/>
    <n v="141.1"/>
    <n v="24.900000000000002"/>
  </r>
  <r>
    <s v="Backend - Scan"/>
    <x v="2"/>
    <s v="Improvement"/>
    <s v="SCAN-578"/>
    <s v="Contact Lens - Duplicate UPCs found on Scan System - Clean Up"/>
    <s v="Improvement"/>
    <x v="0"/>
    <d v="2016-01-12T18:14:00"/>
    <x v="10"/>
    <x v="1"/>
    <x v="9"/>
    <n v="3"/>
    <m/>
    <n v="141.1"/>
    <n v="24.900000000000002"/>
  </r>
  <r>
    <s v="Backend - Scan"/>
    <x v="2"/>
    <s v="Improvement"/>
    <s v="SCAN-578"/>
    <s v="Contact Lens - Duplicate UPCs found on Scan System - Clean Up"/>
    <s v="Improvement"/>
    <x v="0"/>
    <d v="2016-01-13T18:08:00"/>
    <x v="10"/>
    <x v="1"/>
    <x v="9"/>
    <n v="3"/>
    <m/>
    <n v="141.1"/>
    <n v="24.900000000000002"/>
  </r>
  <r>
    <s v="Backend - Scan"/>
    <x v="2"/>
    <s v="Improvement"/>
    <s v="SCAN-581"/>
    <s v="CA Shipping rules update - Courier Fedex"/>
    <s v="Improvement"/>
    <x v="0"/>
    <d v="2016-01-16T11:04:00"/>
    <x v="10"/>
    <x v="1"/>
    <x v="9"/>
    <n v="1"/>
    <m/>
    <n v="141.1"/>
    <n v="24.900000000000002"/>
  </r>
  <r>
    <s v="Backend - Scan"/>
    <x v="2"/>
    <s v="Improvement"/>
    <s v="SCAN-581"/>
    <s v="CA Shipping rules update - Courier Fedex"/>
    <s v="Improvement"/>
    <x v="0"/>
    <d v="2016-01-18T15:25:00"/>
    <x v="10"/>
    <x v="1"/>
    <x v="9"/>
    <n v="4"/>
    <m/>
    <n v="141.1"/>
    <n v="24.900000000000002"/>
  </r>
  <r>
    <s v="Backend - Scan"/>
    <x v="2"/>
    <s v="Improvement"/>
    <s v="SCAN-581"/>
    <s v="CA Shipping rules update - Courier Fedex"/>
    <s v="Improvement"/>
    <x v="0"/>
    <d v="2016-01-19T19:01:00"/>
    <x v="10"/>
    <x v="1"/>
    <x v="9"/>
    <n v="2"/>
    <m/>
    <n v="141.1"/>
    <n v="24.900000000000002"/>
  </r>
  <r>
    <s v="Backend - Scan"/>
    <x v="2"/>
    <s v="Improvement"/>
    <s v="SCAN-581"/>
    <s v="CA Shipping rules update - Courier Fedex"/>
    <s v="Improvement"/>
    <x v="0"/>
    <d v="2016-01-20T19:05:00"/>
    <x v="10"/>
    <x v="1"/>
    <x v="9"/>
    <n v="0.5"/>
    <s v="confirm the request"/>
    <n v="141.1"/>
    <n v="24.900000000000002"/>
  </r>
  <r>
    <s v="Backend - Scan"/>
    <x v="2"/>
    <s v="Improvement"/>
    <s v="SCAN-581"/>
    <s v="CA Shipping rules update - Courier Fedex"/>
    <s v="Improvement"/>
    <x v="0"/>
    <d v="2016-01-28T18:39:00"/>
    <x v="10"/>
    <x v="1"/>
    <x v="9"/>
    <n v="2"/>
    <m/>
    <n v="141.1"/>
    <n v="24.900000000000002"/>
  </r>
  <r>
    <s v="Backend - Scan"/>
    <x v="2"/>
    <s v="Improvement"/>
    <s v="SCAN-581"/>
    <s v="CA Shipping rules update - Courier Fedex"/>
    <s v="Improvement"/>
    <x v="0"/>
    <d v="2016-01-29T18:49:00"/>
    <x v="10"/>
    <x v="1"/>
    <x v="9"/>
    <n v="1"/>
    <m/>
    <n v="141.1"/>
    <n v="24.900000000000002"/>
  </r>
  <r>
    <s v="Backend - Scan"/>
    <x v="1"/>
    <s v="Improvement"/>
    <s v="SCAN-585"/>
    <s v="Add Plano Lens for Frame Only Product for EURO Orders"/>
    <s v="Improvement"/>
    <x v="0"/>
    <d v="2015-12-01T15:21:00"/>
    <x v="9"/>
    <x v="0"/>
    <x v="8"/>
    <n v="3.5"/>
    <m/>
    <n v="147.9"/>
    <n v="26.100000000000005"/>
  </r>
  <r>
    <s v="Backend - Scan"/>
    <x v="2"/>
    <s v="Improvement"/>
    <s v="SCAN-585"/>
    <s v="Add Plano Lens for Frame Only Product for EURO Orders"/>
    <s v="Improvement"/>
    <x v="0"/>
    <d v="2015-12-01T18:46:00"/>
    <x v="9"/>
    <x v="0"/>
    <x v="9"/>
    <n v="1"/>
    <s v="test online"/>
    <n v="147.9"/>
    <n v="26.100000000000005"/>
  </r>
  <r>
    <s v="Backend - Scan"/>
    <x v="2"/>
    <s v="Improvement"/>
    <s v="SCAN-588"/>
    <s v="Scanning shipping rules update"/>
    <s v="Improvement"/>
    <x v="0"/>
    <d v="2015-12-04T18:56:00"/>
    <x v="9"/>
    <x v="0"/>
    <x v="9"/>
    <n v="6"/>
    <m/>
    <n v="147.9"/>
    <n v="26.100000000000005"/>
  </r>
  <r>
    <s v="Backend - Scan"/>
    <x v="1"/>
    <s v="Improvement"/>
    <s v="SCAN-588"/>
    <s v="Scanning shipping rules update"/>
    <s v="Improvement"/>
    <x v="0"/>
    <d v="2015-12-07T18:23:00"/>
    <x v="9"/>
    <x v="0"/>
    <x v="8"/>
    <n v="0.5"/>
    <m/>
    <n v="147.9"/>
    <n v="26.100000000000005"/>
  </r>
  <r>
    <s v="Backend - Scan"/>
    <x v="2"/>
    <s v="Improvement"/>
    <s v="SCAN-588"/>
    <s v="Scanning shipping rules update"/>
    <s v="Improvement"/>
    <x v="0"/>
    <d v="2015-12-07T19:46:00"/>
    <x v="9"/>
    <x v="0"/>
    <x v="9"/>
    <n v="3"/>
    <m/>
    <n v="147.9"/>
    <n v="26.100000000000005"/>
  </r>
  <r>
    <s v="Backend - Scan"/>
    <x v="2"/>
    <s v="Improvement"/>
    <s v="SCAN-588"/>
    <s v="Scanning shipping rules update"/>
    <s v="Improvement"/>
    <x v="0"/>
    <d v="2015-12-08T21:14:00"/>
    <x v="9"/>
    <x v="0"/>
    <x v="9"/>
    <n v="6"/>
    <s v="test and detail complete"/>
    <n v="147.9"/>
    <n v="26.100000000000005"/>
  </r>
  <r>
    <s v="Backend - Scan"/>
    <x v="1"/>
    <s v="Improvement"/>
    <s v="SCAN-588"/>
    <s v="Scanning shipping rules update"/>
    <s v="Improvement"/>
    <x v="0"/>
    <d v="2015-12-08T22:08:00"/>
    <x v="9"/>
    <x v="0"/>
    <x v="8"/>
    <n v="6"/>
    <m/>
    <n v="147.9"/>
    <n v="26.100000000000005"/>
  </r>
  <r>
    <s v="Backend - Scan"/>
    <x v="1"/>
    <s v="Improvement"/>
    <s v="SCAN-588"/>
    <s v="Scanning shipping rules update"/>
    <s v="Improvement"/>
    <x v="0"/>
    <d v="2015-12-09T17:17:00"/>
    <x v="9"/>
    <x v="0"/>
    <x v="8"/>
    <n v="5"/>
    <m/>
    <n v="147.9"/>
    <n v="26.100000000000005"/>
  </r>
  <r>
    <s v="Backend - Scan"/>
    <x v="2"/>
    <s v="Improvement"/>
    <s v="SCAN-588"/>
    <s v="Scanning shipping rules update"/>
    <s v="Improvement"/>
    <x v="0"/>
    <d v="2015-12-09T18:36:00"/>
    <x v="9"/>
    <x v="0"/>
    <x v="9"/>
    <n v="2"/>
    <m/>
    <n v="147.9"/>
    <n v="26.100000000000005"/>
  </r>
  <r>
    <s v="Backend - Scan"/>
    <x v="1"/>
    <s v="Bugs"/>
    <s v="SCAN-595"/>
    <s v="SCAN-571&gt; dont' group items"/>
    <s v="Bugs"/>
    <x v="1"/>
    <d v="2016-01-23T17:30:00"/>
    <x v="10"/>
    <x v="1"/>
    <x v="8"/>
    <n v="1"/>
    <m/>
    <n v="141.1"/>
    <n v="24.900000000000002"/>
  </r>
  <r>
    <s v="Backend - Scan"/>
    <x v="2"/>
    <s v="Bugs"/>
    <s v="SCAN-597"/>
    <s v="SCAN-571&gt; RX info. incorrect"/>
    <s v="Bugs"/>
    <x v="1"/>
    <d v="2016-01-21T16:38:00"/>
    <x v="10"/>
    <x v="1"/>
    <x v="16"/>
    <n v="2"/>
    <m/>
    <n v="141.1"/>
    <n v="24.900000000000002"/>
  </r>
  <r>
    <s v="Backend - Scan"/>
    <x v="1"/>
    <s v="Bugs"/>
    <s v="SCAN-597"/>
    <s v="SCAN-571&gt; RX info. incorrect"/>
    <s v="Bugs"/>
    <x v="1"/>
    <d v="2016-01-23T17:37:00"/>
    <x v="10"/>
    <x v="1"/>
    <x v="8"/>
    <n v="1"/>
    <m/>
    <n v="141.1"/>
    <n v="24.900000000000002"/>
  </r>
  <r>
    <s v="Backend - Scan"/>
    <x v="2"/>
    <s v="Sub-task"/>
    <s v="SCAN-599"/>
    <s v="SCAN-571&gt; add delete button"/>
    <s v="Sub-task"/>
    <x v="0"/>
    <d v="2016-01-15T16:01:00"/>
    <x v="10"/>
    <x v="1"/>
    <x v="16"/>
    <n v="8"/>
    <m/>
    <n v="141.1"/>
    <n v="24.900000000000002"/>
  </r>
  <r>
    <s v="Backend - Scan"/>
    <x v="1"/>
    <s v="Sub-task"/>
    <s v="SCAN-599"/>
    <s v="SCAN-571&gt; add delete button"/>
    <s v="Sub-task"/>
    <x v="0"/>
    <d v="2016-01-22T18:56:00"/>
    <x v="10"/>
    <x v="1"/>
    <x v="8"/>
    <n v="1"/>
    <m/>
    <n v="141.1"/>
    <n v="24.900000000000002"/>
  </r>
  <r>
    <s v="Backend - Scan"/>
    <x v="1"/>
    <s v="Technical task"/>
    <s v="SCAN-602"/>
    <s v="SCAN-585&gt; Test case design and execution"/>
    <s v="Technical task"/>
    <x v="0"/>
    <d v="2015-12-01T15:22:00"/>
    <x v="9"/>
    <x v="0"/>
    <x v="8"/>
    <n v="1"/>
    <m/>
    <n v="147.9"/>
    <n v="26.100000000000005"/>
  </r>
  <r>
    <s v="Operation Team Task"/>
    <x v="3"/>
    <s v="Develop"/>
    <s v="TASK-25"/>
    <s v="Temporary FTP Access for Product Image download"/>
    <s v="Develop"/>
    <x v="0"/>
    <d v="2016-01-21T12:08:00"/>
    <x v="10"/>
    <x v="1"/>
    <x v="28"/>
    <n v="2"/>
    <m/>
    <n v="83"/>
    <n v="83"/>
  </r>
  <r>
    <s v="Operation Team Task"/>
    <x v="3"/>
    <s v="Develop"/>
    <s v="TASK-25"/>
    <s v="Temporary FTP Access for Product Image download"/>
    <s v="Develop"/>
    <x v="0"/>
    <d v="2016-01-21T12:44:00"/>
    <x v="10"/>
    <x v="1"/>
    <x v="28"/>
    <n v="2"/>
    <m/>
    <n v="83"/>
    <n v="83"/>
  </r>
  <r>
    <s v="Operation Team Task"/>
    <x v="3"/>
    <s v="Develop"/>
    <s v="TASK-29"/>
    <s v="Set up FTP account for Vivian"/>
    <s v="Develop"/>
    <x v="0"/>
    <d v="2016-01-26T15:37:00"/>
    <x v="10"/>
    <x v="1"/>
    <x v="28"/>
    <n v="2"/>
    <m/>
    <n v="83"/>
    <n v="83"/>
  </r>
  <r>
    <s v="Operation Team Task"/>
    <x v="3"/>
    <s v="Maintenance"/>
    <s v="TASK-33"/>
    <s v="Keyboard request"/>
    <s v="Maintenance"/>
    <x v="1"/>
    <d v="2016-01-14T11:45:00"/>
    <x v="10"/>
    <x v="1"/>
    <x v="32"/>
    <n v="8.3000000000000004E-2"/>
    <s v="Help change the new keyboard"/>
    <n v="83"/>
    <n v="83"/>
  </r>
  <r>
    <s v="Operation Team Task"/>
    <x v="3"/>
    <s v="Maintenance"/>
    <s v="TASK-37"/>
    <s v="need help for the updating software!"/>
    <s v="Maintenance"/>
    <x v="1"/>
    <d v="2016-01-28T16:10:00"/>
    <x v="10"/>
    <x v="1"/>
    <x v="32"/>
    <n v="0.16700000000000001"/>
    <s v="Install the printer ok"/>
    <n v="83"/>
    <n v="83"/>
  </r>
  <r>
    <s v="Operation Team Task"/>
    <x v="3"/>
    <s v="Maintenance"/>
    <s v="TASK-38"/>
    <s v="Verena PC The fault can't boot"/>
    <s v="Maintenance"/>
    <x v="1"/>
    <d v="2016-01-14T12:16:00"/>
    <x v="10"/>
    <x v="1"/>
    <x v="32"/>
    <n v="3"/>
    <m/>
    <n v="83"/>
    <n v="83"/>
  </r>
  <r>
    <s v="Operation Team Task"/>
    <x v="3"/>
    <s v="Maintenance"/>
    <s v="TASK-38"/>
    <s v="Verena PC The fault can't boot"/>
    <s v="Maintenance"/>
    <x v="1"/>
    <d v="2016-01-14T13:03:00"/>
    <x v="10"/>
    <x v="1"/>
    <x v="32"/>
    <n v="5"/>
    <m/>
    <n v="83"/>
    <n v="83"/>
  </r>
  <r>
    <s v="Operation Team Task"/>
    <x v="3"/>
    <s v="Maintenance"/>
    <s v="TASK-39"/>
    <s v="Disk C full"/>
    <s v="Maintenance"/>
    <x v="1"/>
    <d v="2016-01-15T10:04:00"/>
    <x v="10"/>
    <x v="1"/>
    <x v="32"/>
    <n v="8"/>
    <m/>
    <n v="83"/>
    <n v="83"/>
  </r>
  <r>
    <s v="Operation Team Task"/>
    <x v="3"/>
    <s v="Maintenance"/>
    <s v="TASK-39"/>
    <s v="Disk C full"/>
    <s v="Maintenance"/>
    <x v="1"/>
    <d v="2016-01-20T10:06:00"/>
    <x v="10"/>
    <x v="1"/>
    <x v="32"/>
    <n v="8"/>
    <m/>
    <n v="83"/>
    <n v="83"/>
  </r>
  <r>
    <s v="Operation Team Task"/>
    <x v="3"/>
    <s v="Maintenance"/>
    <s v="TASK-39"/>
    <s v="Disk C full"/>
    <s v="Maintenance"/>
    <x v="1"/>
    <d v="2016-01-21T13:07:00"/>
    <x v="10"/>
    <x v="1"/>
    <x v="32"/>
    <n v="5"/>
    <m/>
    <n v="83"/>
    <n v="83"/>
  </r>
  <r>
    <s v="Operation Team Task"/>
    <x v="3"/>
    <s v="Maintenance"/>
    <s v="TASK-39"/>
    <s v="Disk C full"/>
    <s v="Maintenance"/>
    <x v="1"/>
    <d v="2016-01-21T17:08:00"/>
    <x v="10"/>
    <x v="1"/>
    <x v="32"/>
    <n v="3"/>
    <s v="Program error, must reinstall system."/>
    <n v="83"/>
    <n v="83"/>
  </r>
  <r>
    <s v="Operation Team Task"/>
    <x v="3"/>
    <s v="Maintenance"/>
    <s v="TASK-40"/>
    <s v="Enable JIRA watcher feature for new hires."/>
    <s v="Maintenance"/>
    <x v="1"/>
    <d v="2016-01-27T10:08:00"/>
    <x v="10"/>
    <x v="1"/>
    <x v="32"/>
    <n v="2"/>
    <m/>
    <n v="83"/>
    <n v="83"/>
  </r>
  <r>
    <s v="Operation Team Task"/>
    <x v="3"/>
    <s v="Maintenance"/>
    <s v="TASK-41"/>
    <s v="Fixing Nicky's astrill vpn"/>
    <s v="Maintenance"/>
    <x v="1"/>
    <d v="2016-01-27T13:08:00"/>
    <x v="10"/>
    <x v="1"/>
    <x v="32"/>
    <n v="5"/>
    <m/>
    <n v="83"/>
    <n v="83"/>
  </r>
  <r>
    <s v="Operation Team Task"/>
    <x v="3"/>
    <s v="Maintenance"/>
    <s v="TASK-41"/>
    <s v="Fixing Nicky's astrill vpn"/>
    <s v="Maintenance"/>
    <x v="1"/>
    <d v="2016-01-28T16:15:00"/>
    <x v="10"/>
    <x v="1"/>
    <x v="32"/>
    <n v="0.16700000000000001"/>
    <s v="Repair complete"/>
    <n v="83"/>
    <n v="83"/>
  </r>
  <r>
    <s v="Operation Team Task"/>
    <x v="3"/>
    <s v="Maintenance"/>
    <s v="TASK-42"/>
    <s v="Fixing Nicky's email inbox"/>
    <s v="Maintenance"/>
    <x v="1"/>
    <d v="2016-01-27T10:06:00"/>
    <x v="10"/>
    <x v="1"/>
    <x v="32"/>
    <n v="1"/>
    <m/>
    <n v="83"/>
    <n v="83"/>
  </r>
  <r>
    <s v="Operation Team Task"/>
    <x v="3"/>
    <s v="Maintenance"/>
    <s v="TASK-42"/>
    <s v="Fixing Nicky's email inbox"/>
    <s v="Maintenance"/>
    <x v="1"/>
    <d v="2016-01-29T10:09:00"/>
    <x v="10"/>
    <x v="1"/>
    <x v="32"/>
    <n v="8"/>
    <m/>
    <n v="83"/>
    <n v="83"/>
  </r>
  <r>
    <s v="Operation Team Task"/>
    <x v="3"/>
    <s v="Develop"/>
    <s v="TASK-43"/>
    <s v="Clearance update"/>
    <s v="Develop"/>
    <x v="0"/>
    <d v="2016-01-21T12:45:00"/>
    <x v="10"/>
    <x v="1"/>
    <x v="28"/>
    <n v="2"/>
    <m/>
    <n v="83"/>
    <n v="83"/>
  </r>
  <r>
    <s v="Operation Team Task"/>
    <x v="3"/>
    <s v="Develop"/>
    <s v="TASK-44"/>
    <s v="Manually drag Order on om 186"/>
    <s v="Develop"/>
    <x v="0"/>
    <d v="2016-01-14T16:51:00"/>
    <x v="10"/>
    <x v="1"/>
    <x v="28"/>
    <n v="4"/>
    <m/>
    <n v="83"/>
    <n v="83"/>
  </r>
  <r>
    <s v="Operation Team Task"/>
    <x v="3"/>
    <s v="Develop"/>
    <s v="TASK-44"/>
    <s v="Manually drag Order on om 186"/>
    <s v="Develop"/>
    <x v="0"/>
    <d v="2016-01-21T12:35:00"/>
    <x v="10"/>
    <x v="1"/>
    <x v="28"/>
    <n v="2"/>
    <m/>
    <n v="83"/>
    <n v="83"/>
  </r>
  <r>
    <s v="Operation Team Task"/>
    <x v="1"/>
    <s v="Develop"/>
    <s v="TASK-45"/>
    <s v="Make mobilesitemap.sh works on every production server"/>
    <s v="Develop"/>
    <x v="0"/>
    <d v="2015-12-09T17:22:00"/>
    <x v="9"/>
    <x v="0"/>
    <x v="1"/>
    <n v="2"/>
    <m/>
    <n v="147.9"/>
    <n v="26.100000000000005"/>
  </r>
  <r>
    <s v="Operation Team Task"/>
    <x v="3"/>
    <s v="Develop"/>
    <s v="TASK-45"/>
    <s v="Make mobilesitemap.sh works on every production server"/>
    <s v="Develop"/>
    <x v="0"/>
    <d v="2016-01-22T12:11:00"/>
    <x v="10"/>
    <x v="1"/>
    <x v="28"/>
    <n v="4"/>
    <m/>
    <n v="83"/>
    <n v="83"/>
  </r>
  <r>
    <s v="Operation Team Task"/>
    <x v="3"/>
    <s v="Develop"/>
    <s v="TASK-54"/>
    <s v="Put CSS/JS/Font for CN on S3 server"/>
    <s v="Develop"/>
    <x v="0"/>
    <d v="2016-01-19T14:48:00"/>
    <x v="10"/>
    <x v="1"/>
    <x v="28"/>
    <n v="3"/>
    <m/>
    <n v="83"/>
    <n v="83"/>
  </r>
  <r>
    <s v="Operation Team Task"/>
    <x v="1"/>
    <s v="Develop"/>
    <s v="TASK-56"/>
    <s v="Add Optical Center Sitemap to Robots.txt"/>
    <s v="Develop"/>
    <x v="0"/>
    <d v="2016-01-07T17:25:00"/>
    <x v="10"/>
    <x v="1"/>
    <x v="30"/>
    <n v="2"/>
    <m/>
    <n v="141.1"/>
    <n v="24.900000000000002"/>
  </r>
  <r>
    <s v="Operation Team Task"/>
    <x v="1"/>
    <s v="Develop"/>
    <s v="TASK-56"/>
    <s v="Add Optical Center Sitemap to Robots.txt"/>
    <s v="Develop"/>
    <x v="0"/>
    <d v="2016-01-08T12:15:00"/>
    <x v="10"/>
    <x v="1"/>
    <x v="30"/>
    <n v="2"/>
    <m/>
    <n v="141.1"/>
    <n v="24.900000000000002"/>
  </r>
  <r>
    <s v="Operation Team Task"/>
    <x v="1"/>
    <s v="Develop"/>
    <s v="TASK-57"/>
    <s v="Backup all CDN images to S3 server"/>
    <s v="Develop"/>
    <x v="0"/>
    <d v="2016-01-14T15:04:00"/>
    <x v="10"/>
    <x v="1"/>
    <x v="1"/>
    <n v="2"/>
    <m/>
    <n v="141.1"/>
    <n v="24.900000000000002"/>
  </r>
  <r>
    <s v="Operation Team Task"/>
    <x v="3"/>
    <s v="Develop"/>
    <s v="TASK-57"/>
    <s v="Backup all CDN images to S3 server"/>
    <s v="Develop"/>
    <x v="0"/>
    <d v="2016-01-15T12:27:00"/>
    <x v="10"/>
    <x v="1"/>
    <x v="28"/>
    <n v="6"/>
    <m/>
    <n v="83"/>
    <n v="83"/>
  </r>
  <r>
    <s v="Operation Team Task"/>
    <x v="3"/>
    <s v="Maintenance"/>
    <s v="TASK-65"/>
    <s v="360 Image Upload and Packaging Image"/>
    <s v="Maintenance"/>
    <x v="1"/>
    <d v="2015-12-10T15:58:00"/>
    <x v="9"/>
    <x v="0"/>
    <x v="17"/>
    <n v="8"/>
    <m/>
    <n v="87"/>
    <n v="87"/>
  </r>
  <r>
    <s v="Operation Team Task"/>
    <x v="3"/>
    <s v="Maintenance"/>
    <s v="TASK-90"/>
    <s v="Help to give me 219 test Environment for www.smartbuyglasses.cn"/>
    <s v="Maintenance"/>
    <x v="1"/>
    <d v="2016-01-11T18:44:00"/>
    <x v="10"/>
    <x v="1"/>
    <x v="17"/>
    <n v="4"/>
    <m/>
    <n v="83"/>
    <n v="83"/>
  </r>
  <r>
    <s v="Operation Team Task"/>
    <x v="3"/>
    <s v="Maintenance"/>
    <s v="TASK-90"/>
    <s v="Help to give me 219 test Environment for www.smartbuyglasses.cn"/>
    <s v="Maintenance"/>
    <x v="1"/>
    <d v="2016-01-12T18:44:00"/>
    <x v="10"/>
    <x v="1"/>
    <x v="17"/>
    <n v="4"/>
    <m/>
    <n v="83"/>
    <n v="83"/>
  </r>
  <r>
    <s v="Operation Team Task"/>
    <x v="3"/>
    <s v="Maintenance"/>
    <s v="TASK-90"/>
    <s v="Help to give me 219 test Environment for www.smartbuyglasses.cn"/>
    <s v="Maintenance"/>
    <x v="1"/>
    <d v="2016-01-18T18:48:00"/>
    <x v="10"/>
    <x v="1"/>
    <x v="17"/>
    <n v="4"/>
    <m/>
    <n v="83"/>
    <n v="83"/>
  </r>
  <r>
    <s v="Operation Team Task"/>
    <x v="3"/>
    <s v="Maintenance"/>
    <s v="TASK-90"/>
    <s v="Help to give me 219 test Environment for www.smartbuyglasses.cn"/>
    <s v="Maintenance"/>
    <x v="1"/>
    <d v="2016-01-20T18:48:00"/>
    <x v="10"/>
    <x v="1"/>
    <x v="17"/>
    <n v="7"/>
    <m/>
    <n v="83"/>
    <n v="83"/>
  </r>
  <r>
    <s v="Operation Team Task"/>
    <x v="3"/>
    <s v="Maintenance"/>
    <s v="TASK-90"/>
    <s v="Help to give me 219 test Environment for www.smartbuyglasses.cn"/>
    <s v="Maintenance"/>
    <x v="1"/>
    <d v="2016-01-30T18:51:00"/>
    <x v="10"/>
    <x v="1"/>
    <x v="17"/>
    <n v="8"/>
    <m/>
    <n v="83"/>
    <n v="83"/>
  </r>
  <r>
    <s v="Operation Team Task"/>
    <x v="3"/>
    <s v="Maintenance"/>
    <s v="TASK-94"/>
    <s v="alternative images missing on mobile - all"/>
    <s v="Maintenance"/>
    <x v="1"/>
    <d v="2016-01-28T17:08:00"/>
    <x v="10"/>
    <x v="1"/>
    <x v="17"/>
    <n v="4"/>
    <m/>
    <n v="83"/>
    <n v="83"/>
  </r>
  <r>
    <s v="Operation Team Task"/>
    <x v="1"/>
    <s v="Maintenance"/>
    <s v="TASK-94"/>
    <s v="alternative images missing on mobile - all"/>
    <s v="Maintenance"/>
    <x v="1"/>
    <d v="2016-01-28T17:21:00"/>
    <x v="10"/>
    <x v="1"/>
    <x v="21"/>
    <n v="3"/>
    <m/>
    <n v="141.1"/>
    <n v="24.900000000000002"/>
  </r>
  <r>
    <s v="Operation Team Task"/>
    <x v="3"/>
    <s v="Maintenance"/>
    <s v="TASK-130"/>
    <s v="360 Image Upload"/>
    <s v="Maintenance"/>
    <x v="1"/>
    <d v="2016-01-04T18:12:00"/>
    <x v="10"/>
    <x v="1"/>
    <x v="17"/>
    <n v="8"/>
    <m/>
    <n v="83"/>
    <n v="83"/>
  </r>
  <r>
    <s v="Operation Team Task"/>
    <x v="3"/>
    <s v="Maintenance"/>
    <s v="TASK-130"/>
    <s v="360 Image Upload"/>
    <s v="Maintenance"/>
    <x v="1"/>
    <d v="2016-01-11T15:25:00"/>
    <x v="10"/>
    <x v="1"/>
    <x v="17"/>
    <n v="4"/>
    <m/>
    <n v="83"/>
    <n v="83"/>
  </r>
  <r>
    <s v="Operation Team Task"/>
    <x v="3"/>
    <s v="Maintenance"/>
    <s v="TASK-144"/>
    <s v="exclude static file in newfilter.sh script"/>
    <s v="Maintenance"/>
    <x v="1"/>
    <d v="2016-01-05T17:24:00"/>
    <x v="10"/>
    <x v="1"/>
    <x v="17"/>
    <n v="2"/>
    <m/>
    <n v="83"/>
    <n v="83"/>
  </r>
  <r>
    <s v="Operation Team Task"/>
    <x v="3"/>
    <s v="Maintenance"/>
    <s v="TASK-187"/>
    <s v="Clear Cache"/>
    <s v="Maintenance"/>
    <x v="1"/>
    <d v="2016-01-14T15:33:00"/>
    <x v="10"/>
    <x v="1"/>
    <x v="17"/>
    <n v="4"/>
    <m/>
    <n v="83"/>
    <n v="83"/>
  </r>
  <r>
    <s v="Operation Team Task"/>
    <x v="3"/>
    <s v="Maintenance"/>
    <s v="TASK-233"/>
    <s v="image upload"/>
    <s v="Maintenance"/>
    <x v="1"/>
    <d v="2016-01-28T18:15:00"/>
    <x v="10"/>
    <x v="1"/>
    <x v="17"/>
    <n v="4"/>
    <m/>
    <n v="83"/>
    <n v="83"/>
  </r>
  <r>
    <s v="Operation Team Task"/>
    <x v="3"/>
    <s v="Maintenance"/>
    <s v="TASK-243"/>
    <s v="Clear Cache"/>
    <s v="Maintenance"/>
    <x v="1"/>
    <d v="2016-01-21T15:36:00"/>
    <x v="10"/>
    <x v="1"/>
    <x v="17"/>
    <n v="2"/>
    <m/>
    <n v="83"/>
    <n v="83"/>
  </r>
  <r>
    <s v="Operation Team Task"/>
    <x v="3"/>
    <s v="Maintenance"/>
    <s v="TASK-247"/>
    <s v="Image Flag"/>
    <s v="Maintenance"/>
    <x v="1"/>
    <d v="2016-01-18T18:25:00"/>
    <x v="10"/>
    <x v="1"/>
    <x v="17"/>
    <n v="2"/>
    <m/>
    <n v="83"/>
    <n v="83"/>
  </r>
  <r>
    <s v="Operation Team Task"/>
    <x v="3"/>
    <s v="Maintenance"/>
    <s v="TASK-252"/>
    <s v="Memory Cache"/>
    <s v="Maintenance"/>
    <x v="1"/>
    <d v="2016-01-18T15:34:00"/>
    <x v="10"/>
    <x v="1"/>
    <x v="17"/>
    <n v="2"/>
    <m/>
    <n v="83"/>
    <n v="83"/>
  </r>
  <r>
    <s v="Operation Team Task"/>
    <x v="3"/>
    <s v="Maintenance"/>
    <s v="TASK-282"/>
    <s v="Mega Menu Update"/>
    <s v="Maintenance"/>
    <x v="1"/>
    <d v="2016-01-20T15:35:00"/>
    <x v="10"/>
    <x v="1"/>
    <x v="17"/>
    <n v="1"/>
    <m/>
    <n v="83"/>
    <n v="83"/>
  </r>
  <r>
    <s v="Operation Team Task"/>
    <x v="3"/>
    <s v="Maintenance"/>
    <s v="TASK-296"/>
    <s v="Update contact lens product data-- 279 color"/>
    <s v="Maintenance"/>
    <x v="1"/>
    <d v="2015-12-15T18:29:00"/>
    <x v="9"/>
    <x v="0"/>
    <x v="17"/>
    <n v="8"/>
    <m/>
    <n v="87"/>
    <n v="87"/>
  </r>
  <r>
    <s v="Operation Team Task"/>
    <x v="3"/>
    <s v="Maintenance"/>
    <s v="TASK-304"/>
    <s v="Prise Refresh and Clear Memory Cache"/>
    <s v="Maintenance"/>
    <x v="1"/>
    <d v="2016-01-27T18:14:00"/>
    <x v="10"/>
    <x v="1"/>
    <x v="17"/>
    <n v="8"/>
    <m/>
    <n v="83"/>
    <n v="83"/>
  </r>
  <r>
    <s v="Operation Team Task"/>
    <x v="3"/>
    <s v="Technical task"/>
    <s v="TASK-1551"/>
    <s v="TASK-120&gt; dailywork"/>
    <s v="Technical task"/>
    <x v="0"/>
    <d v="2016-01-28T15:23:00"/>
    <x v="10"/>
    <x v="1"/>
    <x v="17"/>
    <n v="0.5"/>
    <s v="360pic upload"/>
    <n v="83"/>
    <n v="83"/>
  </r>
  <r>
    <s v="Operation Team Task"/>
    <x v="3"/>
    <s v="Technical task"/>
    <s v="TASK-1553"/>
    <s v="TASK-120&gt; maintenance support"/>
    <s v="Technical task"/>
    <x v="0"/>
    <d v="2015-12-17T18:30:00"/>
    <x v="9"/>
    <x v="0"/>
    <x v="17"/>
    <n v="8"/>
    <m/>
    <n v="87"/>
    <n v="87"/>
  </r>
  <r>
    <s v="Operation Team Task"/>
    <x v="3"/>
    <s v="Technical task"/>
    <s v="TASK-1553"/>
    <s v="TASK-120&gt; maintenance support"/>
    <s v="Technical task"/>
    <x v="0"/>
    <d v="2015-12-18T18:30:00"/>
    <x v="9"/>
    <x v="0"/>
    <x v="17"/>
    <n v="8"/>
    <m/>
    <n v="87"/>
    <n v="87"/>
  </r>
  <r>
    <s v="Operation Team Task"/>
    <x v="3"/>
    <s v="Technical task"/>
    <s v="TASK-1553"/>
    <s v="TASK-120&gt; maintenance support"/>
    <s v="Technical task"/>
    <x v="0"/>
    <d v="2015-12-21T18:31:00"/>
    <x v="9"/>
    <x v="0"/>
    <x v="17"/>
    <n v="8"/>
    <m/>
    <n v="87"/>
    <n v="87"/>
  </r>
  <r>
    <s v="Operation Team Task"/>
    <x v="3"/>
    <s v="Technical task"/>
    <s v="TASK-1553"/>
    <s v="TASK-120&gt; maintenance support"/>
    <s v="Technical task"/>
    <x v="0"/>
    <d v="2015-12-22T18:31:00"/>
    <x v="9"/>
    <x v="0"/>
    <x v="17"/>
    <n v="8"/>
    <m/>
    <n v="87"/>
    <n v="87"/>
  </r>
  <r>
    <s v="Operation Team Task"/>
    <x v="3"/>
    <s v="Technical task"/>
    <s v="TASK-1553"/>
    <s v="TASK-120&gt; maintenance support"/>
    <s v="Technical task"/>
    <x v="0"/>
    <d v="2015-12-23T18:31:00"/>
    <x v="9"/>
    <x v="0"/>
    <x v="17"/>
    <n v="8"/>
    <m/>
    <n v="87"/>
    <n v="87"/>
  </r>
  <r>
    <s v="Operation Team Task"/>
    <x v="3"/>
    <s v="Technical task"/>
    <s v="TASK-1553"/>
    <s v="TASK-120&gt; maintenance support"/>
    <s v="Technical task"/>
    <x v="0"/>
    <d v="2015-12-24T18:34:00"/>
    <x v="9"/>
    <x v="0"/>
    <x v="17"/>
    <n v="8"/>
    <m/>
    <n v="87"/>
    <n v="87"/>
  </r>
  <r>
    <s v="Operation Team Task"/>
    <x v="3"/>
    <s v="Technical task"/>
    <s v="TASK-1553"/>
    <s v="TASK-120&gt; maintenance support"/>
    <s v="Technical task"/>
    <x v="0"/>
    <d v="2015-12-25T18:32:00"/>
    <x v="9"/>
    <x v="0"/>
    <x v="17"/>
    <n v="8"/>
    <m/>
    <n v="87"/>
    <n v="87"/>
  </r>
  <r>
    <s v="Operation Team Task"/>
    <x v="3"/>
    <s v="Technical task"/>
    <s v="TASK-1553"/>
    <s v="TASK-120&gt; maintenance support"/>
    <s v="Technical task"/>
    <x v="0"/>
    <d v="2015-12-28T18:35:00"/>
    <x v="9"/>
    <x v="0"/>
    <x v="17"/>
    <n v="8"/>
    <m/>
    <n v="87"/>
    <n v="87"/>
  </r>
  <r>
    <s v="Operation Team Task"/>
    <x v="3"/>
    <s v="Technical task"/>
    <s v="TASK-1553"/>
    <s v="TASK-120&gt; maintenance support"/>
    <s v="Technical task"/>
    <x v="0"/>
    <d v="2015-12-29T18:35:00"/>
    <x v="9"/>
    <x v="0"/>
    <x v="17"/>
    <n v="8"/>
    <m/>
    <n v="87"/>
    <n v="87"/>
  </r>
  <r>
    <s v="Operation Team Task"/>
    <x v="3"/>
    <s v="Technical task"/>
    <s v="TASK-1553"/>
    <s v="TASK-120&gt; maintenance support"/>
    <s v="Technical task"/>
    <x v="0"/>
    <d v="2015-12-30T18:35:00"/>
    <x v="9"/>
    <x v="0"/>
    <x v="17"/>
    <n v="8"/>
    <m/>
    <n v="87"/>
    <n v="87"/>
  </r>
  <r>
    <s v="Operation Team Task"/>
    <x v="3"/>
    <s v="Technical task"/>
    <s v="TASK-1553"/>
    <s v="TASK-120&gt; maintenance support"/>
    <s v="Technical task"/>
    <x v="0"/>
    <d v="2015-12-31T18:36:00"/>
    <x v="9"/>
    <x v="0"/>
    <x v="17"/>
    <n v="8"/>
    <m/>
    <n v="87"/>
    <n v="87"/>
  </r>
  <r>
    <s v="Operation Team Task"/>
    <x v="3"/>
    <s v="Technical task"/>
    <s v="TASK-1553"/>
    <s v="TASK-120&gt; maintenance support"/>
    <s v="Technical task"/>
    <x v="0"/>
    <d v="2016-01-01T16:40:00"/>
    <x v="10"/>
    <x v="1"/>
    <x v="17"/>
    <n v="8"/>
    <s v="info team daily work"/>
    <n v="83"/>
    <n v="83"/>
  </r>
  <r>
    <s v="Operation Team Task"/>
    <x v="3"/>
    <s v="Technical task"/>
    <s v="TASK-1553"/>
    <s v="TASK-120&gt; maintenance support"/>
    <s v="Technical task"/>
    <x v="0"/>
    <d v="2016-01-26T18:31:00"/>
    <x v="10"/>
    <x v="1"/>
    <x v="17"/>
    <n v="8"/>
    <m/>
    <n v="83"/>
    <n v="83"/>
  </r>
  <r>
    <s v="Operation Team Task"/>
    <x v="3"/>
    <s v="Technical task"/>
    <s v="TASK-1553"/>
    <s v="TASK-120&gt; maintenance support"/>
    <s v="Technical task"/>
    <x v="0"/>
    <d v="2016-01-29T17:04:00"/>
    <x v="10"/>
    <x v="1"/>
    <x v="17"/>
    <n v="8"/>
    <s v="info team daily work"/>
    <n v="83"/>
    <n v="83"/>
  </r>
  <r>
    <s v="Operation Team Task"/>
    <x v="3"/>
    <s v="Develop"/>
    <s v="TASK-1573"/>
    <s v="CL SKU &amp; Clear cache &amp; OM list"/>
    <s v="Develop"/>
    <x v="0"/>
    <d v="2016-01-05T08:20:00"/>
    <x v="10"/>
    <x v="1"/>
    <x v="17"/>
    <n v="6"/>
    <m/>
    <n v="83"/>
    <n v="83"/>
  </r>
  <r>
    <s v="Operation Team Task"/>
    <x v="3"/>
    <s v="Develop"/>
    <s v="TASK-1573"/>
    <s v="CL SKU &amp; Clear cache &amp; OM list"/>
    <s v="Develop"/>
    <x v="0"/>
    <d v="2016-01-06T06:20:00"/>
    <x v="10"/>
    <x v="1"/>
    <x v="17"/>
    <n v="8"/>
    <m/>
    <n v="83"/>
    <n v="83"/>
  </r>
  <r>
    <s v="Operation Team Task"/>
    <x v="3"/>
    <s v="Develop"/>
    <s v="TASK-1573"/>
    <s v="CL SKU &amp; Clear cache &amp; OM list"/>
    <s v="Develop"/>
    <x v="0"/>
    <d v="2016-01-07T06:20:00"/>
    <x v="10"/>
    <x v="1"/>
    <x v="17"/>
    <n v="8"/>
    <m/>
    <n v="83"/>
    <n v="83"/>
  </r>
  <r>
    <s v="Operation Team Task"/>
    <x v="3"/>
    <s v="Develop"/>
    <s v="TASK-1573"/>
    <s v="CL SKU &amp; Clear cache &amp; OM list"/>
    <s v="Develop"/>
    <x v="0"/>
    <d v="2016-01-08T06:20:00"/>
    <x v="10"/>
    <x v="1"/>
    <x v="17"/>
    <n v="8"/>
    <m/>
    <n v="83"/>
    <n v="83"/>
  </r>
  <r>
    <s v="Operation Team Task"/>
    <x v="3"/>
    <s v="Develop"/>
    <s v="TASK-1573"/>
    <s v="CL SKU &amp; Clear cache &amp; OM list"/>
    <s v="Develop"/>
    <x v="0"/>
    <d v="2016-01-13T06:21:00"/>
    <x v="10"/>
    <x v="1"/>
    <x v="17"/>
    <n v="8"/>
    <m/>
    <n v="83"/>
    <n v="83"/>
  </r>
  <r>
    <s v="Operation Team Task"/>
    <x v="3"/>
    <s v="Develop"/>
    <s v="TASK-1573"/>
    <s v="CL SKU &amp; Clear cache &amp; OM list"/>
    <s v="Develop"/>
    <x v="0"/>
    <d v="2016-01-15T06:22:00"/>
    <x v="10"/>
    <x v="1"/>
    <x v="17"/>
    <n v="8"/>
    <m/>
    <n v="83"/>
    <n v="83"/>
  </r>
  <r>
    <s v="Operation Team Task"/>
    <x v="3"/>
    <s v="Develop"/>
    <s v="TASK-1573"/>
    <s v="CL SKU &amp; Clear cache &amp; OM list"/>
    <s v="Develop"/>
    <x v="0"/>
    <d v="2016-01-19T12:45:00"/>
    <x v="10"/>
    <x v="1"/>
    <x v="17"/>
    <n v="8"/>
    <m/>
    <n v="83"/>
    <n v="83"/>
  </r>
  <r>
    <s v="Operation Team Task"/>
    <x v="3"/>
    <s v="Develop"/>
    <s v="TASK-1574"/>
    <s v="ScanIT switch to london5 test"/>
    <s v="Develop"/>
    <x v="0"/>
    <d v="2015-12-01T14:14:00"/>
    <x v="9"/>
    <x v="0"/>
    <x v="17"/>
    <n v="8"/>
    <m/>
    <n v="87"/>
    <n v="87"/>
  </r>
  <r>
    <s v="Operation Team Task"/>
    <x v="3"/>
    <s v="Develop"/>
    <s v="TASK-1574"/>
    <s v="ScanIT switch to london5 test"/>
    <s v="Develop"/>
    <x v="0"/>
    <d v="2015-12-02T06:15:00"/>
    <x v="9"/>
    <x v="0"/>
    <x v="17"/>
    <n v="8"/>
    <m/>
    <n v="87"/>
    <n v="87"/>
  </r>
  <r>
    <s v="Operation Team Task"/>
    <x v="3"/>
    <s v="Develop"/>
    <s v="TASK-1574"/>
    <s v="ScanIT switch to london5 test"/>
    <s v="Develop"/>
    <x v="0"/>
    <d v="2015-12-03T06:15:00"/>
    <x v="9"/>
    <x v="0"/>
    <x v="17"/>
    <n v="8"/>
    <m/>
    <n v="87"/>
    <n v="87"/>
  </r>
  <r>
    <s v="Operation Team Task"/>
    <x v="3"/>
    <s v="Develop"/>
    <s v="TASK-1574"/>
    <s v="ScanIT switch to london5 test"/>
    <s v="Develop"/>
    <x v="0"/>
    <d v="2015-12-04T06:15:00"/>
    <x v="9"/>
    <x v="0"/>
    <x v="17"/>
    <n v="8"/>
    <m/>
    <n v="87"/>
    <n v="87"/>
  </r>
  <r>
    <s v="Operation Team Task"/>
    <x v="3"/>
    <s v="Develop"/>
    <s v="TASK-1574"/>
    <s v="ScanIT switch to london5 test"/>
    <s v="Develop"/>
    <x v="0"/>
    <d v="2015-12-07T06:16:00"/>
    <x v="9"/>
    <x v="0"/>
    <x v="17"/>
    <n v="8"/>
    <m/>
    <n v="87"/>
    <n v="87"/>
  </r>
  <r>
    <s v="Operation Team Task"/>
    <x v="3"/>
    <s v="Develop"/>
    <s v="TASK-1574"/>
    <s v="ScanIT switch to london5 test"/>
    <s v="Develop"/>
    <x v="0"/>
    <d v="2015-12-08T06:16:00"/>
    <x v="9"/>
    <x v="0"/>
    <x v="17"/>
    <n v="8"/>
    <m/>
    <n v="87"/>
    <n v="87"/>
  </r>
  <r>
    <s v="Operation Team Task"/>
    <x v="3"/>
    <s v="Develop"/>
    <s v="TASK-1574"/>
    <s v="ScanIT switch to london5 test"/>
    <s v="Develop"/>
    <x v="0"/>
    <d v="2015-12-09T06:16:00"/>
    <x v="9"/>
    <x v="0"/>
    <x v="17"/>
    <n v="8"/>
    <m/>
    <n v="87"/>
    <n v="87"/>
  </r>
  <r>
    <s v="Operation Team Task"/>
    <x v="3"/>
    <s v="Develop"/>
    <s v="TASK-1574"/>
    <s v="ScanIT switch to london5 test"/>
    <s v="Develop"/>
    <x v="0"/>
    <d v="2015-12-10T06:16:00"/>
    <x v="9"/>
    <x v="0"/>
    <x v="17"/>
    <n v="8"/>
    <m/>
    <n v="87"/>
    <n v="87"/>
  </r>
  <r>
    <s v="Operation Team Task"/>
    <x v="3"/>
    <s v="Develop"/>
    <s v="TASK-1574"/>
    <s v="ScanIT switch to london5 test"/>
    <s v="Develop"/>
    <x v="0"/>
    <d v="2015-12-11T06:16:00"/>
    <x v="9"/>
    <x v="0"/>
    <x v="17"/>
    <n v="8"/>
    <m/>
    <n v="87"/>
    <n v="87"/>
  </r>
  <r>
    <s v="Operation Team Task"/>
    <x v="3"/>
    <s v="Develop"/>
    <s v="TASK-1574"/>
    <s v="ScanIT switch to london5 test"/>
    <s v="Develop"/>
    <x v="0"/>
    <d v="2015-12-14T06:16:00"/>
    <x v="9"/>
    <x v="0"/>
    <x v="17"/>
    <n v="8"/>
    <m/>
    <n v="87"/>
    <n v="87"/>
  </r>
  <r>
    <s v="Operation Team Task"/>
    <x v="3"/>
    <s v="Develop"/>
    <s v="TASK-1574"/>
    <s v="ScanIT switch to london5 test"/>
    <s v="Develop"/>
    <x v="0"/>
    <d v="2015-12-16T06:16:00"/>
    <x v="9"/>
    <x v="0"/>
    <x v="17"/>
    <n v="8"/>
    <m/>
    <n v="87"/>
    <n v="87"/>
  </r>
  <r>
    <s v="Operation Team Task"/>
    <x v="3"/>
    <s v="Develop"/>
    <s v="TASK-1587"/>
    <s v="Apache environment config on sbg and om, include 181,186,219,93"/>
    <s v="Develop"/>
    <x v="0"/>
    <d v="2016-01-12T12:26:00"/>
    <x v="10"/>
    <x v="1"/>
    <x v="17"/>
    <n v="4"/>
    <m/>
    <n v="83"/>
    <n v="83"/>
  </r>
  <r>
    <s v="Operation Team Task"/>
    <x v="3"/>
    <s v="Develop"/>
    <s v="TASK-1587"/>
    <s v="Apache environment config on sbg and om, include 181,186,219,93"/>
    <s v="Develop"/>
    <x v="0"/>
    <d v="2016-01-14T10:22:00"/>
    <x v="10"/>
    <x v="1"/>
    <x v="17"/>
    <n v="4"/>
    <m/>
    <n v="83"/>
    <n v="83"/>
  </r>
  <r>
    <s v="Operation Team Task"/>
    <x v="1"/>
    <s v="Develop"/>
    <s v="TASK-1619"/>
    <s v="Desktop Sitemap doesn't run successfully for UK server"/>
    <s v="Develop"/>
    <x v="0"/>
    <d v="2015-12-10T16:12:00"/>
    <x v="9"/>
    <x v="0"/>
    <x v="1"/>
    <n v="1"/>
    <m/>
    <n v="147.9"/>
    <n v="26.100000000000005"/>
  </r>
  <r>
    <s v="Operation Team Task"/>
    <x v="3"/>
    <s v="Develop"/>
    <s v="TASK-1640"/>
    <s v="Solution to sync rackCDN with S3 server"/>
    <s v="Develop"/>
    <x v="0"/>
    <d v="2016-01-21T18:14:00"/>
    <x v="10"/>
    <x v="1"/>
    <x v="17"/>
    <n v="8"/>
    <m/>
    <n v="83"/>
    <n v="83"/>
  </r>
  <r>
    <s v="Operation Team Task"/>
    <x v="3"/>
    <s v="Develop"/>
    <s v="TASK-1640"/>
    <s v="Solution to sync rackCDN with S3 server"/>
    <s v="Develop"/>
    <x v="0"/>
    <d v="2016-01-22T18:14:00"/>
    <x v="10"/>
    <x v="1"/>
    <x v="17"/>
    <n v="8"/>
    <m/>
    <n v="83"/>
    <n v="83"/>
  </r>
  <r>
    <s v="Operation Team Task"/>
    <x v="3"/>
    <s v="Develop"/>
    <s v="TASK-1640"/>
    <s v="Solution to sync rackCDN with S3 server"/>
    <s v="Develop"/>
    <x v="0"/>
    <d v="2016-01-25T18:14:00"/>
    <x v="10"/>
    <x v="1"/>
    <x v="17"/>
    <n v="8"/>
    <m/>
    <n v="83"/>
    <n v="83"/>
  </r>
  <r>
    <s v="Operation Team Task"/>
    <x v="1"/>
    <s v="Develop"/>
    <s v="TASK-1640"/>
    <s v="Solution to sync rackCDN with S3 server"/>
    <s v="Develop"/>
    <x v="0"/>
    <d v="2016-01-27T19:21:00"/>
    <x v="10"/>
    <x v="1"/>
    <x v="1"/>
    <n v="1"/>
    <m/>
    <n v="141.1"/>
    <n v="24.900000000000002"/>
  </r>
  <r>
    <s v="Operation Team Task"/>
    <x v="1"/>
    <s v="Maintenance"/>
    <s v="TASK-1667"/>
    <s v="mobile sitemap doesn't work via mobilesitemap.sh on most servers except US server"/>
    <s v="Maintenance"/>
    <x v="1"/>
    <d v="2015-12-10T16:11:00"/>
    <x v="9"/>
    <x v="0"/>
    <x v="1"/>
    <n v="2"/>
    <m/>
    <n v="147.9"/>
    <n v="26.100000000000005"/>
  </r>
  <r>
    <s v="Operation Team Task"/>
    <x v="2"/>
    <s v="Maintenance"/>
    <s v="TASK-1667"/>
    <s v="mobile sitemap doesn't work via mobilesitemap.sh on most servers except US server"/>
    <s v="Maintenance"/>
    <x v="1"/>
    <d v="2015-12-14T14:43:00"/>
    <x v="9"/>
    <x v="0"/>
    <x v="11"/>
    <n v="1"/>
    <m/>
    <n v="147.9"/>
    <n v="26.100000000000005"/>
  </r>
  <r>
    <s v="Operation Team Task"/>
    <x v="1"/>
    <s v="Maintenance"/>
    <s v="TASK-1667"/>
    <s v="mobile sitemap doesn't work via mobilesitemap.sh on most servers except US server"/>
    <s v="Maintenance"/>
    <x v="1"/>
    <d v="2015-12-14T15:22:00"/>
    <x v="9"/>
    <x v="0"/>
    <x v="1"/>
    <n v="2"/>
    <m/>
    <n v="147.9"/>
    <n v="26.100000000000005"/>
  </r>
  <r>
    <s v="Operation Team Task"/>
    <x v="1"/>
    <s v="Maintenance"/>
    <s v="TASK-1667"/>
    <s v="mobile sitemap doesn't work via mobilesitemap.sh on most servers except US server"/>
    <s v="Maintenance"/>
    <x v="1"/>
    <d v="2015-12-23T16:23:00"/>
    <x v="9"/>
    <x v="0"/>
    <x v="1"/>
    <n v="1"/>
    <m/>
    <n v="147.9"/>
    <n v="26.100000000000005"/>
  </r>
  <r>
    <s v="Operation Team Task"/>
    <x v="1"/>
    <s v="Maintenance"/>
    <s v="TASK-1667"/>
    <s v="mobile sitemap doesn't work via mobilesitemap.sh on most servers except US server"/>
    <s v="Maintenance"/>
    <x v="1"/>
    <d v="2015-12-28T19:37:00"/>
    <x v="9"/>
    <x v="0"/>
    <x v="1"/>
    <n v="1"/>
    <m/>
    <n v="147.9"/>
    <n v="26.100000000000005"/>
  </r>
  <r>
    <s v="Operation Team Task"/>
    <x v="1"/>
    <s v="Maintenance"/>
    <s v="TASK-1669"/>
    <s v="incorrect image URL for contact lenses (aws)"/>
    <s v="Maintenance"/>
    <x v="1"/>
    <d v="2015-12-30T07:44:00"/>
    <x v="9"/>
    <x v="0"/>
    <x v="26"/>
    <n v="8"/>
    <m/>
    <n v="147.9"/>
    <n v="26.100000000000005"/>
  </r>
  <r>
    <s v="Operation Team Task"/>
    <x v="1"/>
    <s v="Maintenance"/>
    <s v="TASK-1669"/>
    <s v="incorrect image URL for contact lenses (aws)"/>
    <s v="Maintenance"/>
    <x v="1"/>
    <d v="2015-12-31T07:44:00"/>
    <x v="9"/>
    <x v="0"/>
    <x v="26"/>
    <n v="8"/>
    <m/>
    <n v="147.9"/>
    <n v="26.100000000000005"/>
  </r>
  <r>
    <s v="Operation Team Task"/>
    <x v="1"/>
    <s v="Maintenance"/>
    <s v="TASK-1669"/>
    <s v="incorrect image URL for contact lenses (aws)"/>
    <s v="Maintenance"/>
    <x v="1"/>
    <d v="2016-01-01T07:44:00"/>
    <x v="10"/>
    <x v="1"/>
    <x v="26"/>
    <n v="8"/>
    <m/>
    <n v="141.1"/>
    <n v="24.900000000000002"/>
  </r>
  <r>
    <s v="Operation Team Task"/>
    <x v="1"/>
    <s v="Maintenance"/>
    <s v="TASK-1669"/>
    <s v="incorrect image URL for contact lenses (aws)"/>
    <s v="Maintenance"/>
    <x v="1"/>
    <d v="2016-01-04T14:57:00"/>
    <x v="10"/>
    <x v="1"/>
    <x v="26"/>
    <n v="1"/>
    <m/>
    <n v="141.1"/>
    <n v="24.900000000000002"/>
  </r>
  <r>
    <s v="Operation Team Task"/>
    <x v="2"/>
    <s v="Maintenance"/>
    <s v="TASK-1671"/>
    <s v="Disallow /search results from blog and Optical Centre page from being indexed"/>
    <s v="Maintenance"/>
    <x v="1"/>
    <d v="2015-12-25T16:36:00"/>
    <x v="9"/>
    <x v="0"/>
    <x v="2"/>
    <n v="3"/>
    <m/>
    <n v="147.9"/>
    <n v="26.100000000000005"/>
  </r>
  <r>
    <s v="Operation Team Task"/>
    <x v="1"/>
    <s v="Maintenance"/>
    <s v="TASK-1671"/>
    <s v="Disallow /search results from blog and Optical Centre page from being indexed"/>
    <s v="Maintenance"/>
    <x v="1"/>
    <d v="2016-01-07T18:26:00"/>
    <x v="10"/>
    <x v="1"/>
    <x v="30"/>
    <n v="1"/>
    <m/>
    <n v="141.1"/>
    <n v="24.900000000000002"/>
  </r>
  <r>
    <s v="Operation Team Task"/>
    <x v="1"/>
    <s v="Maintenance"/>
    <s v="TASK-1671"/>
    <s v="Disallow /search results from blog and Optical Centre page from being indexed"/>
    <s v="Maintenance"/>
    <x v="1"/>
    <d v="2016-01-08T12:22:00"/>
    <x v="10"/>
    <x v="1"/>
    <x v="30"/>
    <n v="1"/>
    <m/>
    <n v="141.1"/>
    <n v="24.900000000000002"/>
  </r>
  <r>
    <s v="Operation Team Task"/>
    <x v="1"/>
    <s v="Maintenance"/>
    <s v="TASK-1671"/>
    <s v="Disallow /search results from blog and Optical Centre page from being indexed"/>
    <s v="Maintenance"/>
    <x v="1"/>
    <d v="2016-01-08T18:01:00"/>
    <x v="10"/>
    <x v="1"/>
    <x v="30"/>
    <n v="1"/>
    <m/>
    <n v="141.1"/>
    <n v="24.900000000000002"/>
  </r>
  <r>
    <s v="Operation Team Task"/>
    <x v="1"/>
    <s v="Maintenance"/>
    <s v="TASK-1671"/>
    <s v="Disallow /search results from blog and Optical Centre page from being indexed"/>
    <s v="Maintenance"/>
    <x v="1"/>
    <d v="2016-01-12T18:13:00"/>
    <x v="10"/>
    <x v="1"/>
    <x v="30"/>
    <n v="4"/>
    <m/>
    <n v="141.1"/>
    <n v="24.900000000000002"/>
  </r>
  <r>
    <s v="Operation Team Task"/>
    <x v="1"/>
    <s v="Maintenance"/>
    <s v="TASK-1671"/>
    <s v="Disallow /search results from blog and Optical Centre page from being indexed"/>
    <s v="Maintenance"/>
    <x v="1"/>
    <d v="2016-01-15T17:08:00"/>
    <x v="10"/>
    <x v="1"/>
    <x v="30"/>
    <n v="1"/>
    <m/>
    <n v="141.1"/>
    <n v="24.900000000000002"/>
  </r>
  <r>
    <s v="Operation Team Task"/>
    <x v="3"/>
    <s v="Maintenance"/>
    <s v="TASK-1689"/>
    <s v="Goaccess deploy"/>
    <s v="Maintenance"/>
    <x v="1"/>
    <d v="2015-12-01T09:30:00"/>
    <x v="9"/>
    <x v="0"/>
    <x v="28"/>
    <n v="4"/>
    <m/>
    <n v="87"/>
    <n v="87"/>
  </r>
  <r>
    <s v="Operation Team Task"/>
    <x v="3"/>
    <s v="Maintenance"/>
    <s v="TASK-1689"/>
    <s v="Goaccess deploy"/>
    <s v="Maintenance"/>
    <x v="1"/>
    <d v="2015-12-02T09:30:00"/>
    <x v="9"/>
    <x v="0"/>
    <x v="28"/>
    <n v="4"/>
    <m/>
    <n v="87"/>
    <n v="87"/>
  </r>
  <r>
    <s v="Operation Team Task"/>
    <x v="3"/>
    <s v="Maintenance"/>
    <s v="TASK-1689"/>
    <s v="Goaccess deploy"/>
    <s v="Maintenance"/>
    <x v="1"/>
    <d v="2015-12-03T09:30:00"/>
    <x v="9"/>
    <x v="0"/>
    <x v="28"/>
    <n v="4"/>
    <m/>
    <n v="87"/>
    <n v="87"/>
  </r>
  <r>
    <s v="Operation Team Task"/>
    <x v="3"/>
    <s v="Maintenance"/>
    <s v="TASK-1689"/>
    <s v="Goaccess deploy"/>
    <s v="Maintenance"/>
    <x v="1"/>
    <d v="2015-12-04T09:30:00"/>
    <x v="9"/>
    <x v="0"/>
    <x v="28"/>
    <n v="4"/>
    <m/>
    <n v="87"/>
    <n v="87"/>
  </r>
  <r>
    <s v="Operation Team Task"/>
    <x v="3"/>
    <s v="Maintenance"/>
    <s v="TASK-1689"/>
    <s v="Goaccess deploy"/>
    <s v="Maintenance"/>
    <x v="1"/>
    <d v="2015-12-07T09:30:00"/>
    <x v="9"/>
    <x v="0"/>
    <x v="28"/>
    <n v="4"/>
    <m/>
    <n v="87"/>
    <n v="87"/>
  </r>
  <r>
    <s v="Operation Team Task"/>
    <x v="3"/>
    <s v="Maintenance"/>
    <s v="TASK-1689"/>
    <s v="Goaccess deploy"/>
    <s v="Maintenance"/>
    <x v="1"/>
    <d v="2015-12-08T09:30:00"/>
    <x v="9"/>
    <x v="0"/>
    <x v="28"/>
    <n v="4"/>
    <m/>
    <n v="87"/>
    <n v="87"/>
  </r>
  <r>
    <s v="Operation Team Task"/>
    <x v="3"/>
    <s v="Maintenance"/>
    <s v="TASK-1689"/>
    <s v="Goaccess deploy"/>
    <s v="Maintenance"/>
    <x v="1"/>
    <d v="2015-12-09T09:30:00"/>
    <x v="9"/>
    <x v="0"/>
    <x v="28"/>
    <n v="4"/>
    <m/>
    <n v="87"/>
    <n v="87"/>
  </r>
  <r>
    <s v="Operation Team Task"/>
    <x v="3"/>
    <s v="Maintenance"/>
    <s v="TASK-1689"/>
    <s v="Goaccess deploy"/>
    <s v="Maintenance"/>
    <x v="1"/>
    <d v="2015-12-10T09:30:00"/>
    <x v="9"/>
    <x v="0"/>
    <x v="28"/>
    <n v="4"/>
    <m/>
    <n v="87"/>
    <n v="87"/>
  </r>
  <r>
    <s v="Operation Team Task"/>
    <x v="3"/>
    <s v="Maintenance"/>
    <s v="TASK-1689"/>
    <s v="Goaccess deploy"/>
    <s v="Maintenance"/>
    <x v="1"/>
    <d v="2015-12-11T09:30:00"/>
    <x v="9"/>
    <x v="0"/>
    <x v="28"/>
    <n v="2"/>
    <m/>
    <n v="87"/>
    <n v="87"/>
  </r>
  <r>
    <s v="Operation Team Task"/>
    <x v="3"/>
    <s v="Maintenance"/>
    <s v="TASK-1689"/>
    <s v="Goaccess deploy"/>
    <s v="Maintenance"/>
    <x v="1"/>
    <d v="2015-12-14T09:30:00"/>
    <x v="9"/>
    <x v="0"/>
    <x v="28"/>
    <n v="4"/>
    <m/>
    <n v="87"/>
    <n v="87"/>
  </r>
  <r>
    <s v="Operation Team Task"/>
    <x v="3"/>
    <s v="Maintenance"/>
    <s v="TASK-1689"/>
    <s v="Goaccess deploy"/>
    <s v="Maintenance"/>
    <x v="1"/>
    <d v="2015-12-15T09:30:00"/>
    <x v="9"/>
    <x v="0"/>
    <x v="28"/>
    <n v="4"/>
    <m/>
    <n v="87"/>
    <n v="87"/>
  </r>
  <r>
    <s v="Operation Team Task"/>
    <x v="3"/>
    <s v="Maintenance"/>
    <s v="TASK-1689"/>
    <s v="Goaccess deploy"/>
    <s v="Maintenance"/>
    <x v="1"/>
    <d v="2015-12-16T09:30:00"/>
    <x v="9"/>
    <x v="0"/>
    <x v="28"/>
    <n v="4"/>
    <m/>
    <n v="87"/>
    <n v="87"/>
  </r>
  <r>
    <s v="Operation Team Task"/>
    <x v="3"/>
    <s v="Maintenance"/>
    <s v="TASK-1689"/>
    <s v="Goaccess deploy"/>
    <s v="Maintenance"/>
    <x v="1"/>
    <d v="2015-12-17T09:30:00"/>
    <x v="9"/>
    <x v="0"/>
    <x v="28"/>
    <n v="4"/>
    <m/>
    <n v="87"/>
    <n v="87"/>
  </r>
  <r>
    <s v="Operation Team Task"/>
    <x v="3"/>
    <s v="Maintenance"/>
    <s v="TASK-1689"/>
    <s v="Goaccess deploy"/>
    <s v="Maintenance"/>
    <x v="1"/>
    <d v="2015-12-18T09:30:00"/>
    <x v="9"/>
    <x v="0"/>
    <x v="28"/>
    <n v="4"/>
    <m/>
    <n v="87"/>
    <n v="87"/>
  </r>
  <r>
    <s v="Operation Team Task"/>
    <x v="3"/>
    <s v="Maintenance"/>
    <s v="TASK-1689"/>
    <s v="Goaccess deploy"/>
    <s v="Maintenance"/>
    <x v="1"/>
    <d v="2015-12-21T09:30:00"/>
    <x v="9"/>
    <x v="0"/>
    <x v="28"/>
    <n v="4"/>
    <m/>
    <n v="87"/>
    <n v="87"/>
  </r>
  <r>
    <s v="Operation Team Task"/>
    <x v="3"/>
    <s v="Maintenance"/>
    <s v="TASK-1689"/>
    <s v="Goaccess deploy"/>
    <s v="Maintenance"/>
    <x v="1"/>
    <d v="2015-12-22T09:30:00"/>
    <x v="9"/>
    <x v="0"/>
    <x v="28"/>
    <n v="4"/>
    <m/>
    <n v="87"/>
    <n v="87"/>
  </r>
  <r>
    <s v="Operation Team Task"/>
    <x v="3"/>
    <s v="Maintenance"/>
    <s v="TASK-1689"/>
    <s v="Goaccess deploy"/>
    <s v="Maintenance"/>
    <x v="1"/>
    <d v="2015-12-23T09:30:00"/>
    <x v="9"/>
    <x v="0"/>
    <x v="28"/>
    <n v="4"/>
    <m/>
    <n v="87"/>
    <n v="87"/>
  </r>
  <r>
    <s v="Operation Team Task"/>
    <x v="3"/>
    <s v="Maintenance"/>
    <s v="TASK-1689"/>
    <s v="Goaccess deploy"/>
    <s v="Maintenance"/>
    <x v="1"/>
    <d v="2015-12-24T09:30:00"/>
    <x v="9"/>
    <x v="0"/>
    <x v="28"/>
    <n v="1"/>
    <m/>
    <n v="87"/>
    <n v="87"/>
  </r>
  <r>
    <s v="Operation Team Task"/>
    <x v="3"/>
    <s v="Maintenance"/>
    <s v="TASK-1689"/>
    <s v="Goaccess deploy"/>
    <s v="Maintenance"/>
    <x v="1"/>
    <d v="2015-12-25T09:30:00"/>
    <x v="9"/>
    <x v="0"/>
    <x v="28"/>
    <n v="4"/>
    <m/>
    <n v="87"/>
    <n v="87"/>
  </r>
  <r>
    <s v="Operation Team Task"/>
    <x v="3"/>
    <s v="Maintenance"/>
    <s v="TASK-1689"/>
    <s v="Goaccess deploy"/>
    <s v="Maintenance"/>
    <x v="1"/>
    <d v="2015-12-28T09:30:00"/>
    <x v="9"/>
    <x v="0"/>
    <x v="28"/>
    <n v="4"/>
    <m/>
    <n v="87"/>
    <n v="87"/>
  </r>
  <r>
    <s v="Operation Team Task"/>
    <x v="3"/>
    <s v="Maintenance"/>
    <s v="TASK-1689"/>
    <s v="Goaccess deploy"/>
    <s v="Maintenance"/>
    <x v="1"/>
    <d v="2015-12-29T09:30:00"/>
    <x v="9"/>
    <x v="0"/>
    <x v="28"/>
    <n v="4"/>
    <m/>
    <n v="87"/>
    <n v="87"/>
  </r>
  <r>
    <s v="Operation Team Task"/>
    <x v="3"/>
    <s v="Maintenance"/>
    <s v="TASK-1689"/>
    <s v="Goaccess deploy"/>
    <s v="Maintenance"/>
    <x v="1"/>
    <d v="2015-12-30T09:30:00"/>
    <x v="9"/>
    <x v="0"/>
    <x v="28"/>
    <n v="4"/>
    <m/>
    <n v="87"/>
    <n v="87"/>
  </r>
  <r>
    <s v="Operation Team Task"/>
    <x v="3"/>
    <s v="Maintenance"/>
    <s v="TASK-1689"/>
    <s v="Goaccess deploy"/>
    <s v="Maintenance"/>
    <x v="1"/>
    <d v="2015-12-31T09:30:00"/>
    <x v="9"/>
    <x v="0"/>
    <x v="28"/>
    <n v="4"/>
    <m/>
    <n v="87"/>
    <n v="87"/>
  </r>
  <r>
    <s v="Operation Team Task"/>
    <x v="3"/>
    <s v="Develop"/>
    <s v="TASK-1690"/>
    <s v="S3 setup and testing"/>
    <s v="Develop"/>
    <x v="0"/>
    <d v="2015-12-01T14:00:00"/>
    <x v="9"/>
    <x v="0"/>
    <x v="28"/>
    <n v="4"/>
    <m/>
    <n v="87"/>
    <n v="87"/>
  </r>
  <r>
    <s v="Operation Team Task"/>
    <x v="3"/>
    <s v="Develop"/>
    <s v="TASK-1690"/>
    <s v="S3 setup and testing"/>
    <s v="Develop"/>
    <x v="0"/>
    <d v="2015-12-02T14:00:00"/>
    <x v="9"/>
    <x v="0"/>
    <x v="28"/>
    <n v="4"/>
    <m/>
    <n v="87"/>
    <n v="87"/>
  </r>
  <r>
    <s v="Operation Team Task"/>
    <x v="3"/>
    <s v="Develop"/>
    <s v="TASK-1690"/>
    <s v="S3 setup and testing"/>
    <s v="Develop"/>
    <x v="0"/>
    <d v="2015-12-03T14:00:00"/>
    <x v="9"/>
    <x v="0"/>
    <x v="28"/>
    <n v="4"/>
    <m/>
    <n v="87"/>
    <n v="87"/>
  </r>
  <r>
    <s v="Operation Team Task"/>
    <x v="3"/>
    <s v="Develop"/>
    <s v="TASK-1690"/>
    <s v="S3 setup and testing"/>
    <s v="Develop"/>
    <x v="0"/>
    <d v="2015-12-04T14:00:00"/>
    <x v="9"/>
    <x v="0"/>
    <x v="28"/>
    <n v="4"/>
    <m/>
    <n v="87"/>
    <n v="87"/>
  </r>
  <r>
    <s v="Operation Team Task"/>
    <x v="3"/>
    <s v="Develop"/>
    <s v="TASK-1690"/>
    <s v="S3 setup and testing"/>
    <s v="Develop"/>
    <x v="0"/>
    <d v="2015-12-07T14:00:00"/>
    <x v="9"/>
    <x v="0"/>
    <x v="28"/>
    <n v="4"/>
    <m/>
    <n v="87"/>
    <n v="87"/>
  </r>
  <r>
    <s v="Operation Team Task"/>
    <x v="3"/>
    <s v="Develop"/>
    <s v="TASK-1690"/>
    <s v="S3 setup and testing"/>
    <s v="Develop"/>
    <x v="0"/>
    <d v="2015-12-08T14:00:00"/>
    <x v="9"/>
    <x v="0"/>
    <x v="28"/>
    <n v="4"/>
    <m/>
    <n v="87"/>
    <n v="87"/>
  </r>
  <r>
    <s v="Operation Team Task"/>
    <x v="3"/>
    <s v="Develop"/>
    <s v="TASK-1690"/>
    <s v="S3 setup and testing"/>
    <s v="Develop"/>
    <x v="0"/>
    <d v="2015-12-09T14:00:00"/>
    <x v="9"/>
    <x v="0"/>
    <x v="28"/>
    <n v="4"/>
    <m/>
    <n v="87"/>
    <n v="87"/>
  </r>
  <r>
    <s v="Operation Team Task"/>
    <x v="3"/>
    <s v="Develop"/>
    <s v="TASK-1690"/>
    <s v="S3 setup and testing"/>
    <s v="Develop"/>
    <x v="0"/>
    <d v="2015-12-10T14:00:00"/>
    <x v="9"/>
    <x v="0"/>
    <x v="28"/>
    <n v="4"/>
    <m/>
    <n v="87"/>
    <n v="87"/>
  </r>
  <r>
    <s v="Operation Team Task"/>
    <x v="3"/>
    <s v="Develop"/>
    <s v="TASK-1690"/>
    <s v="S3 setup and testing"/>
    <s v="Develop"/>
    <x v="0"/>
    <d v="2015-12-11T14:00:00"/>
    <x v="9"/>
    <x v="0"/>
    <x v="28"/>
    <n v="4"/>
    <m/>
    <n v="87"/>
    <n v="87"/>
  </r>
  <r>
    <s v="Operation Team Task"/>
    <x v="3"/>
    <s v="Develop"/>
    <s v="TASK-1690"/>
    <s v="S3 setup and testing"/>
    <s v="Develop"/>
    <x v="0"/>
    <d v="2015-12-14T14:00:00"/>
    <x v="9"/>
    <x v="0"/>
    <x v="28"/>
    <n v="4"/>
    <m/>
    <n v="87"/>
    <n v="87"/>
  </r>
  <r>
    <s v="Operation Team Task"/>
    <x v="3"/>
    <s v="Develop"/>
    <s v="TASK-1690"/>
    <s v="S3 setup and testing"/>
    <s v="Develop"/>
    <x v="0"/>
    <d v="2015-12-15T14:00:00"/>
    <x v="9"/>
    <x v="0"/>
    <x v="28"/>
    <n v="4"/>
    <m/>
    <n v="87"/>
    <n v="87"/>
  </r>
  <r>
    <s v="Operation Team Task"/>
    <x v="3"/>
    <s v="Develop"/>
    <s v="TASK-1690"/>
    <s v="S3 setup and testing"/>
    <s v="Develop"/>
    <x v="0"/>
    <d v="2015-12-16T14:00:00"/>
    <x v="9"/>
    <x v="0"/>
    <x v="28"/>
    <n v="4"/>
    <m/>
    <n v="87"/>
    <n v="87"/>
  </r>
  <r>
    <s v="Operation Team Task"/>
    <x v="3"/>
    <s v="Develop"/>
    <s v="TASK-1690"/>
    <s v="S3 setup and testing"/>
    <s v="Develop"/>
    <x v="0"/>
    <d v="2015-12-17T14:00:00"/>
    <x v="9"/>
    <x v="0"/>
    <x v="28"/>
    <n v="1"/>
    <m/>
    <n v="87"/>
    <n v="87"/>
  </r>
  <r>
    <s v="Operation Team Task"/>
    <x v="3"/>
    <s v="Develop"/>
    <s v="TASK-1690"/>
    <s v="S3 setup and testing"/>
    <s v="Develop"/>
    <x v="0"/>
    <d v="2015-12-18T14:00:00"/>
    <x v="9"/>
    <x v="0"/>
    <x v="28"/>
    <n v="4"/>
    <m/>
    <n v="87"/>
    <n v="87"/>
  </r>
  <r>
    <s v="Operation Team Task"/>
    <x v="3"/>
    <s v="Develop"/>
    <s v="TASK-1690"/>
    <s v="S3 setup and testing"/>
    <s v="Develop"/>
    <x v="0"/>
    <d v="2015-12-21T14:00:00"/>
    <x v="9"/>
    <x v="0"/>
    <x v="28"/>
    <n v="2"/>
    <m/>
    <n v="87"/>
    <n v="87"/>
  </r>
  <r>
    <s v="Operation Team Task"/>
    <x v="3"/>
    <s v="Develop"/>
    <s v="TASK-1690"/>
    <s v="S3 setup and testing"/>
    <s v="Develop"/>
    <x v="0"/>
    <d v="2015-12-22T14:00:00"/>
    <x v="9"/>
    <x v="0"/>
    <x v="28"/>
    <n v="4"/>
    <m/>
    <n v="87"/>
    <n v="87"/>
  </r>
  <r>
    <s v="Operation Team Task"/>
    <x v="3"/>
    <s v="Develop"/>
    <s v="TASK-1690"/>
    <s v="S3 setup and testing"/>
    <s v="Develop"/>
    <x v="0"/>
    <d v="2015-12-23T14:00:00"/>
    <x v="9"/>
    <x v="0"/>
    <x v="28"/>
    <n v="4"/>
    <m/>
    <n v="87"/>
    <n v="87"/>
  </r>
  <r>
    <s v="Operation Team Task"/>
    <x v="3"/>
    <s v="Develop"/>
    <s v="TASK-1690"/>
    <s v="S3 setup and testing"/>
    <s v="Develop"/>
    <x v="0"/>
    <d v="2015-12-24T14:00:00"/>
    <x v="9"/>
    <x v="0"/>
    <x v="28"/>
    <n v="4"/>
    <m/>
    <n v="87"/>
    <n v="87"/>
  </r>
  <r>
    <s v="Operation Team Task"/>
    <x v="3"/>
    <s v="Develop"/>
    <s v="TASK-1690"/>
    <s v="S3 setup and testing"/>
    <s v="Develop"/>
    <x v="0"/>
    <d v="2015-12-25T14:00:00"/>
    <x v="9"/>
    <x v="0"/>
    <x v="28"/>
    <n v="4"/>
    <m/>
    <n v="87"/>
    <n v="87"/>
  </r>
  <r>
    <s v="Operation Team Task"/>
    <x v="3"/>
    <s v="Develop"/>
    <s v="TASK-1690"/>
    <s v="S3 setup and testing"/>
    <s v="Develop"/>
    <x v="0"/>
    <d v="2015-12-28T14:00:00"/>
    <x v="9"/>
    <x v="0"/>
    <x v="28"/>
    <n v="4"/>
    <m/>
    <n v="87"/>
    <n v="87"/>
  </r>
  <r>
    <s v="Operation Team Task"/>
    <x v="3"/>
    <s v="Develop"/>
    <s v="TASK-1690"/>
    <s v="S3 setup and testing"/>
    <s v="Develop"/>
    <x v="0"/>
    <d v="2015-12-29T14:00:00"/>
    <x v="9"/>
    <x v="0"/>
    <x v="28"/>
    <n v="4"/>
    <m/>
    <n v="87"/>
    <n v="87"/>
  </r>
  <r>
    <s v="Operation Team Task"/>
    <x v="3"/>
    <s v="Develop"/>
    <s v="TASK-1690"/>
    <s v="S3 setup and testing"/>
    <s v="Develop"/>
    <x v="0"/>
    <d v="2015-12-30T14:00:00"/>
    <x v="9"/>
    <x v="0"/>
    <x v="28"/>
    <n v="4"/>
    <m/>
    <n v="87"/>
    <n v="87"/>
  </r>
  <r>
    <s v="Operation Team Task"/>
    <x v="3"/>
    <s v="Develop"/>
    <s v="TASK-1690"/>
    <s v="S3 setup and testing"/>
    <s v="Develop"/>
    <x v="0"/>
    <d v="2015-12-31T14:00:00"/>
    <x v="9"/>
    <x v="0"/>
    <x v="28"/>
    <n v="4"/>
    <m/>
    <n v="87"/>
    <n v="87"/>
  </r>
  <r>
    <s v="Operation Team Task"/>
    <x v="3"/>
    <s v="Develop"/>
    <s v="TASK-1699"/>
    <s v="ouna VPN line testing"/>
    <s v="Develop"/>
    <x v="0"/>
    <d v="2016-01-04T14:00:00"/>
    <x v="10"/>
    <x v="1"/>
    <x v="28"/>
    <n v="4"/>
    <m/>
    <n v="83"/>
    <n v="83"/>
  </r>
  <r>
    <s v="Operation Team Task"/>
    <x v="3"/>
    <s v="Develop"/>
    <s v="TASK-1699"/>
    <s v="ouna VPN line testing"/>
    <s v="Develop"/>
    <x v="0"/>
    <d v="2016-01-05T14:00:00"/>
    <x v="10"/>
    <x v="1"/>
    <x v="28"/>
    <n v="4"/>
    <m/>
    <n v="83"/>
    <n v="83"/>
  </r>
  <r>
    <s v="Operation Team Task"/>
    <x v="3"/>
    <s v="Develop"/>
    <s v="TASK-1699"/>
    <s v="ouna VPN line testing"/>
    <s v="Develop"/>
    <x v="0"/>
    <d v="2016-01-06T14:00:00"/>
    <x v="10"/>
    <x v="1"/>
    <x v="28"/>
    <n v="4"/>
    <m/>
    <n v="83"/>
    <n v="83"/>
  </r>
  <r>
    <s v="Operation Team Task"/>
    <x v="3"/>
    <s v="Develop"/>
    <s v="TASK-1699"/>
    <s v="ouna VPN line testing"/>
    <s v="Develop"/>
    <x v="0"/>
    <d v="2016-01-07T14:00:00"/>
    <x v="10"/>
    <x v="1"/>
    <x v="28"/>
    <n v="4"/>
    <m/>
    <n v="83"/>
    <n v="83"/>
  </r>
  <r>
    <s v="Operation Team Task"/>
    <x v="3"/>
    <s v="Develop"/>
    <s v="TASK-1699"/>
    <s v="ouna VPN line testing"/>
    <s v="Develop"/>
    <x v="0"/>
    <d v="2016-01-08T14:00:00"/>
    <x v="10"/>
    <x v="1"/>
    <x v="28"/>
    <n v="4"/>
    <m/>
    <n v="83"/>
    <n v="83"/>
  </r>
  <r>
    <s v="Operation Team Task"/>
    <x v="3"/>
    <s v="Develop"/>
    <s v="TASK-1699"/>
    <s v="ouna VPN line testing"/>
    <s v="Develop"/>
    <x v="0"/>
    <d v="2016-01-11T14:00:00"/>
    <x v="10"/>
    <x v="1"/>
    <x v="28"/>
    <n v="4"/>
    <m/>
    <n v="83"/>
    <n v="83"/>
  </r>
  <r>
    <s v="Operation Team Task"/>
    <x v="3"/>
    <s v="Develop"/>
    <s v="TASK-1699"/>
    <s v="ouna VPN line testing"/>
    <s v="Develop"/>
    <x v="0"/>
    <d v="2016-01-14T14:00:00"/>
    <x v="10"/>
    <x v="1"/>
    <x v="28"/>
    <n v="4"/>
    <m/>
    <n v="83"/>
    <n v="83"/>
  </r>
  <r>
    <s v="Operation Team Task"/>
    <x v="3"/>
    <s v="Develop"/>
    <s v="TASK-1699"/>
    <s v="ouna VPN line testing"/>
    <s v="Develop"/>
    <x v="0"/>
    <d v="2016-01-15T14:00:00"/>
    <x v="10"/>
    <x v="1"/>
    <x v="28"/>
    <n v="4"/>
    <m/>
    <n v="83"/>
    <n v="83"/>
  </r>
  <r>
    <s v="Operation Team Task"/>
    <x v="3"/>
    <s v="Develop"/>
    <s v="TASK-1699"/>
    <s v="ouna VPN line testing"/>
    <s v="Develop"/>
    <x v="0"/>
    <d v="2016-01-18T14:00:00"/>
    <x v="10"/>
    <x v="1"/>
    <x v="28"/>
    <n v="4"/>
    <m/>
    <n v="83"/>
    <n v="83"/>
  </r>
  <r>
    <s v="Operation Team Task"/>
    <x v="3"/>
    <s v="Develop"/>
    <s v="TASK-1699"/>
    <s v="ouna VPN line testing"/>
    <s v="Develop"/>
    <x v="0"/>
    <d v="2016-01-19T14:00:00"/>
    <x v="10"/>
    <x v="1"/>
    <x v="28"/>
    <n v="4"/>
    <m/>
    <n v="83"/>
    <n v="83"/>
  </r>
  <r>
    <s v="Operation Team Task"/>
    <x v="3"/>
    <s v="Develop"/>
    <s v="TASK-1699"/>
    <s v="ouna VPN line testing"/>
    <s v="Develop"/>
    <x v="0"/>
    <d v="2016-01-25T14:00:00"/>
    <x v="10"/>
    <x v="1"/>
    <x v="28"/>
    <n v="4"/>
    <m/>
    <n v="83"/>
    <n v="83"/>
  </r>
  <r>
    <s v="Operation Team Task"/>
    <x v="3"/>
    <s v="Develop"/>
    <s v="TASK-1699"/>
    <s v="ouna VPN line testing"/>
    <s v="Develop"/>
    <x v="0"/>
    <d v="2016-01-27T14:00:00"/>
    <x v="10"/>
    <x v="1"/>
    <x v="28"/>
    <n v="4"/>
    <m/>
    <n v="83"/>
    <n v="83"/>
  </r>
  <r>
    <s v="Operation Team Task"/>
    <x v="3"/>
    <s v="Develop"/>
    <s v="TASK-1699"/>
    <s v="ouna VPN line testing"/>
    <s v="Develop"/>
    <x v="0"/>
    <d v="2016-01-28T14:00:00"/>
    <x v="10"/>
    <x v="1"/>
    <x v="28"/>
    <n v="4"/>
    <m/>
    <n v="83"/>
    <n v="83"/>
  </r>
  <r>
    <s v="Operation Team Task"/>
    <x v="3"/>
    <s v="Develop"/>
    <s v="TASK-1699"/>
    <s v="ouna VPN line testing"/>
    <s v="Develop"/>
    <x v="0"/>
    <d v="2016-01-29T14:00:00"/>
    <x v="10"/>
    <x v="1"/>
    <x v="28"/>
    <n v="4"/>
    <m/>
    <n v="83"/>
    <n v="83"/>
  </r>
  <r>
    <s v="Operation Team Task"/>
    <x v="3"/>
    <s v="Maintenance"/>
    <s v="TASK-1700"/>
    <s v="AWS ELB and S3 maintenance"/>
    <s v="Maintenance"/>
    <x v="1"/>
    <d v="2016-01-04T09:30:00"/>
    <x v="10"/>
    <x v="1"/>
    <x v="28"/>
    <n v="4"/>
    <m/>
    <n v="83"/>
    <n v="83"/>
  </r>
  <r>
    <s v="Operation Team Task"/>
    <x v="3"/>
    <s v="Maintenance"/>
    <s v="TASK-1700"/>
    <s v="AWS ELB and S3 maintenance"/>
    <s v="Maintenance"/>
    <x v="1"/>
    <d v="2016-01-05T09:30:00"/>
    <x v="10"/>
    <x v="1"/>
    <x v="28"/>
    <n v="4"/>
    <m/>
    <n v="83"/>
    <n v="83"/>
  </r>
  <r>
    <s v="Operation Team Task"/>
    <x v="3"/>
    <s v="Maintenance"/>
    <s v="TASK-1700"/>
    <s v="AWS ELB and S3 maintenance"/>
    <s v="Maintenance"/>
    <x v="1"/>
    <d v="2016-01-06T09:30:00"/>
    <x v="10"/>
    <x v="1"/>
    <x v="28"/>
    <n v="4"/>
    <m/>
    <n v="83"/>
    <n v="83"/>
  </r>
  <r>
    <s v="Operation Team Task"/>
    <x v="3"/>
    <s v="Maintenance"/>
    <s v="TASK-1700"/>
    <s v="AWS ELB and S3 maintenance"/>
    <s v="Maintenance"/>
    <x v="1"/>
    <d v="2016-01-07T09:30:00"/>
    <x v="10"/>
    <x v="1"/>
    <x v="28"/>
    <n v="4"/>
    <m/>
    <n v="83"/>
    <n v="83"/>
  </r>
  <r>
    <s v="Operation Team Task"/>
    <x v="3"/>
    <s v="Maintenance"/>
    <s v="TASK-1700"/>
    <s v="AWS ELB and S3 maintenance"/>
    <s v="Maintenance"/>
    <x v="1"/>
    <d v="2016-01-08T09:30:00"/>
    <x v="10"/>
    <x v="1"/>
    <x v="28"/>
    <n v="4"/>
    <m/>
    <n v="83"/>
    <n v="83"/>
  </r>
  <r>
    <s v="Operation Team Task"/>
    <x v="3"/>
    <s v="Maintenance"/>
    <s v="TASK-1700"/>
    <s v="AWS ELB and S3 maintenance"/>
    <s v="Maintenance"/>
    <x v="1"/>
    <d v="2016-01-11T09:30:00"/>
    <x v="10"/>
    <x v="1"/>
    <x v="28"/>
    <n v="4"/>
    <m/>
    <n v="83"/>
    <n v="83"/>
  </r>
  <r>
    <s v="Operation Team Task"/>
    <x v="3"/>
    <s v="Maintenance"/>
    <s v="TASK-1700"/>
    <s v="AWS ELB and S3 maintenance"/>
    <s v="Maintenance"/>
    <x v="1"/>
    <d v="2016-01-12T09:30:00"/>
    <x v="10"/>
    <x v="1"/>
    <x v="28"/>
    <n v="8"/>
    <m/>
    <n v="83"/>
    <n v="83"/>
  </r>
  <r>
    <s v="Operation Team Task"/>
    <x v="3"/>
    <s v="Maintenance"/>
    <s v="TASK-1700"/>
    <s v="AWS ELB and S3 maintenance"/>
    <s v="Maintenance"/>
    <x v="1"/>
    <d v="2016-01-13T09:30:00"/>
    <x v="10"/>
    <x v="1"/>
    <x v="28"/>
    <n v="8"/>
    <m/>
    <n v="83"/>
    <n v="83"/>
  </r>
  <r>
    <s v="Operation Team Task"/>
    <x v="3"/>
    <s v="Maintenance"/>
    <s v="TASK-1700"/>
    <s v="AWS ELB and S3 maintenance"/>
    <s v="Maintenance"/>
    <x v="1"/>
    <d v="2016-01-18T09:30:00"/>
    <x v="10"/>
    <x v="1"/>
    <x v="28"/>
    <n v="4"/>
    <m/>
    <n v="83"/>
    <n v="83"/>
  </r>
  <r>
    <s v="Operation Team Task"/>
    <x v="3"/>
    <s v="Maintenance"/>
    <s v="TASK-1700"/>
    <s v="AWS ELB and S3 maintenance"/>
    <s v="Maintenance"/>
    <x v="1"/>
    <d v="2016-01-19T16:32:00"/>
    <x v="10"/>
    <x v="1"/>
    <x v="28"/>
    <n v="1"/>
    <m/>
    <n v="83"/>
    <n v="83"/>
  </r>
  <r>
    <s v="Operation Team Task"/>
    <x v="3"/>
    <s v="Maintenance"/>
    <s v="TASK-1700"/>
    <s v="AWS ELB and S3 maintenance"/>
    <s v="Maintenance"/>
    <x v="1"/>
    <d v="2016-01-20T09:30:00"/>
    <x v="10"/>
    <x v="1"/>
    <x v="28"/>
    <n v="8"/>
    <m/>
    <n v="83"/>
    <n v="83"/>
  </r>
  <r>
    <s v="Operation Team Task"/>
    <x v="3"/>
    <s v="Maintenance"/>
    <s v="TASK-1700"/>
    <s v="AWS ELB and S3 maintenance"/>
    <s v="Maintenance"/>
    <x v="1"/>
    <d v="2016-01-22T09:30:00"/>
    <x v="10"/>
    <x v="1"/>
    <x v="28"/>
    <n v="4"/>
    <m/>
    <n v="83"/>
    <n v="83"/>
  </r>
  <r>
    <s v="Operation Team Task"/>
    <x v="3"/>
    <s v="Maintenance"/>
    <s v="TASK-1700"/>
    <s v="AWS ELB and S3 maintenance"/>
    <s v="Maintenance"/>
    <x v="1"/>
    <d v="2016-01-23T09:31:00"/>
    <x v="10"/>
    <x v="1"/>
    <x v="28"/>
    <n v="6"/>
    <m/>
    <n v="83"/>
    <n v="83"/>
  </r>
  <r>
    <s v="Operation Team Task"/>
    <x v="3"/>
    <s v="Maintenance"/>
    <s v="TASK-1700"/>
    <s v="AWS ELB and S3 maintenance"/>
    <s v="Maintenance"/>
    <x v="1"/>
    <d v="2016-01-25T09:30:00"/>
    <x v="10"/>
    <x v="1"/>
    <x v="28"/>
    <n v="4"/>
    <m/>
    <n v="83"/>
    <n v="83"/>
  </r>
  <r>
    <s v="Operation Team Task"/>
    <x v="3"/>
    <s v="Maintenance"/>
    <s v="TASK-1700"/>
    <s v="AWS ELB and S3 maintenance"/>
    <s v="Maintenance"/>
    <x v="1"/>
    <d v="2016-01-26T09:30:00"/>
    <x v="10"/>
    <x v="1"/>
    <x v="28"/>
    <n v="4"/>
    <m/>
    <n v="83"/>
    <n v="83"/>
  </r>
  <r>
    <s v="Operation Team Task"/>
    <x v="3"/>
    <s v="Maintenance"/>
    <s v="TASK-1700"/>
    <s v="AWS ELB and S3 maintenance"/>
    <s v="Maintenance"/>
    <x v="1"/>
    <d v="2016-01-27T09:30:00"/>
    <x v="10"/>
    <x v="1"/>
    <x v="28"/>
    <n v="4"/>
    <m/>
    <n v="83"/>
    <n v="83"/>
  </r>
  <r>
    <s v="Operation Team Task"/>
    <x v="3"/>
    <s v="Maintenance"/>
    <s v="TASK-1700"/>
    <s v="AWS ELB and S3 maintenance"/>
    <s v="Maintenance"/>
    <x v="1"/>
    <d v="2016-01-28T09:30:00"/>
    <x v="10"/>
    <x v="1"/>
    <x v="28"/>
    <n v="4"/>
    <m/>
    <n v="83"/>
    <n v="83"/>
  </r>
  <r>
    <s v="Operation Team Task"/>
    <x v="3"/>
    <s v="Maintenance"/>
    <s v="TASK-1700"/>
    <s v="AWS ELB and S3 maintenance"/>
    <s v="Maintenance"/>
    <x v="1"/>
    <d v="2016-01-29T09:30:00"/>
    <x v="10"/>
    <x v="1"/>
    <x v="28"/>
    <n v="4"/>
    <m/>
    <n v="83"/>
    <n v="83"/>
  </r>
  <r>
    <s v="Operation Team Task"/>
    <x v="3"/>
    <s v="Maintenance"/>
    <s v="TASK-1795"/>
    <s v="go across"/>
    <s v="Maintenance"/>
    <x v="1"/>
    <d v="2016-01-11T17:57:00"/>
    <x v="10"/>
    <x v="1"/>
    <x v="32"/>
    <n v="8"/>
    <m/>
    <n v="83"/>
    <n v="83"/>
  </r>
  <r>
    <s v="Operation Team Task"/>
    <x v="3"/>
    <s v="Develop"/>
    <s v="TASK-1796"/>
    <s v="Installation of the PC system"/>
    <s v="Develop"/>
    <x v="0"/>
    <d v="2016-01-04T17:59:00"/>
    <x v="10"/>
    <x v="1"/>
    <x v="32"/>
    <n v="8"/>
    <m/>
    <n v="83"/>
    <n v="83"/>
  </r>
  <r>
    <s v="Operation Team Task"/>
    <x v="3"/>
    <s v="Develop"/>
    <s v="TASK-1796"/>
    <s v="Installation of the PC system"/>
    <s v="Develop"/>
    <x v="0"/>
    <d v="2016-01-05T18:01:00"/>
    <x v="10"/>
    <x v="1"/>
    <x v="32"/>
    <n v="8"/>
    <m/>
    <n v="83"/>
    <n v="83"/>
  </r>
  <r>
    <s v="Operation Team Task"/>
    <x v="3"/>
    <s v="Maintenance"/>
    <s v="TASK-1797"/>
    <s v="office excel problem"/>
    <s v="Maintenance"/>
    <x v="1"/>
    <d v="2016-01-06T18:02:00"/>
    <x v="10"/>
    <x v="1"/>
    <x v="32"/>
    <n v="8"/>
    <m/>
    <n v="83"/>
    <n v="83"/>
  </r>
  <r>
    <s v="Operation Team Task"/>
    <x v="3"/>
    <s v="Maintenance"/>
    <s v="TASK-1797"/>
    <s v="office excel problem"/>
    <s v="Maintenance"/>
    <x v="1"/>
    <d v="2016-01-07T10:02:00"/>
    <x v="10"/>
    <x v="1"/>
    <x v="32"/>
    <n v="8"/>
    <m/>
    <n v="83"/>
    <n v="83"/>
  </r>
  <r>
    <s v="Operation Team Task"/>
    <x v="3"/>
    <s v="Develop"/>
    <s v="TASK-1798"/>
    <s v="A Shared server installed undelete the software"/>
    <s v="Develop"/>
    <x v="0"/>
    <d v="2016-01-18T18:06:00"/>
    <x v="10"/>
    <x v="1"/>
    <x v="32"/>
    <n v="8"/>
    <m/>
    <n v="83"/>
    <n v="83"/>
  </r>
  <r>
    <s v="Operation Team Task"/>
    <x v="3"/>
    <s v="Develop"/>
    <s v="TASK-1798"/>
    <s v="A Shared server installed undelete the software"/>
    <s v="Develop"/>
    <x v="0"/>
    <d v="2016-01-19T10:06:00"/>
    <x v="10"/>
    <x v="1"/>
    <x v="32"/>
    <n v="8"/>
    <m/>
    <n v="83"/>
    <n v="83"/>
  </r>
  <r>
    <s v="Operation Team Task"/>
    <x v="3"/>
    <s v="Develop"/>
    <s v="TASK-1798"/>
    <s v="A Shared server installed undelete the software"/>
    <s v="Develop"/>
    <x v="0"/>
    <d v="2016-01-22T10:07:00"/>
    <x v="10"/>
    <x v="1"/>
    <x v="32"/>
    <n v="8"/>
    <m/>
    <n v="83"/>
    <n v="83"/>
  </r>
  <r>
    <s v="Operation Team Task"/>
    <x v="3"/>
    <s v="Develop"/>
    <s v="TASK-1799"/>
    <s v="installation MYOB Server"/>
    <s v="Develop"/>
    <x v="0"/>
    <d v="2016-01-25T18:08:00"/>
    <x v="10"/>
    <x v="1"/>
    <x v="32"/>
    <n v="8"/>
    <m/>
    <n v="83"/>
    <n v="83"/>
  </r>
  <r>
    <s v="Operation Team Task"/>
    <x v="3"/>
    <s v="Develop"/>
    <s v="TASK-1799"/>
    <s v="installation MYOB Server"/>
    <s v="Develop"/>
    <x v="0"/>
    <d v="2016-01-26T10:08:00"/>
    <x v="10"/>
    <x v="1"/>
    <x v="32"/>
    <n v="8"/>
    <m/>
    <n v="83"/>
    <n v="83"/>
  </r>
  <r>
    <s v="Operation Team Task"/>
    <x v="3"/>
    <s v="Develop"/>
    <s v="TASK-1799"/>
    <s v="installation MYOB Server"/>
    <s v="Develop"/>
    <x v="0"/>
    <d v="2016-01-28T10:08:00"/>
    <x v="10"/>
    <x v="1"/>
    <x v="32"/>
    <n v="8"/>
    <m/>
    <n v="83"/>
    <n v="83"/>
  </r>
  <r>
    <s v="WTI integration"/>
    <x v="2"/>
    <s v="Bug"/>
    <s v="WTI-3"/>
    <s v="Fix the existing bugs that makes the 2 last modified date the same after each data CVS export"/>
    <s v="Bug"/>
    <x v="1"/>
    <d v="2015-12-18T09:47:00"/>
    <x v="9"/>
    <x v="0"/>
    <x v="22"/>
    <n v="8"/>
    <m/>
    <n v="147.9"/>
    <n v="26.100000000000005"/>
  </r>
  <r>
    <s v="SBG - Desktop"/>
    <x v="4"/>
    <s v="New Feature"/>
    <s v="DESK-2124"/>
    <s v="Geotargeting rule and design update"/>
    <s v="New Feature"/>
    <x v="0"/>
    <d v="2016-03-02T11:49:00"/>
    <x v="7"/>
    <x v="1"/>
    <x v="13"/>
    <n v="3"/>
    <m/>
    <n v="156.4"/>
    <n v="27.600000000000005"/>
  </r>
  <r>
    <s v="SBG - Desktop"/>
    <x v="1"/>
    <s v="New Feature"/>
    <s v="DESK-2137"/>
    <s v="Contact lenses landing pages crawlable content"/>
    <s v="New Feature"/>
    <x v="0"/>
    <d v="2016-02-01T11:36:00"/>
    <x v="11"/>
    <x v="1"/>
    <x v="26"/>
    <n v="1"/>
    <m/>
    <n v="127.5"/>
    <n v="22.500000000000004"/>
  </r>
  <r>
    <s v="SBG - Desktop"/>
    <x v="2"/>
    <s v="Technical task"/>
    <s v="DESK-2455"/>
    <s v="DESK-2405&gt; Algolia API implementation"/>
    <s v="Technical task"/>
    <x v="0"/>
    <d v="2016-03-15T18:35:00"/>
    <x v="7"/>
    <x v="1"/>
    <x v="2"/>
    <n v="5"/>
    <m/>
    <n v="156.4"/>
    <n v="27.600000000000005"/>
  </r>
  <r>
    <s v="SBG - Desktop"/>
    <x v="1"/>
    <s v="New Feature"/>
    <s v="DESK-2568"/>
    <s v="UX issue - Header &gt; Modal windows (links)"/>
    <s v="New Feature"/>
    <x v="0"/>
    <d v="2016-02-17T15:43:00"/>
    <x v="11"/>
    <x v="1"/>
    <x v="21"/>
    <n v="2"/>
    <m/>
    <n v="127.5"/>
    <n v="22.500000000000004"/>
  </r>
  <r>
    <s v="SBG - Desktop"/>
    <x v="0"/>
    <s v="New Feature"/>
    <s v="DESK-2568"/>
    <s v="UX issue - Header &gt; Modal windows (links)"/>
    <s v="New Feature"/>
    <x v="0"/>
    <d v="2016-02-18T15:04:00"/>
    <x v="11"/>
    <x v="1"/>
    <x v="19"/>
    <n v="2"/>
    <m/>
    <n v="75"/>
    <n v="75"/>
  </r>
  <r>
    <s v="SBG - Desktop"/>
    <x v="1"/>
    <s v="New Feature"/>
    <s v="DESK-2568"/>
    <s v="UX issue - Header &gt; Modal windows (links)"/>
    <s v="New Feature"/>
    <x v="0"/>
    <d v="2016-02-22T17:19:00"/>
    <x v="11"/>
    <x v="1"/>
    <x v="21"/>
    <n v="1"/>
    <m/>
    <n v="127.5"/>
    <n v="22.500000000000004"/>
  </r>
  <r>
    <s v="SBG - Desktop"/>
    <x v="0"/>
    <s v="New Feature"/>
    <s v="DESK-2569"/>
    <s v="UX issue - Header &gt; Shopping Cart / Favorites Dropdown"/>
    <s v="New Feature"/>
    <x v="0"/>
    <d v="2016-02-01T16:25:00"/>
    <x v="11"/>
    <x v="1"/>
    <x v="19"/>
    <n v="1"/>
    <m/>
    <n v="75"/>
    <n v="75"/>
  </r>
  <r>
    <s v="SBG - Desktop"/>
    <x v="0"/>
    <s v="New Feature"/>
    <s v="DESK-2569"/>
    <s v="UX issue - Header &gt; Shopping Cart / Favorites Dropdown"/>
    <s v="New Feature"/>
    <x v="0"/>
    <d v="2016-02-07T16:43:00"/>
    <x v="11"/>
    <x v="1"/>
    <x v="19"/>
    <n v="8"/>
    <m/>
    <n v="75"/>
    <n v="75"/>
  </r>
  <r>
    <s v="SBG - Desktop"/>
    <x v="1"/>
    <s v="New Feature"/>
    <s v="DESK-2569"/>
    <s v="UX issue - Header &gt; Shopping Cart / Favorites Dropdown"/>
    <s v="New Feature"/>
    <x v="0"/>
    <d v="2016-02-18T15:44:00"/>
    <x v="11"/>
    <x v="1"/>
    <x v="21"/>
    <n v="3"/>
    <m/>
    <n v="127.5"/>
    <n v="22.500000000000004"/>
  </r>
  <r>
    <s v="SBG - Desktop"/>
    <x v="2"/>
    <s v="New Feature"/>
    <s v="DESK-2569"/>
    <s v="UX issue - Header &gt; Shopping Cart / Favorites Dropdown"/>
    <s v="New Feature"/>
    <x v="0"/>
    <d v="2016-02-19T12:45:00"/>
    <x v="11"/>
    <x v="1"/>
    <x v="22"/>
    <n v="1"/>
    <m/>
    <n v="127.5"/>
    <n v="22.500000000000004"/>
  </r>
  <r>
    <s v="SBG - Desktop"/>
    <x v="0"/>
    <s v="New Feature"/>
    <s v="DESK-2569"/>
    <s v="UX issue - Header &gt; Shopping Cart / Favorites Dropdown"/>
    <s v="New Feature"/>
    <x v="0"/>
    <d v="2016-02-19T14:00:00"/>
    <x v="11"/>
    <x v="1"/>
    <x v="19"/>
    <n v="2"/>
    <m/>
    <n v="75"/>
    <n v="75"/>
  </r>
  <r>
    <s v="SBG - Desktop"/>
    <x v="1"/>
    <s v="New Feature"/>
    <s v="DESK-2569"/>
    <s v="UX issue - Header &gt; Shopping Cart / Favorites Dropdown"/>
    <s v="New Feature"/>
    <x v="0"/>
    <d v="2016-02-19T18:37:00"/>
    <x v="11"/>
    <x v="1"/>
    <x v="21"/>
    <n v="3"/>
    <m/>
    <n v="127.5"/>
    <n v="22.500000000000004"/>
  </r>
  <r>
    <s v="SBG - Desktop"/>
    <x v="1"/>
    <s v="New Feature"/>
    <s v="DESK-2569"/>
    <s v="UX issue - Header &gt; Shopping Cart / Favorites Dropdown"/>
    <s v="New Feature"/>
    <x v="0"/>
    <d v="2016-02-22T17:19:00"/>
    <x v="11"/>
    <x v="1"/>
    <x v="21"/>
    <n v="1"/>
    <m/>
    <n v="127.5"/>
    <n v="22.500000000000004"/>
  </r>
  <r>
    <s v="SBG - Desktop"/>
    <x v="0"/>
    <s v="New Feature"/>
    <s v="DESK-2569"/>
    <s v="UX issue - Header &gt; Shopping Cart / Favorites Dropdown"/>
    <s v="New Feature"/>
    <x v="0"/>
    <d v="2016-02-25T11:27:00"/>
    <x v="11"/>
    <x v="1"/>
    <x v="19"/>
    <n v="6"/>
    <m/>
    <n v="75"/>
    <n v="75"/>
  </r>
  <r>
    <s v="SBG - Desktop"/>
    <x v="2"/>
    <s v="New Feature"/>
    <s v="DESK-2595"/>
    <s v="Universal analytics implementation"/>
    <s v="New Feature"/>
    <x v="0"/>
    <d v="2016-02-22T16:51:00"/>
    <x v="11"/>
    <x v="1"/>
    <x v="10"/>
    <n v="2"/>
    <m/>
    <n v="127.5"/>
    <n v="22.500000000000004"/>
  </r>
  <r>
    <s v="SBG - Desktop"/>
    <x v="2"/>
    <s v="New Feature"/>
    <s v="DESK-2595"/>
    <s v="Universal analytics implementation"/>
    <s v="New Feature"/>
    <x v="0"/>
    <d v="2016-02-29T16:20:00"/>
    <x v="11"/>
    <x v="1"/>
    <x v="10"/>
    <n v="4"/>
    <m/>
    <n v="127.5"/>
    <n v="22.500000000000004"/>
  </r>
  <r>
    <s v="SBG - Desktop"/>
    <x v="1"/>
    <s v="New Feature"/>
    <s v="DESK-2595"/>
    <s v="Universal analytics implementation"/>
    <s v="New Feature"/>
    <x v="0"/>
    <d v="2016-02-29T18:24:00"/>
    <x v="11"/>
    <x v="1"/>
    <x v="23"/>
    <n v="6"/>
    <m/>
    <n v="127.5"/>
    <n v="22.500000000000004"/>
  </r>
  <r>
    <s v="SBG - Desktop"/>
    <x v="2"/>
    <s v="New Feature"/>
    <s v="DESK-2595"/>
    <s v="Universal analytics implementation"/>
    <s v="New Feature"/>
    <x v="0"/>
    <d v="2016-03-01T16:21:00"/>
    <x v="7"/>
    <x v="1"/>
    <x v="10"/>
    <n v="4"/>
    <m/>
    <n v="156.4"/>
    <n v="27.600000000000005"/>
  </r>
  <r>
    <s v="SBG - Desktop"/>
    <x v="1"/>
    <s v="New Feature"/>
    <s v="DESK-2596"/>
    <s v="Konbini payment method"/>
    <s v="New Feature"/>
    <x v="0"/>
    <d v="2016-02-04T11:58:00"/>
    <x v="11"/>
    <x v="1"/>
    <x v="23"/>
    <n v="4"/>
    <m/>
    <n v="127.5"/>
    <n v="22.500000000000004"/>
  </r>
  <r>
    <s v="SBG - Desktop"/>
    <x v="1"/>
    <s v="New Feature"/>
    <s v="DESK-2596"/>
    <s v="Konbini payment method"/>
    <s v="New Feature"/>
    <x v="0"/>
    <d v="2016-02-06T12:43:00"/>
    <x v="11"/>
    <x v="1"/>
    <x v="23"/>
    <n v="2"/>
    <m/>
    <n v="127.5"/>
    <n v="22.500000000000004"/>
  </r>
  <r>
    <s v="SBG - Desktop"/>
    <x v="4"/>
    <s v="New Feature"/>
    <s v="DESK-2605"/>
    <s v="Marketing CMS Solution Pimcore"/>
    <s v="New Feature"/>
    <x v="0"/>
    <d v="2016-03-23T15:03:00"/>
    <x v="7"/>
    <x v="1"/>
    <x v="13"/>
    <n v="5"/>
    <m/>
    <n v="156.4"/>
    <n v="27.600000000000005"/>
  </r>
  <r>
    <s v="SBG - Desktop"/>
    <x v="4"/>
    <s v="New Feature"/>
    <s v="DESK-2605"/>
    <s v="Marketing CMS Solution Pimcore"/>
    <s v="New Feature"/>
    <x v="0"/>
    <d v="2016-03-24T15:04:00"/>
    <x v="7"/>
    <x v="1"/>
    <x v="13"/>
    <n v="2"/>
    <m/>
    <n v="156.4"/>
    <n v="27.600000000000005"/>
  </r>
  <r>
    <s v="SBG - Desktop"/>
    <x v="2"/>
    <s v="Task"/>
    <s v="DESK-2635"/>
    <s v="Verify website on Pinterest (UK)"/>
    <s v="Task"/>
    <x v="0"/>
    <d v="2016-03-09T18:21:00"/>
    <x v="7"/>
    <x v="1"/>
    <x v="10"/>
    <n v="1"/>
    <m/>
    <n v="156.4"/>
    <n v="27.600000000000005"/>
  </r>
  <r>
    <s v="SBG - Desktop"/>
    <x v="2"/>
    <s v="Task"/>
    <s v="DESK-2635"/>
    <s v="Verify website on Pinterest (UK)"/>
    <s v="Task"/>
    <x v="0"/>
    <d v="2016-03-11T09:38:00"/>
    <x v="7"/>
    <x v="1"/>
    <x v="10"/>
    <n v="2"/>
    <m/>
    <n v="156.4"/>
    <n v="27.600000000000005"/>
  </r>
  <r>
    <s v="SBG - Desktop"/>
    <x v="2"/>
    <s v="Task"/>
    <s v="DESK-2636"/>
    <s v="Verify website on Pinterest (global)"/>
    <s v="Task"/>
    <x v="0"/>
    <d v="2016-03-11T09:34:00"/>
    <x v="7"/>
    <x v="1"/>
    <x v="10"/>
    <n v="4"/>
    <m/>
    <n v="156.4"/>
    <n v="27.600000000000005"/>
  </r>
  <r>
    <s v="SBG - Desktop"/>
    <x v="4"/>
    <s v="New Feature"/>
    <s v="DESK-2779"/>
    <s v="RX PHASE 3 - DESKTOP"/>
    <s v="New Feature"/>
    <x v="0"/>
    <d v="2016-02-01T10:49:00"/>
    <x v="11"/>
    <x v="1"/>
    <x v="13"/>
    <n v="4"/>
    <m/>
    <n v="127.5"/>
    <n v="22.500000000000004"/>
  </r>
  <r>
    <s v="SBG - Desktop"/>
    <x v="4"/>
    <s v="New Feature"/>
    <s v="DESK-2779"/>
    <s v="RX PHASE 3 - DESKTOP"/>
    <s v="New Feature"/>
    <x v="0"/>
    <d v="2016-02-02T10:49:00"/>
    <x v="11"/>
    <x v="1"/>
    <x v="13"/>
    <n v="4"/>
    <m/>
    <n v="127.5"/>
    <n v="22.500000000000004"/>
  </r>
  <r>
    <s v="SBG - Desktop"/>
    <x v="4"/>
    <s v="New Feature"/>
    <s v="DESK-2779"/>
    <s v="RX PHASE 3 - DESKTOP"/>
    <s v="New Feature"/>
    <x v="0"/>
    <d v="2016-02-03T10:49:00"/>
    <x v="11"/>
    <x v="1"/>
    <x v="13"/>
    <n v="4"/>
    <m/>
    <n v="127.5"/>
    <n v="22.500000000000004"/>
  </r>
  <r>
    <s v="SBG - Desktop"/>
    <x v="4"/>
    <s v="New Feature"/>
    <s v="DESK-2779"/>
    <s v="RX PHASE 3 - DESKTOP"/>
    <s v="New Feature"/>
    <x v="0"/>
    <d v="2016-02-04T10:49:00"/>
    <x v="11"/>
    <x v="1"/>
    <x v="13"/>
    <n v="4"/>
    <m/>
    <n v="127.5"/>
    <n v="22.500000000000004"/>
  </r>
  <r>
    <s v="SBG - Desktop"/>
    <x v="4"/>
    <s v="New Feature"/>
    <s v="DESK-2779"/>
    <s v="RX PHASE 3 - DESKTOP"/>
    <s v="New Feature"/>
    <x v="0"/>
    <d v="2016-02-05T10:49:00"/>
    <x v="11"/>
    <x v="1"/>
    <x v="13"/>
    <n v="4"/>
    <m/>
    <n v="127.5"/>
    <n v="22.500000000000004"/>
  </r>
  <r>
    <s v="SBG - Desktop"/>
    <x v="4"/>
    <s v="New Feature"/>
    <s v="DESK-2779"/>
    <s v="RX PHASE 3 - DESKTOP"/>
    <s v="New Feature"/>
    <x v="0"/>
    <d v="2016-02-06T10:49:00"/>
    <x v="11"/>
    <x v="1"/>
    <x v="13"/>
    <n v="3"/>
    <m/>
    <n v="127.5"/>
    <n v="22.500000000000004"/>
  </r>
  <r>
    <s v="SBG - Desktop"/>
    <x v="4"/>
    <s v="New Feature"/>
    <s v="DESK-2779"/>
    <s v="RX PHASE 3 - DESKTOP"/>
    <s v="New Feature"/>
    <x v="0"/>
    <d v="2016-02-15T10:49:00"/>
    <x v="11"/>
    <x v="1"/>
    <x v="13"/>
    <n v="4"/>
    <m/>
    <n v="127.5"/>
    <n v="22.500000000000004"/>
  </r>
  <r>
    <s v="SBG - Desktop"/>
    <x v="4"/>
    <s v="New Feature"/>
    <s v="DESK-2779"/>
    <s v="RX PHASE 3 - DESKTOP"/>
    <s v="New Feature"/>
    <x v="0"/>
    <d v="2016-02-16T10:49:00"/>
    <x v="11"/>
    <x v="1"/>
    <x v="13"/>
    <n v="4"/>
    <m/>
    <n v="127.5"/>
    <n v="22.500000000000004"/>
  </r>
  <r>
    <s v="SBG - Desktop"/>
    <x v="4"/>
    <s v="New Feature"/>
    <s v="DESK-2779"/>
    <s v="RX PHASE 3 - DESKTOP"/>
    <s v="New Feature"/>
    <x v="0"/>
    <d v="2016-02-17T10:49:00"/>
    <x v="11"/>
    <x v="1"/>
    <x v="13"/>
    <n v="4"/>
    <m/>
    <n v="127.5"/>
    <n v="22.500000000000004"/>
  </r>
  <r>
    <s v="SBG - Desktop"/>
    <x v="4"/>
    <s v="New Feature"/>
    <s v="DESK-2779"/>
    <s v="RX PHASE 3 - DESKTOP"/>
    <s v="New Feature"/>
    <x v="0"/>
    <d v="2016-02-18T10:49:00"/>
    <x v="11"/>
    <x v="1"/>
    <x v="13"/>
    <n v="4"/>
    <m/>
    <n v="127.5"/>
    <n v="22.500000000000004"/>
  </r>
  <r>
    <s v="SBG - Desktop"/>
    <x v="4"/>
    <s v="New Feature"/>
    <s v="DESK-2779"/>
    <s v="RX PHASE 3 - DESKTOP"/>
    <s v="New Feature"/>
    <x v="0"/>
    <d v="2016-02-19T10:49:00"/>
    <x v="11"/>
    <x v="1"/>
    <x v="13"/>
    <n v="4"/>
    <m/>
    <n v="127.5"/>
    <n v="22.500000000000004"/>
  </r>
  <r>
    <s v="SBG - Desktop"/>
    <x v="4"/>
    <s v="New Feature"/>
    <s v="DESK-2779"/>
    <s v="RX PHASE 3 - DESKTOP"/>
    <s v="New Feature"/>
    <x v="0"/>
    <d v="2016-02-22T10:49:00"/>
    <x v="11"/>
    <x v="1"/>
    <x v="13"/>
    <n v="4"/>
    <m/>
    <n v="127.5"/>
    <n v="22.500000000000004"/>
  </r>
  <r>
    <s v="SBG - Desktop"/>
    <x v="4"/>
    <s v="New Feature"/>
    <s v="DESK-2779"/>
    <s v="RX PHASE 3 - DESKTOP"/>
    <s v="New Feature"/>
    <x v="0"/>
    <d v="2016-02-23T10:49:00"/>
    <x v="11"/>
    <x v="1"/>
    <x v="13"/>
    <n v="4"/>
    <m/>
    <n v="127.5"/>
    <n v="22.500000000000004"/>
  </r>
  <r>
    <s v="SBG - Desktop"/>
    <x v="4"/>
    <s v="New Feature"/>
    <s v="DESK-2779"/>
    <s v="RX PHASE 3 - DESKTOP"/>
    <s v="New Feature"/>
    <x v="0"/>
    <d v="2016-02-24T10:49:00"/>
    <x v="11"/>
    <x v="1"/>
    <x v="13"/>
    <n v="4"/>
    <m/>
    <n v="127.5"/>
    <n v="22.500000000000004"/>
  </r>
  <r>
    <s v="SBG - Desktop"/>
    <x v="4"/>
    <s v="New Feature"/>
    <s v="DESK-2779"/>
    <s v="RX PHASE 3 - DESKTOP"/>
    <s v="New Feature"/>
    <x v="0"/>
    <d v="2016-02-25T10:49:00"/>
    <x v="11"/>
    <x v="1"/>
    <x v="13"/>
    <n v="4"/>
    <m/>
    <n v="127.5"/>
    <n v="22.500000000000004"/>
  </r>
  <r>
    <s v="SBG - Desktop"/>
    <x v="4"/>
    <s v="New Feature"/>
    <s v="DESK-2779"/>
    <s v="RX PHASE 3 - DESKTOP"/>
    <s v="New Feature"/>
    <x v="0"/>
    <d v="2016-02-26T10:49:00"/>
    <x v="11"/>
    <x v="1"/>
    <x v="13"/>
    <n v="4"/>
    <m/>
    <n v="127.5"/>
    <n v="22.500000000000004"/>
  </r>
  <r>
    <s v="SBG - Desktop"/>
    <x v="4"/>
    <s v="New Feature"/>
    <s v="DESK-2779"/>
    <s v="RX PHASE 3 - DESKTOP"/>
    <s v="New Feature"/>
    <x v="0"/>
    <d v="2016-02-29T10:49:00"/>
    <x v="11"/>
    <x v="1"/>
    <x v="13"/>
    <n v="4"/>
    <m/>
    <n v="127.5"/>
    <n v="22.500000000000004"/>
  </r>
  <r>
    <s v="SBG - Desktop"/>
    <x v="0"/>
    <s v="New Feature"/>
    <s v="DESK-2779"/>
    <s v="RX PHASE 3 - DESKTOP"/>
    <s v="New Feature"/>
    <x v="0"/>
    <d v="2016-03-01T09:27:00"/>
    <x v="7"/>
    <x v="1"/>
    <x v="19"/>
    <n v="8"/>
    <m/>
    <n v="92"/>
    <n v="92"/>
  </r>
  <r>
    <s v="SBG - Desktop"/>
    <x v="4"/>
    <s v="New Feature"/>
    <s v="DESK-2779"/>
    <s v="RX PHASE 3 - DESKTOP"/>
    <s v="New Feature"/>
    <x v="0"/>
    <d v="2016-03-01T11:39:00"/>
    <x v="7"/>
    <x v="1"/>
    <x v="13"/>
    <n v="5"/>
    <m/>
    <n v="156.4"/>
    <n v="27.600000000000005"/>
  </r>
  <r>
    <s v="SBG - Desktop"/>
    <x v="0"/>
    <s v="New Feature"/>
    <s v="DESK-2779"/>
    <s v="RX PHASE 3 - DESKTOP"/>
    <s v="New Feature"/>
    <x v="0"/>
    <d v="2016-03-01T18:46:00"/>
    <x v="7"/>
    <x v="1"/>
    <x v="7"/>
    <n v="8"/>
    <m/>
    <n v="92"/>
    <n v="92"/>
  </r>
  <r>
    <s v="SBG - Desktop"/>
    <x v="4"/>
    <s v="New Feature"/>
    <s v="DESK-2779"/>
    <s v="RX PHASE 3 - DESKTOP"/>
    <s v="New Feature"/>
    <x v="0"/>
    <d v="2016-03-02T11:39:00"/>
    <x v="7"/>
    <x v="1"/>
    <x v="13"/>
    <n v="5"/>
    <m/>
    <n v="156.4"/>
    <n v="27.600000000000005"/>
  </r>
  <r>
    <s v="SBG - Desktop"/>
    <x v="0"/>
    <s v="New Feature"/>
    <s v="DESK-2779"/>
    <s v="RX PHASE 3 - DESKTOP"/>
    <s v="New Feature"/>
    <x v="0"/>
    <d v="2016-03-02T14:00:00"/>
    <x v="7"/>
    <x v="1"/>
    <x v="19"/>
    <n v="4"/>
    <m/>
    <n v="92"/>
    <n v="92"/>
  </r>
  <r>
    <s v="SBG - Desktop"/>
    <x v="0"/>
    <s v="New Feature"/>
    <s v="DESK-2779"/>
    <s v="RX PHASE 3 - DESKTOP"/>
    <s v="New Feature"/>
    <x v="0"/>
    <d v="2016-03-02T18:37:00"/>
    <x v="7"/>
    <x v="1"/>
    <x v="7"/>
    <n v="8"/>
    <m/>
    <n v="92"/>
    <n v="92"/>
  </r>
  <r>
    <s v="SBG - Desktop"/>
    <x v="0"/>
    <s v="New Feature"/>
    <s v="DESK-2779"/>
    <s v="RX PHASE 3 - DESKTOP"/>
    <s v="New Feature"/>
    <x v="0"/>
    <d v="2016-03-03T09:30:00"/>
    <x v="7"/>
    <x v="1"/>
    <x v="19"/>
    <n v="8"/>
    <m/>
    <n v="92"/>
    <n v="92"/>
  </r>
  <r>
    <s v="SBG - Desktop"/>
    <x v="4"/>
    <s v="New Feature"/>
    <s v="DESK-2779"/>
    <s v="RX PHASE 3 - DESKTOP"/>
    <s v="New Feature"/>
    <x v="0"/>
    <d v="2016-03-03T11:39:00"/>
    <x v="7"/>
    <x v="1"/>
    <x v="13"/>
    <n v="5"/>
    <m/>
    <n v="156.4"/>
    <n v="27.600000000000005"/>
  </r>
  <r>
    <s v="SBG - Desktop"/>
    <x v="0"/>
    <s v="New Feature"/>
    <s v="DESK-2779"/>
    <s v="RX PHASE 3 - DESKTOP"/>
    <s v="New Feature"/>
    <x v="0"/>
    <d v="2016-03-03T19:25:00"/>
    <x v="7"/>
    <x v="1"/>
    <x v="7"/>
    <n v="9"/>
    <m/>
    <n v="92"/>
    <n v="92"/>
  </r>
  <r>
    <s v="SBG - Desktop"/>
    <x v="0"/>
    <s v="New Feature"/>
    <s v="DESK-2779"/>
    <s v="RX PHASE 3 - DESKTOP"/>
    <s v="New Feature"/>
    <x v="0"/>
    <d v="2016-03-04T09:31:00"/>
    <x v="7"/>
    <x v="1"/>
    <x v="19"/>
    <n v="8"/>
    <m/>
    <n v="92"/>
    <n v="92"/>
  </r>
  <r>
    <s v="SBG - Desktop"/>
    <x v="4"/>
    <s v="New Feature"/>
    <s v="DESK-2779"/>
    <s v="RX PHASE 3 - DESKTOP"/>
    <s v="New Feature"/>
    <x v="0"/>
    <d v="2016-03-04T11:39:00"/>
    <x v="7"/>
    <x v="1"/>
    <x v="13"/>
    <n v="5"/>
    <m/>
    <n v="156.4"/>
    <n v="27.600000000000005"/>
  </r>
  <r>
    <s v="SBG - Desktop"/>
    <x v="0"/>
    <s v="New Feature"/>
    <s v="DESK-2779"/>
    <s v="RX PHASE 3 - DESKTOP"/>
    <s v="New Feature"/>
    <x v="0"/>
    <d v="2016-03-04T18:28:00"/>
    <x v="7"/>
    <x v="1"/>
    <x v="7"/>
    <n v="6"/>
    <m/>
    <n v="92"/>
    <n v="92"/>
  </r>
  <r>
    <s v="SBG - Desktop"/>
    <x v="0"/>
    <s v="New Feature"/>
    <s v="DESK-2779"/>
    <s v="RX PHASE 3 - DESKTOP"/>
    <s v="New Feature"/>
    <x v="0"/>
    <d v="2016-03-07T09:30:00"/>
    <x v="7"/>
    <x v="1"/>
    <x v="19"/>
    <n v="8"/>
    <m/>
    <n v="92"/>
    <n v="92"/>
  </r>
  <r>
    <s v="SBG - Desktop"/>
    <x v="0"/>
    <s v="New Feature"/>
    <s v="DESK-2779"/>
    <s v="RX PHASE 3 - DESKTOP"/>
    <s v="New Feature"/>
    <x v="0"/>
    <d v="2016-03-07T18:42:00"/>
    <x v="7"/>
    <x v="1"/>
    <x v="7"/>
    <n v="8"/>
    <m/>
    <n v="92"/>
    <n v="92"/>
  </r>
  <r>
    <s v="SBG - Desktop"/>
    <x v="0"/>
    <s v="New Feature"/>
    <s v="DESK-2779"/>
    <s v="RX PHASE 3 - DESKTOP"/>
    <s v="New Feature"/>
    <x v="0"/>
    <d v="2016-03-08T16:38:00"/>
    <x v="7"/>
    <x v="1"/>
    <x v="19"/>
    <n v="8"/>
    <m/>
    <n v="92"/>
    <n v="92"/>
  </r>
  <r>
    <s v="SBG - Desktop"/>
    <x v="0"/>
    <s v="New Feature"/>
    <s v="DESK-2779"/>
    <s v="RX PHASE 3 - DESKTOP"/>
    <s v="New Feature"/>
    <x v="0"/>
    <d v="2016-03-08T18:48:00"/>
    <x v="7"/>
    <x v="1"/>
    <x v="7"/>
    <n v="8"/>
    <m/>
    <n v="92"/>
    <n v="92"/>
  </r>
  <r>
    <s v="SBG - Desktop"/>
    <x v="0"/>
    <s v="New Feature"/>
    <s v="DESK-2779"/>
    <s v="RX PHASE 3 - DESKTOP"/>
    <s v="New Feature"/>
    <x v="0"/>
    <d v="2016-03-09T09:33:00"/>
    <x v="7"/>
    <x v="1"/>
    <x v="19"/>
    <n v="8"/>
    <m/>
    <n v="92"/>
    <n v="92"/>
  </r>
  <r>
    <s v="SBG - Desktop"/>
    <x v="0"/>
    <s v="New Feature"/>
    <s v="DESK-2779"/>
    <s v="RX PHASE 3 - DESKTOP"/>
    <s v="New Feature"/>
    <x v="0"/>
    <d v="2016-03-09T18:36:00"/>
    <x v="7"/>
    <x v="1"/>
    <x v="7"/>
    <n v="6"/>
    <m/>
    <n v="92"/>
    <n v="92"/>
  </r>
  <r>
    <s v="SBG - Desktop"/>
    <x v="0"/>
    <s v="New Feature"/>
    <s v="DESK-2779"/>
    <s v="RX PHASE 3 - DESKTOP"/>
    <s v="New Feature"/>
    <x v="0"/>
    <d v="2016-03-10T09:33:00"/>
    <x v="7"/>
    <x v="1"/>
    <x v="19"/>
    <n v="7"/>
    <m/>
    <n v="92"/>
    <n v="92"/>
  </r>
  <r>
    <s v="SBG - Desktop"/>
    <x v="0"/>
    <s v="New Feature"/>
    <s v="DESK-2779"/>
    <s v="RX PHASE 3 - DESKTOP"/>
    <s v="New Feature"/>
    <x v="0"/>
    <d v="2016-03-10T18:37:00"/>
    <x v="7"/>
    <x v="1"/>
    <x v="7"/>
    <n v="6"/>
    <m/>
    <n v="92"/>
    <n v="92"/>
  </r>
  <r>
    <s v="SBG - Desktop"/>
    <x v="0"/>
    <s v="New Feature"/>
    <s v="DESK-2779"/>
    <s v="RX PHASE 3 - DESKTOP"/>
    <s v="New Feature"/>
    <x v="0"/>
    <d v="2016-03-11T09:37:00"/>
    <x v="7"/>
    <x v="1"/>
    <x v="19"/>
    <n v="8"/>
    <m/>
    <n v="92"/>
    <n v="92"/>
  </r>
  <r>
    <s v="SBG - Desktop"/>
    <x v="0"/>
    <s v="New Feature"/>
    <s v="DESK-2779"/>
    <s v="RX PHASE 3 - DESKTOP"/>
    <s v="New Feature"/>
    <x v="0"/>
    <d v="2016-03-11T18:29:00"/>
    <x v="7"/>
    <x v="1"/>
    <x v="7"/>
    <n v="3"/>
    <m/>
    <n v="92"/>
    <n v="92"/>
  </r>
  <r>
    <s v="SBG - Desktop"/>
    <x v="0"/>
    <s v="New Feature"/>
    <s v="DESK-2779"/>
    <s v="RX PHASE 3 - DESKTOP"/>
    <s v="New Feature"/>
    <x v="0"/>
    <d v="2016-03-14T18:23:00"/>
    <x v="7"/>
    <x v="1"/>
    <x v="19"/>
    <n v="8"/>
    <m/>
    <n v="92"/>
    <n v="92"/>
  </r>
  <r>
    <s v="SBG - Desktop"/>
    <x v="0"/>
    <s v="New Feature"/>
    <s v="DESK-2779"/>
    <s v="RX PHASE 3 - DESKTOP"/>
    <s v="New Feature"/>
    <x v="0"/>
    <d v="2016-03-14T18:37:00"/>
    <x v="7"/>
    <x v="1"/>
    <x v="7"/>
    <n v="8"/>
    <m/>
    <n v="92"/>
    <n v="92"/>
  </r>
  <r>
    <s v="SBG - Desktop"/>
    <x v="0"/>
    <s v="New Feature"/>
    <s v="DESK-2779"/>
    <s v="RX PHASE 3 - DESKTOP"/>
    <s v="New Feature"/>
    <x v="0"/>
    <d v="2016-03-15T09:36:00"/>
    <x v="7"/>
    <x v="1"/>
    <x v="19"/>
    <n v="8"/>
    <m/>
    <n v="92"/>
    <n v="92"/>
  </r>
  <r>
    <s v="SBG - Desktop"/>
    <x v="0"/>
    <s v="New Feature"/>
    <s v="DESK-2779"/>
    <s v="RX PHASE 3 - DESKTOP"/>
    <s v="New Feature"/>
    <x v="0"/>
    <d v="2016-03-15T18:36:00"/>
    <x v="7"/>
    <x v="1"/>
    <x v="7"/>
    <n v="6"/>
    <m/>
    <n v="92"/>
    <n v="92"/>
  </r>
  <r>
    <s v="SBG - Desktop"/>
    <x v="0"/>
    <s v="New Feature"/>
    <s v="DESK-2779"/>
    <s v="RX PHASE 3 - DESKTOP"/>
    <s v="New Feature"/>
    <x v="0"/>
    <d v="2016-03-16T09:30:00"/>
    <x v="7"/>
    <x v="1"/>
    <x v="19"/>
    <n v="4"/>
    <m/>
    <n v="92"/>
    <n v="92"/>
  </r>
  <r>
    <s v="SBG - Desktop"/>
    <x v="0"/>
    <s v="New Feature"/>
    <s v="DESK-2779"/>
    <s v="RX PHASE 3 - DESKTOP"/>
    <s v="New Feature"/>
    <x v="0"/>
    <d v="2016-03-16T18:38:00"/>
    <x v="7"/>
    <x v="1"/>
    <x v="7"/>
    <n v="7"/>
    <m/>
    <n v="92"/>
    <n v="92"/>
  </r>
  <r>
    <s v="SBG - Desktop"/>
    <x v="0"/>
    <s v="New Feature"/>
    <s v="DESK-2779"/>
    <s v="RX PHASE 3 - DESKTOP"/>
    <s v="New Feature"/>
    <x v="0"/>
    <d v="2016-03-17T18:37:00"/>
    <x v="7"/>
    <x v="1"/>
    <x v="7"/>
    <n v="6"/>
    <m/>
    <n v="92"/>
    <n v="92"/>
  </r>
  <r>
    <s v="SBG - Desktop"/>
    <x v="0"/>
    <s v="New Feature"/>
    <s v="DESK-2779"/>
    <s v="RX PHASE 3 - DESKTOP"/>
    <s v="New Feature"/>
    <x v="0"/>
    <d v="2016-03-18T09:46:00"/>
    <x v="7"/>
    <x v="1"/>
    <x v="19"/>
    <n v="8"/>
    <m/>
    <n v="92"/>
    <n v="92"/>
  </r>
  <r>
    <s v="SBG - Desktop"/>
    <x v="0"/>
    <s v="New Feature"/>
    <s v="DESK-2779"/>
    <s v="RX PHASE 3 - DESKTOP"/>
    <s v="New Feature"/>
    <x v="0"/>
    <d v="2016-03-18T18:39:00"/>
    <x v="7"/>
    <x v="1"/>
    <x v="7"/>
    <n v="6"/>
    <m/>
    <n v="92"/>
    <n v="92"/>
  </r>
  <r>
    <s v="SBG - Desktop"/>
    <x v="0"/>
    <s v="New Feature"/>
    <s v="DESK-2779"/>
    <s v="RX PHASE 3 - DESKTOP"/>
    <s v="New Feature"/>
    <x v="0"/>
    <d v="2016-03-21T14:00:00"/>
    <x v="7"/>
    <x v="1"/>
    <x v="19"/>
    <n v="4"/>
    <m/>
    <n v="92"/>
    <n v="92"/>
  </r>
  <r>
    <s v="SBG - Desktop"/>
    <x v="0"/>
    <s v="New Feature"/>
    <s v="DESK-2779"/>
    <s v="RX PHASE 3 - DESKTOP"/>
    <s v="New Feature"/>
    <x v="0"/>
    <d v="2016-03-21T18:50:00"/>
    <x v="7"/>
    <x v="1"/>
    <x v="7"/>
    <n v="3"/>
    <m/>
    <n v="92"/>
    <n v="92"/>
  </r>
  <r>
    <s v="SBG - Desktop"/>
    <x v="0"/>
    <s v="New Feature"/>
    <s v="DESK-2779"/>
    <s v="RX PHASE 3 - DESKTOP"/>
    <s v="New Feature"/>
    <x v="0"/>
    <d v="2016-03-22T09:37:00"/>
    <x v="7"/>
    <x v="1"/>
    <x v="19"/>
    <n v="8"/>
    <m/>
    <n v="92"/>
    <n v="92"/>
  </r>
  <r>
    <s v="SBG - Desktop"/>
    <x v="0"/>
    <s v="New Feature"/>
    <s v="DESK-2779"/>
    <s v="RX PHASE 3 - DESKTOP"/>
    <s v="New Feature"/>
    <x v="0"/>
    <d v="2016-03-22T18:42:00"/>
    <x v="7"/>
    <x v="1"/>
    <x v="7"/>
    <n v="6"/>
    <m/>
    <n v="92"/>
    <n v="92"/>
  </r>
  <r>
    <s v="SBG - Desktop"/>
    <x v="0"/>
    <s v="New Feature"/>
    <s v="DESK-2779"/>
    <s v="RX PHASE 3 - DESKTOP"/>
    <s v="New Feature"/>
    <x v="0"/>
    <d v="2016-03-24T09:37:00"/>
    <x v="7"/>
    <x v="1"/>
    <x v="19"/>
    <n v="7"/>
    <m/>
    <n v="92"/>
    <n v="92"/>
  </r>
  <r>
    <s v="SBG - Desktop"/>
    <x v="0"/>
    <s v="New Feature"/>
    <s v="DESK-2779"/>
    <s v="RX PHASE 3 - DESKTOP"/>
    <s v="New Feature"/>
    <x v="0"/>
    <d v="2016-03-24T19:00:00"/>
    <x v="7"/>
    <x v="1"/>
    <x v="7"/>
    <n v="3"/>
    <m/>
    <n v="92"/>
    <n v="92"/>
  </r>
  <r>
    <s v="SBG - Desktop"/>
    <x v="0"/>
    <s v="New Feature"/>
    <s v="DESK-2779"/>
    <s v="RX PHASE 3 - DESKTOP"/>
    <s v="New Feature"/>
    <x v="0"/>
    <d v="2016-03-28T09:39:00"/>
    <x v="7"/>
    <x v="1"/>
    <x v="19"/>
    <n v="8"/>
    <m/>
    <n v="92"/>
    <n v="92"/>
  </r>
  <r>
    <s v="SBG - Desktop"/>
    <x v="0"/>
    <s v="New Feature"/>
    <s v="DESK-2779"/>
    <s v="RX PHASE 3 - DESKTOP"/>
    <s v="New Feature"/>
    <x v="0"/>
    <d v="2016-03-29T09:32:00"/>
    <x v="7"/>
    <x v="1"/>
    <x v="19"/>
    <n v="8"/>
    <m/>
    <n v="92"/>
    <n v="92"/>
  </r>
  <r>
    <s v="SBG - Desktop"/>
    <x v="0"/>
    <s v="New Feature"/>
    <s v="DESK-2779"/>
    <s v="RX PHASE 3 - DESKTOP"/>
    <s v="New Feature"/>
    <x v="0"/>
    <d v="2016-03-30T09:38:00"/>
    <x v="7"/>
    <x v="1"/>
    <x v="19"/>
    <n v="8"/>
    <m/>
    <n v="92"/>
    <n v="92"/>
  </r>
  <r>
    <s v="SBG - Desktop"/>
    <x v="4"/>
    <s v="New Feature"/>
    <s v="DESK-2809"/>
    <s v="New Desktop UI"/>
    <s v="New Feature"/>
    <x v="0"/>
    <d v="2016-03-03T11:50:00"/>
    <x v="7"/>
    <x v="1"/>
    <x v="13"/>
    <n v="3"/>
    <m/>
    <n v="156.4"/>
    <n v="27.600000000000005"/>
  </r>
  <r>
    <s v="SBG - Desktop"/>
    <x v="4"/>
    <s v="New Feature"/>
    <s v="DESK-2809"/>
    <s v="New Desktop UI"/>
    <s v="New Feature"/>
    <x v="0"/>
    <d v="2016-03-04T11:52:00"/>
    <x v="7"/>
    <x v="1"/>
    <x v="13"/>
    <n v="3"/>
    <m/>
    <n v="156.4"/>
    <n v="27.600000000000005"/>
  </r>
  <r>
    <s v="SBG - Desktop"/>
    <x v="1"/>
    <s v="Improvement"/>
    <s v="DESK-2855"/>
    <s v="Remove Tracking Pixels - Affiliates"/>
    <s v="Improvement"/>
    <x v="0"/>
    <d v="2016-02-24T17:20:00"/>
    <x v="11"/>
    <x v="1"/>
    <x v="30"/>
    <n v="8"/>
    <m/>
    <n v="127.5"/>
    <n v="22.500000000000004"/>
  </r>
  <r>
    <s v="SBG - Desktop"/>
    <x v="1"/>
    <s v="Improvement"/>
    <s v="DESK-2855"/>
    <s v="Remove Tracking Pixels - Affiliates"/>
    <s v="Improvement"/>
    <x v="0"/>
    <d v="2016-03-09T17:28:00"/>
    <x v="7"/>
    <x v="1"/>
    <x v="30"/>
    <n v="2"/>
    <m/>
    <n v="156.4"/>
    <n v="27.600000000000005"/>
  </r>
  <r>
    <s v="SBG - Desktop"/>
    <x v="2"/>
    <s v="Task"/>
    <s v="DESK-2874"/>
    <s v="DB connection performance tuning"/>
    <s v="Task"/>
    <x v="0"/>
    <d v="2016-02-25T14:30:00"/>
    <x v="11"/>
    <x v="1"/>
    <x v="29"/>
    <n v="4"/>
    <m/>
    <n v="127.5"/>
    <n v="22.500000000000004"/>
  </r>
  <r>
    <s v="SBG - Desktop"/>
    <x v="1"/>
    <s v="New Feature"/>
    <s v="DESK-2900"/>
    <s v="Availability by Size- Front End"/>
    <s v="New Feature"/>
    <x v="0"/>
    <d v="2016-02-25T18:24:00"/>
    <x v="11"/>
    <x v="1"/>
    <x v="23"/>
    <n v="4"/>
    <m/>
    <n v="127.5"/>
    <n v="22.500000000000004"/>
  </r>
  <r>
    <s v="SBG - Desktop"/>
    <x v="2"/>
    <s v="New Feature"/>
    <s v="DESK-2900"/>
    <s v="Availability by Size- Front End"/>
    <s v="New Feature"/>
    <x v="0"/>
    <d v="2016-03-09T14:47:00"/>
    <x v="7"/>
    <x v="1"/>
    <x v="22"/>
    <n v="1"/>
    <m/>
    <n v="156.4"/>
    <n v="27.600000000000005"/>
  </r>
  <r>
    <s v="SBG - Desktop"/>
    <x v="1"/>
    <s v="New Feature"/>
    <s v="DESK-2900"/>
    <s v="Availability by Size- Front End"/>
    <s v="New Feature"/>
    <x v="0"/>
    <d v="2016-03-24T16:53:00"/>
    <x v="7"/>
    <x v="1"/>
    <x v="23"/>
    <n v="2"/>
    <m/>
    <n v="156.4"/>
    <n v="27.600000000000005"/>
  </r>
  <r>
    <s v="SBG - Desktop"/>
    <x v="1"/>
    <s v="New Feature"/>
    <s v="DESK-2900"/>
    <s v="Availability by Size- Front End"/>
    <s v="New Feature"/>
    <x v="0"/>
    <d v="2016-03-25T14:00:00"/>
    <x v="7"/>
    <x v="1"/>
    <x v="23"/>
    <n v="2"/>
    <m/>
    <n v="156.4"/>
    <n v="27.600000000000005"/>
  </r>
  <r>
    <s v="SBG - Desktop"/>
    <x v="1"/>
    <s v="New Feature"/>
    <s v="DESK-2900"/>
    <s v="Availability by Size- Front End"/>
    <s v="New Feature"/>
    <x v="0"/>
    <d v="2016-03-29T16:02:00"/>
    <x v="7"/>
    <x v="1"/>
    <x v="23"/>
    <n v="2"/>
    <m/>
    <n v="156.4"/>
    <n v="27.600000000000005"/>
  </r>
  <r>
    <s v="SBG - Desktop"/>
    <x v="1"/>
    <s v="New Feature"/>
    <s v="DESK-2904"/>
    <s v="Implement MasterTag for Zanox"/>
    <s v="New Feature"/>
    <x v="0"/>
    <d v="2016-02-23T15:13:00"/>
    <x v="11"/>
    <x v="1"/>
    <x v="30"/>
    <n v="4"/>
    <m/>
    <n v="127.5"/>
    <n v="22.500000000000004"/>
  </r>
  <r>
    <s v="SBG - Desktop"/>
    <x v="1"/>
    <s v="New Feature"/>
    <s v="DESK-2926"/>
    <s v="Christmas Campaign HomePage (Non-English Domains)"/>
    <s v="New Feature"/>
    <x v="0"/>
    <d v="2016-03-09T17:33:00"/>
    <x v="7"/>
    <x v="1"/>
    <x v="30"/>
    <n v="1"/>
    <m/>
    <n v="156.4"/>
    <n v="27.600000000000005"/>
  </r>
  <r>
    <s v="SBG - Desktop"/>
    <x v="2"/>
    <s v="New Feature"/>
    <s v="DESK-2934"/>
    <s v="Add Price Filter to Clearance page"/>
    <s v="New Feature"/>
    <x v="0"/>
    <d v="2016-02-06T15:57:00"/>
    <x v="11"/>
    <x v="1"/>
    <x v="22"/>
    <n v="2"/>
    <m/>
    <n v="127.5"/>
    <n v="22.500000000000004"/>
  </r>
  <r>
    <s v="SBG - Desktop"/>
    <x v="2"/>
    <s v="Improvement"/>
    <s v="DESK-2962"/>
    <s v="Order Transfer Improvement"/>
    <s v="Improvement"/>
    <x v="0"/>
    <d v="2016-03-09T15:20:00"/>
    <x v="7"/>
    <x v="1"/>
    <x v="2"/>
    <n v="2"/>
    <m/>
    <n v="156.4"/>
    <n v="27.600000000000005"/>
  </r>
  <r>
    <s v="SBG - Desktop"/>
    <x v="2"/>
    <s v="Improvement"/>
    <s v="DESK-2962"/>
    <s v="Order Transfer Improvement"/>
    <s v="Improvement"/>
    <x v="0"/>
    <d v="2016-03-10T15:21:00"/>
    <x v="7"/>
    <x v="1"/>
    <x v="2"/>
    <n v="5"/>
    <m/>
    <n v="156.4"/>
    <n v="27.600000000000005"/>
  </r>
  <r>
    <s v="SBG - Desktop"/>
    <x v="2"/>
    <s v="Improvement"/>
    <s v="DESK-2962"/>
    <s v="Order Transfer Improvement"/>
    <s v="Improvement"/>
    <x v="0"/>
    <d v="2016-03-14T15:21:00"/>
    <x v="7"/>
    <x v="1"/>
    <x v="2"/>
    <n v="8"/>
    <m/>
    <n v="156.4"/>
    <n v="27.600000000000005"/>
  </r>
  <r>
    <s v="SBG - Desktop"/>
    <x v="2"/>
    <s v="Improvement"/>
    <s v="DESK-2962"/>
    <s v="Order Transfer Improvement"/>
    <s v="Improvement"/>
    <x v="0"/>
    <d v="2016-03-15T15:21:00"/>
    <x v="7"/>
    <x v="1"/>
    <x v="2"/>
    <n v="3"/>
    <m/>
    <n v="156.4"/>
    <n v="27.600000000000005"/>
  </r>
  <r>
    <s v="SBG - Desktop"/>
    <x v="2"/>
    <s v="Improvement"/>
    <s v="DESK-2962"/>
    <s v="Order Transfer Improvement"/>
    <s v="Improvement"/>
    <x v="0"/>
    <d v="2016-03-16T15:21:00"/>
    <x v="7"/>
    <x v="1"/>
    <x v="2"/>
    <n v="6"/>
    <m/>
    <n v="156.4"/>
    <n v="27.600000000000005"/>
  </r>
  <r>
    <s v="SBG - Desktop"/>
    <x v="2"/>
    <s v="Improvement"/>
    <s v="DESK-2962"/>
    <s v="Order Transfer Improvement"/>
    <s v="Improvement"/>
    <x v="0"/>
    <d v="2016-03-18T15:21:00"/>
    <x v="7"/>
    <x v="1"/>
    <x v="2"/>
    <n v="5"/>
    <m/>
    <n v="156.4"/>
    <n v="27.600000000000005"/>
  </r>
  <r>
    <s v="SBG - Desktop"/>
    <x v="2"/>
    <s v="Improvement"/>
    <s v="DESK-2962"/>
    <s v="Order Transfer Improvement"/>
    <s v="Improvement"/>
    <x v="0"/>
    <d v="2016-03-23T10:06:00"/>
    <x v="7"/>
    <x v="1"/>
    <x v="2"/>
    <n v="8"/>
    <m/>
    <n v="156.4"/>
    <n v="27.600000000000005"/>
  </r>
  <r>
    <s v="SBG - Desktop"/>
    <x v="2"/>
    <s v="Improvement"/>
    <s v="DESK-2962"/>
    <s v="Order Transfer Improvement"/>
    <s v="Improvement"/>
    <x v="0"/>
    <d v="2016-03-24T10:08:00"/>
    <x v="7"/>
    <x v="1"/>
    <x v="2"/>
    <n v="6"/>
    <m/>
    <n v="156.4"/>
    <n v="27.600000000000005"/>
  </r>
  <r>
    <s v="SBG - Desktop"/>
    <x v="2"/>
    <s v="Improvement"/>
    <s v="DESK-2962"/>
    <s v="Order Transfer Improvement"/>
    <s v="Improvement"/>
    <x v="0"/>
    <d v="2016-03-25T10:07:00"/>
    <x v="7"/>
    <x v="1"/>
    <x v="2"/>
    <n v="8"/>
    <m/>
    <n v="156.4"/>
    <n v="27.600000000000005"/>
  </r>
  <r>
    <s v="SBG - Desktop"/>
    <x v="1"/>
    <s v="Improvement"/>
    <s v="DESK-2962"/>
    <s v="Order Transfer Improvement"/>
    <s v="Improvement"/>
    <x v="0"/>
    <d v="2016-03-25T14:00:00"/>
    <x v="7"/>
    <x v="1"/>
    <x v="23"/>
    <n v="2"/>
    <m/>
    <n v="156.4"/>
    <n v="27.600000000000005"/>
  </r>
  <r>
    <s v="SBG - Desktop"/>
    <x v="2"/>
    <s v="Improvement"/>
    <s v="DESK-2962"/>
    <s v="Order Transfer Improvement"/>
    <s v="Improvement"/>
    <x v="0"/>
    <d v="2016-03-28T10:09:00"/>
    <x v="7"/>
    <x v="1"/>
    <x v="2"/>
    <n v="8"/>
    <m/>
    <n v="156.4"/>
    <n v="27.600000000000005"/>
  </r>
  <r>
    <s v="SBG - Desktop"/>
    <x v="1"/>
    <s v="Improvement"/>
    <s v="DESK-2962"/>
    <s v="Order Transfer Improvement"/>
    <s v="Improvement"/>
    <x v="0"/>
    <d v="2016-03-28T15:59:00"/>
    <x v="7"/>
    <x v="1"/>
    <x v="23"/>
    <n v="1"/>
    <m/>
    <n v="156.4"/>
    <n v="27.600000000000005"/>
  </r>
  <r>
    <s v="SBG - Desktop"/>
    <x v="2"/>
    <s v="Improvement"/>
    <s v="DESK-2962"/>
    <s v="Order Transfer Improvement"/>
    <s v="Improvement"/>
    <x v="0"/>
    <d v="2016-03-29T10:09:00"/>
    <x v="7"/>
    <x v="1"/>
    <x v="2"/>
    <n v="8"/>
    <m/>
    <n v="156.4"/>
    <n v="27.600000000000005"/>
  </r>
  <r>
    <s v="SBG - Desktop"/>
    <x v="1"/>
    <s v="Improvement"/>
    <s v="DESK-2962"/>
    <s v="Order Transfer Improvement"/>
    <s v="Improvement"/>
    <x v="0"/>
    <d v="2016-03-29T16:02:00"/>
    <x v="7"/>
    <x v="1"/>
    <x v="23"/>
    <n v="2"/>
    <m/>
    <n v="156.4"/>
    <n v="27.600000000000005"/>
  </r>
  <r>
    <s v="SBG - Desktop"/>
    <x v="2"/>
    <s v="Improvement"/>
    <s v="DESK-2962"/>
    <s v="Order Transfer Improvement"/>
    <s v="Improvement"/>
    <x v="0"/>
    <d v="2016-03-30T10:10:00"/>
    <x v="7"/>
    <x v="1"/>
    <x v="2"/>
    <n v="3"/>
    <m/>
    <n v="156.4"/>
    <n v="27.600000000000005"/>
  </r>
  <r>
    <s v="SBG - Desktop"/>
    <x v="2"/>
    <s v="Improvement"/>
    <s v="DESK-2962"/>
    <s v="Order Transfer Improvement"/>
    <s v="Improvement"/>
    <x v="0"/>
    <d v="2016-03-31T10:09:00"/>
    <x v="7"/>
    <x v="1"/>
    <x v="2"/>
    <n v="8"/>
    <m/>
    <n v="156.4"/>
    <n v="27.600000000000005"/>
  </r>
  <r>
    <s v="SBG - Desktop"/>
    <x v="1"/>
    <s v="Task"/>
    <s v="DESK-2974"/>
    <s v="Product Page Buy Button Roll-out (PART 1)"/>
    <s v="Task"/>
    <x v="0"/>
    <d v="2016-02-23T15:13:00"/>
    <x v="11"/>
    <x v="1"/>
    <x v="30"/>
    <n v="4"/>
    <m/>
    <n v="127.5"/>
    <n v="22.500000000000004"/>
  </r>
  <r>
    <s v="SBG - Desktop"/>
    <x v="2"/>
    <s v="Improvement"/>
    <s v="DESK-2978"/>
    <s v="Contact Lens - URL Fix Desktop &amp; Mobile"/>
    <s v="Improvement"/>
    <x v="0"/>
    <d v="2016-02-15T23:08:00"/>
    <x v="11"/>
    <x v="1"/>
    <x v="11"/>
    <n v="6"/>
    <m/>
    <n v="127.5"/>
    <n v="22.500000000000004"/>
  </r>
  <r>
    <s v="SBG - Desktop"/>
    <x v="2"/>
    <s v="Improvement"/>
    <s v="DESK-2978"/>
    <s v="Contact Lens - URL Fix Desktop &amp; Mobile"/>
    <s v="Improvement"/>
    <x v="0"/>
    <d v="2016-02-16T21:30:00"/>
    <x v="11"/>
    <x v="1"/>
    <x v="11"/>
    <n v="8"/>
    <m/>
    <n v="127.5"/>
    <n v="22.500000000000004"/>
  </r>
  <r>
    <s v="SBG - Desktop"/>
    <x v="2"/>
    <s v="Improvement"/>
    <s v="DESK-2978"/>
    <s v="Contact Lens - URL Fix Desktop &amp; Mobile"/>
    <s v="Improvement"/>
    <x v="0"/>
    <d v="2016-02-18T10:20:00"/>
    <x v="11"/>
    <x v="1"/>
    <x v="11"/>
    <n v="6"/>
    <m/>
    <n v="127.5"/>
    <n v="22.500000000000004"/>
  </r>
  <r>
    <s v="SBG - Desktop"/>
    <x v="2"/>
    <s v="Improvement"/>
    <s v="DESK-2978"/>
    <s v="Contact Lens - URL Fix Desktop &amp; Mobile"/>
    <s v="Improvement"/>
    <x v="0"/>
    <d v="2016-02-19T09:30:00"/>
    <x v="11"/>
    <x v="1"/>
    <x v="11"/>
    <n v="6"/>
    <m/>
    <n v="127.5"/>
    <n v="22.500000000000004"/>
  </r>
  <r>
    <s v="SBG - Desktop"/>
    <x v="2"/>
    <s v="Improvement"/>
    <s v="DESK-2978"/>
    <s v="Contact Lens - URL Fix Desktop &amp; Mobile"/>
    <s v="Improvement"/>
    <x v="0"/>
    <d v="2016-02-22T09:33:00"/>
    <x v="11"/>
    <x v="1"/>
    <x v="11"/>
    <n v="3"/>
    <m/>
    <n v="127.5"/>
    <n v="22.500000000000004"/>
  </r>
  <r>
    <s v="SBG - Desktop"/>
    <x v="2"/>
    <s v="Improvement"/>
    <s v="DESK-2978"/>
    <s v="Contact Lens - URL Fix Desktop &amp; Mobile"/>
    <s v="Improvement"/>
    <x v="0"/>
    <d v="2016-02-22T12:00:00"/>
    <x v="11"/>
    <x v="1"/>
    <x v="11"/>
    <n v="4"/>
    <m/>
    <n v="127.5"/>
    <n v="22.500000000000004"/>
  </r>
  <r>
    <s v="SBG - Desktop"/>
    <x v="2"/>
    <s v="Improvement"/>
    <s v="DESK-2978"/>
    <s v="Contact Lens - URL Fix Desktop &amp; Mobile"/>
    <s v="Improvement"/>
    <x v="0"/>
    <d v="2016-02-22T16:00:00"/>
    <x v="11"/>
    <x v="1"/>
    <x v="11"/>
    <n v="2"/>
    <m/>
    <n v="127.5"/>
    <n v="22.500000000000004"/>
  </r>
  <r>
    <s v="SBG - Desktop"/>
    <x v="2"/>
    <s v="Improvement"/>
    <s v="DESK-2978"/>
    <s v="Contact Lens - URL Fix Desktop &amp; Mobile"/>
    <s v="Improvement"/>
    <x v="0"/>
    <d v="2016-02-23T14:00:00"/>
    <x v="11"/>
    <x v="1"/>
    <x v="11"/>
    <n v="3"/>
    <m/>
    <n v="127.5"/>
    <n v="22.500000000000004"/>
  </r>
  <r>
    <s v="SBG - Desktop"/>
    <x v="2"/>
    <s v="Improvement"/>
    <s v="DESK-2978"/>
    <s v="Contact Lens - URL Fix Desktop &amp; Mobile"/>
    <s v="Improvement"/>
    <x v="0"/>
    <d v="2016-02-23T17:00:00"/>
    <x v="11"/>
    <x v="1"/>
    <x v="11"/>
    <n v="2"/>
    <m/>
    <n v="127.5"/>
    <n v="22.500000000000004"/>
  </r>
  <r>
    <s v="SBG - Desktop"/>
    <x v="2"/>
    <s v="Improvement"/>
    <s v="DESK-2978"/>
    <s v="Contact Lens - URL Fix Desktop &amp; Mobile"/>
    <s v="Improvement"/>
    <x v="0"/>
    <d v="2016-02-24T16:00:00"/>
    <x v="11"/>
    <x v="1"/>
    <x v="11"/>
    <n v="3"/>
    <m/>
    <n v="127.5"/>
    <n v="22.500000000000004"/>
  </r>
  <r>
    <s v="SBG - Desktop"/>
    <x v="2"/>
    <s v="Improvement"/>
    <s v="DESK-2978"/>
    <s v="Contact Lens - URL Fix Desktop &amp; Mobile"/>
    <s v="Improvement"/>
    <x v="0"/>
    <d v="2016-02-25T09:30:00"/>
    <x v="11"/>
    <x v="1"/>
    <x v="11"/>
    <n v="6"/>
    <m/>
    <n v="127.5"/>
    <n v="22.500000000000004"/>
  </r>
  <r>
    <s v="SBG - Desktop"/>
    <x v="1"/>
    <s v="Improvement"/>
    <s v="DESK-2978"/>
    <s v="Contact Lens - URL Fix Desktop &amp; Mobile"/>
    <s v="Improvement"/>
    <x v="0"/>
    <d v="2016-02-26T18:15:00"/>
    <x v="11"/>
    <x v="1"/>
    <x v="30"/>
    <n v="3"/>
    <m/>
    <n v="127.5"/>
    <n v="22.500000000000004"/>
  </r>
  <r>
    <s v="SBG - Desktop"/>
    <x v="2"/>
    <s v="Improvement"/>
    <s v="DESK-2978"/>
    <s v="Contact Lens - URL Fix Desktop &amp; Mobile"/>
    <s v="Improvement"/>
    <x v="0"/>
    <d v="2016-02-29T09:40:00"/>
    <x v="11"/>
    <x v="1"/>
    <x v="11"/>
    <n v="6"/>
    <m/>
    <n v="127.5"/>
    <n v="22.500000000000004"/>
  </r>
  <r>
    <s v="SBG - Desktop"/>
    <x v="1"/>
    <s v="Improvement"/>
    <s v="DESK-2978"/>
    <s v="Contact Lens - URL Fix Desktop &amp; Mobile"/>
    <s v="Improvement"/>
    <x v="0"/>
    <d v="2016-02-29T18:41:00"/>
    <x v="11"/>
    <x v="1"/>
    <x v="30"/>
    <n v="5"/>
    <m/>
    <n v="127.5"/>
    <n v="22.500000000000004"/>
  </r>
  <r>
    <s v="SBG - Desktop"/>
    <x v="2"/>
    <s v="Improvement"/>
    <s v="DESK-2978"/>
    <s v="Contact Lens - URL Fix Desktop &amp; Mobile"/>
    <s v="Improvement"/>
    <x v="0"/>
    <d v="2016-03-01T09:30:00"/>
    <x v="7"/>
    <x v="1"/>
    <x v="11"/>
    <n v="8"/>
    <m/>
    <n v="156.4"/>
    <n v="27.600000000000005"/>
  </r>
  <r>
    <s v="SBG - Desktop"/>
    <x v="2"/>
    <s v="Improvement"/>
    <s v="DESK-2978"/>
    <s v="Contact Lens - URL Fix Desktop &amp; Mobile"/>
    <s v="Improvement"/>
    <x v="0"/>
    <d v="2016-03-02T09:30:00"/>
    <x v="7"/>
    <x v="1"/>
    <x v="11"/>
    <n v="8"/>
    <m/>
    <n v="156.4"/>
    <n v="27.600000000000005"/>
  </r>
  <r>
    <s v="SBG - Desktop"/>
    <x v="1"/>
    <s v="Improvement"/>
    <s v="DESK-2978"/>
    <s v="Contact Lens - URL Fix Desktop &amp; Mobile"/>
    <s v="Improvement"/>
    <x v="0"/>
    <d v="2016-03-02T18:34:00"/>
    <x v="7"/>
    <x v="1"/>
    <x v="30"/>
    <n v="5"/>
    <m/>
    <n v="156.4"/>
    <n v="27.600000000000005"/>
  </r>
  <r>
    <s v="SBG - Desktop"/>
    <x v="2"/>
    <s v="Improvement"/>
    <s v="DESK-2978"/>
    <s v="Contact Lens - URL Fix Desktop &amp; Mobile"/>
    <s v="Improvement"/>
    <x v="0"/>
    <d v="2016-03-03T09:30:00"/>
    <x v="7"/>
    <x v="1"/>
    <x v="11"/>
    <n v="3"/>
    <m/>
    <n v="156.4"/>
    <n v="27.600000000000005"/>
  </r>
  <r>
    <s v="SBG - Desktop"/>
    <x v="2"/>
    <s v="Improvement"/>
    <s v="DESK-2978"/>
    <s v="Contact Lens - URL Fix Desktop &amp; Mobile"/>
    <s v="Improvement"/>
    <x v="0"/>
    <d v="2016-03-03T12:00:00"/>
    <x v="7"/>
    <x v="1"/>
    <x v="11"/>
    <n v="4"/>
    <m/>
    <n v="156.4"/>
    <n v="27.600000000000005"/>
  </r>
  <r>
    <s v="SBG - Desktop"/>
    <x v="1"/>
    <s v="Improvement"/>
    <s v="DESK-2978"/>
    <s v="Contact Lens - URL Fix Desktop &amp; Mobile"/>
    <s v="Improvement"/>
    <x v="0"/>
    <d v="2016-03-03T18:15:00"/>
    <x v="7"/>
    <x v="1"/>
    <x v="30"/>
    <n v="7"/>
    <m/>
    <n v="156.4"/>
    <n v="27.600000000000005"/>
  </r>
  <r>
    <s v="SBG - Desktop"/>
    <x v="1"/>
    <s v="Improvement"/>
    <s v="DESK-2978"/>
    <s v="Contact Lens - URL Fix Desktop &amp; Mobile"/>
    <s v="Improvement"/>
    <x v="0"/>
    <d v="2016-03-07T18:30:00"/>
    <x v="7"/>
    <x v="1"/>
    <x v="30"/>
    <n v="3"/>
    <m/>
    <n v="156.4"/>
    <n v="27.600000000000005"/>
  </r>
  <r>
    <s v="SBG - Desktop"/>
    <x v="2"/>
    <s v="Improvement"/>
    <s v="DESK-2978"/>
    <s v="Contact Lens - URL Fix Desktop &amp; Mobile"/>
    <s v="Improvement"/>
    <x v="0"/>
    <d v="2016-03-07T21:30:00"/>
    <x v="7"/>
    <x v="1"/>
    <x v="11"/>
    <n v="2"/>
    <m/>
    <n v="156.4"/>
    <n v="27.600000000000005"/>
  </r>
  <r>
    <s v="SBG - Desktop"/>
    <x v="2"/>
    <s v="Improvement"/>
    <s v="DESK-2978"/>
    <s v="Contact Lens - URL Fix Desktop &amp; Mobile"/>
    <s v="Improvement"/>
    <x v="0"/>
    <d v="2016-03-09T09:30:00"/>
    <x v="7"/>
    <x v="1"/>
    <x v="11"/>
    <n v="3"/>
    <m/>
    <n v="156.4"/>
    <n v="27.600000000000005"/>
  </r>
  <r>
    <s v="SBG - Desktop"/>
    <x v="2"/>
    <s v="Improvement"/>
    <s v="DESK-2978"/>
    <s v="Contact Lens - URL Fix Desktop &amp; Mobile"/>
    <s v="Improvement"/>
    <x v="0"/>
    <d v="2016-03-10T09:32:00"/>
    <x v="7"/>
    <x v="1"/>
    <x v="11"/>
    <n v="8"/>
    <m/>
    <n v="156.4"/>
    <n v="27.600000000000005"/>
  </r>
  <r>
    <s v="SBG - Desktop"/>
    <x v="1"/>
    <s v="Improvement"/>
    <s v="DESK-2978"/>
    <s v="Contact Lens - URL Fix Desktop &amp; Mobile"/>
    <s v="Improvement"/>
    <x v="0"/>
    <d v="2016-03-10T17:28:00"/>
    <x v="7"/>
    <x v="1"/>
    <x v="30"/>
    <n v="1"/>
    <m/>
    <n v="156.4"/>
    <n v="27.600000000000005"/>
  </r>
  <r>
    <s v="SBG - Desktop"/>
    <x v="2"/>
    <s v="Improvement"/>
    <s v="DESK-2978"/>
    <s v="Contact Lens - URL Fix Desktop &amp; Mobile"/>
    <s v="Improvement"/>
    <x v="0"/>
    <d v="2016-03-11T11:29:00"/>
    <x v="7"/>
    <x v="1"/>
    <x v="11"/>
    <n v="6"/>
    <m/>
    <n v="156.4"/>
    <n v="27.600000000000005"/>
  </r>
  <r>
    <s v="SBG - Desktop"/>
    <x v="2"/>
    <s v="Improvement"/>
    <s v="DESK-2978"/>
    <s v="Contact Lens - URL Fix Desktop &amp; Mobile"/>
    <s v="Improvement"/>
    <x v="0"/>
    <d v="2016-03-14T09:30:00"/>
    <x v="7"/>
    <x v="1"/>
    <x v="11"/>
    <n v="4"/>
    <m/>
    <n v="156.4"/>
    <n v="27.600000000000005"/>
  </r>
  <r>
    <s v="SBG - Desktop"/>
    <x v="1"/>
    <s v="Improvement"/>
    <s v="DESK-2978"/>
    <s v="Contact Lens - URL Fix Desktop &amp; Mobile"/>
    <s v="Improvement"/>
    <x v="0"/>
    <d v="2016-03-14T18:41:00"/>
    <x v="7"/>
    <x v="1"/>
    <x v="30"/>
    <n v="6"/>
    <m/>
    <n v="156.4"/>
    <n v="27.600000000000005"/>
  </r>
  <r>
    <s v="SBG - Desktop"/>
    <x v="2"/>
    <s v="Improvement"/>
    <s v="DESK-2978"/>
    <s v="Contact Lens - URL Fix Desktop &amp; Mobile"/>
    <s v="Improvement"/>
    <x v="0"/>
    <d v="2016-03-15T09:30:00"/>
    <x v="7"/>
    <x v="1"/>
    <x v="11"/>
    <n v="8"/>
    <m/>
    <n v="156.4"/>
    <n v="27.600000000000005"/>
  </r>
  <r>
    <s v="SBG - Desktop"/>
    <x v="1"/>
    <s v="Improvement"/>
    <s v="DESK-2978"/>
    <s v="Contact Lens - URL Fix Desktop &amp; Mobile"/>
    <s v="Improvement"/>
    <x v="0"/>
    <d v="2016-03-16T18:02:00"/>
    <x v="7"/>
    <x v="1"/>
    <x v="30"/>
    <n v="6"/>
    <m/>
    <n v="156.4"/>
    <n v="27.600000000000005"/>
  </r>
  <r>
    <s v="SBG - Desktop"/>
    <x v="2"/>
    <s v="Improvement"/>
    <s v="DESK-2978"/>
    <s v="Contact Lens - URL Fix Desktop &amp; Mobile"/>
    <s v="Improvement"/>
    <x v="0"/>
    <d v="2016-03-17T09:30:00"/>
    <x v="7"/>
    <x v="1"/>
    <x v="11"/>
    <n v="6"/>
    <m/>
    <n v="156.4"/>
    <n v="27.600000000000005"/>
  </r>
  <r>
    <s v="SBG - Desktop"/>
    <x v="1"/>
    <s v="Improvement"/>
    <s v="DESK-2978"/>
    <s v="Contact Lens - URL Fix Desktop &amp; Mobile"/>
    <s v="Improvement"/>
    <x v="0"/>
    <d v="2016-03-17T16:23:00"/>
    <x v="7"/>
    <x v="1"/>
    <x v="30"/>
    <n v="3"/>
    <m/>
    <n v="156.4"/>
    <n v="27.600000000000005"/>
  </r>
  <r>
    <s v="SBG - Desktop"/>
    <x v="1"/>
    <s v="Improvement"/>
    <s v="DESK-2978"/>
    <s v="Contact Lens - URL Fix Desktop &amp; Mobile"/>
    <s v="Improvement"/>
    <x v="0"/>
    <d v="2016-03-21T17:41:00"/>
    <x v="7"/>
    <x v="1"/>
    <x v="30"/>
    <n v="3"/>
    <m/>
    <n v="156.4"/>
    <n v="27.600000000000005"/>
  </r>
  <r>
    <s v="SBG - Desktop"/>
    <x v="1"/>
    <s v="New Feature"/>
    <s v="DESK-2981"/>
    <s v="Australia Day Promotion - AU Domain Only"/>
    <s v="New Feature"/>
    <x v="0"/>
    <d v="2016-02-03T11:58:00"/>
    <x v="11"/>
    <x v="1"/>
    <x v="23"/>
    <n v="4"/>
    <m/>
    <n v="127.5"/>
    <n v="22.500000000000004"/>
  </r>
  <r>
    <s v="SBG - Desktop"/>
    <x v="2"/>
    <s v="Improvement"/>
    <s v="DESK-2988"/>
    <s v="Enable multi auto-complete function for Algolia search - phase 2"/>
    <s v="Improvement"/>
    <x v="0"/>
    <d v="2016-02-01T17:54:00"/>
    <x v="11"/>
    <x v="1"/>
    <x v="2"/>
    <n v="8"/>
    <m/>
    <n v="127.5"/>
    <n v="22.500000000000004"/>
  </r>
  <r>
    <s v="SBG - Desktop"/>
    <x v="1"/>
    <s v="Improvement"/>
    <s v="DESK-2988"/>
    <s v="Enable multi auto-complete function for Algolia search - phase 2"/>
    <s v="Improvement"/>
    <x v="0"/>
    <d v="2016-02-01T20:00:00"/>
    <x v="11"/>
    <x v="1"/>
    <x v="1"/>
    <n v="4"/>
    <m/>
    <n v="127.5"/>
    <n v="22.500000000000004"/>
  </r>
  <r>
    <s v="SBG - Desktop"/>
    <x v="1"/>
    <s v="Improvement"/>
    <s v="DESK-2988"/>
    <s v="Enable multi auto-complete function for Algolia search - phase 2"/>
    <s v="Improvement"/>
    <x v="0"/>
    <d v="2016-02-04T20:00:00"/>
    <x v="11"/>
    <x v="1"/>
    <x v="1"/>
    <n v="6"/>
    <m/>
    <n v="127.5"/>
    <n v="22.500000000000004"/>
  </r>
  <r>
    <s v="SBG - Desktop"/>
    <x v="2"/>
    <s v="Improvement"/>
    <s v="DESK-2988"/>
    <s v="Enable multi auto-complete function for Algolia search - phase 2"/>
    <s v="Improvement"/>
    <x v="0"/>
    <d v="2016-02-14T18:05:00"/>
    <x v="11"/>
    <x v="1"/>
    <x v="2"/>
    <n v="5"/>
    <m/>
    <n v="127.5"/>
    <n v="22.500000000000004"/>
  </r>
  <r>
    <s v="SBG - Desktop"/>
    <x v="2"/>
    <s v="Improvement"/>
    <s v="DESK-2988"/>
    <s v="Enable multi auto-complete function for Algolia search - phase 2"/>
    <s v="Improvement"/>
    <x v="0"/>
    <d v="2016-02-15T18:05:00"/>
    <x v="11"/>
    <x v="1"/>
    <x v="2"/>
    <n v="7"/>
    <m/>
    <n v="127.5"/>
    <n v="22.500000000000004"/>
  </r>
  <r>
    <s v="SBG - Desktop"/>
    <x v="2"/>
    <s v="Improvement"/>
    <s v="DESK-2988"/>
    <s v="Enable multi auto-complete function for Algolia search - phase 2"/>
    <s v="Improvement"/>
    <x v="0"/>
    <d v="2016-02-16T18:06:00"/>
    <x v="11"/>
    <x v="1"/>
    <x v="2"/>
    <n v="7"/>
    <m/>
    <n v="127.5"/>
    <n v="22.500000000000004"/>
  </r>
  <r>
    <s v="SBG - Desktop"/>
    <x v="2"/>
    <s v="Improvement"/>
    <s v="DESK-2988"/>
    <s v="Enable multi auto-complete function for Algolia search - phase 2"/>
    <s v="Improvement"/>
    <x v="0"/>
    <d v="2016-02-18T18:24:00"/>
    <x v="11"/>
    <x v="1"/>
    <x v="2"/>
    <n v="7"/>
    <m/>
    <n v="127.5"/>
    <n v="22.500000000000004"/>
  </r>
  <r>
    <s v="SBG - Desktop"/>
    <x v="2"/>
    <s v="Improvement"/>
    <s v="DESK-2988"/>
    <s v="Enable multi auto-complete function for Algolia search - phase 2"/>
    <s v="Improvement"/>
    <x v="0"/>
    <d v="2016-02-19T18:04:00"/>
    <x v="11"/>
    <x v="1"/>
    <x v="2"/>
    <n v="6"/>
    <m/>
    <n v="127.5"/>
    <n v="22.500000000000004"/>
  </r>
  <r>
    <s v="SBG - Desktop"/>
    <x v="2"/>
    <s v="Improvement"/>
    <s v="DESK-2988"/>
    <s v="Enable multi auto-complete function for Algolia search - phase 2"/>
    <s v="Improvement"/>
    <x v="0"/>
    <d v="2016-02-22T18:27:00"/>
    <x v="11"/>
    <x v="1"/>
    <x v="2"/>
    <n v="6"/>
    <m/>
    <n v="127.5"/>
    <n v="22.500000000000004"/>
  </r>
  <r>
    <s v="SBG - Desktop"/>
    <x v="2"/>
    <s v="Bugs"/>
    <s v="DESK-2992"/>
    <s v="DESK-2774&gt; Mobile asian fit result is incorrect"/>
    <s v="Bugs"/>
    <x v="1"/>
    <d v="2016-02-01T15:58:00"/>
    <x v="11"/>
    <x v="1"/>
    <x v="22"/>
    <n v="2"/>
    <m/>
    <n v="127.5"/>
    <n v="22.500000000000004"/>
  </r>
  <r>
    <s v="SBG - Desktop"/>
    <x v="2"/>
    <s v="Bugs"/>
    <s v="DESK-2992"/>
    <s v="DESK-2774&gt; Mobile asian fit result is incorrect"/>
    <s v="Bugs"/>
    <x v="1"/>
    <d v="2016-02-02T15:58:00"/>
    <x v="11"/>
    <x v="1"/>
    <x v="22"/>
    <n v="2"/>
    <m/>
    <n v="127.5"/>
    <n v="22.500000000000004"/>
  </r>
  <r>
    <s v="SBG - Desktop"/>
    <x v="2"/>
    <s v="Bugs"/>
    <s v="DESK-2992"/>
    <s v="DESK-2774&gt; Mobile asian fit result is incorrect"/>
    <s v="Bugs"/>
    <x v="1"/>
    <d v="2016-02-03T15:59:00"/>
    <x v="11"/>
    <x v="1"/>
    <x v="22"/>
    <n v="2"/>
    <m/>
    <n v="127.5"/>
    <n v="22.500000000000004"/>
  </r>
  <r>
    <s v="SBG - Desktop"/>
    <x v="2"/>
    <s v="Bugs"/>
    <s v="DESK-2992"/>
    <s v="DESK-2774&gt; Mobile asian fit result is incorrect"/>
    <s v="Bugs"/>
    <x v="1"/>
    <d v="2016-02-04T16:59:00"/>
    <x v="11"/>
    <x v="1"/>
    <x v="22"/>
    <n v="1"/>
    <m/>
    <n v="127.5"/>
    <n v="22.500000000000004"/>
  </r>
  <r>
    <s v="SBG - Desktop"/>
    <x v="2"/>
    <s v="Task"/>
    <s v="DESK-2993"/>
    <s v="Redirect m.visiondirecta.com.ar to m.smartbuyglasses.com.ar"/>
    <s v="Task"/>
    <x v="0"/>
    <d v="2016-03-02T16:33:00"/>
    <x v="7"/>
    <x v="1"/>
    <x v="2"/>
    <n v="1"/>
    <m/>
    <n v="156.4"/>
    <n v="27.600000000000005"/>
  </r>
  <r>
    <s v="SBG - Desktop"/>
    <x v="2"/>
    <s v="Task"/>
    <s v="DESK-2993"/>
    <s v="Redirect m.visiondirecta.com.ar to m.smartbuyglasses.com.ar"/>
    <s v="Task"/>
    <x v="0"/>
    <d v="2016-03-02T16:56:00"/>
    <x v="7"/>
    <x v="1"/>
    <x v="2"/>
    <n v="2"/>
    <m/>
    <n v="156.4"/>
    <n v="27.600000000000005"/>
  </r>
  <r>
    <s v="SBG - Desktop"/>
    <x v="2"/>
    <s v="Task"/>
    <s v="DESK-2993"/>
    <s v="Redirect m.visiondirecta.com.ar to m.smartbuyglasses.com.ar"/>
    <s v="Task"/>
    <x v="0"/>
    <d v="2016-03-09T17:23:00"/>
    <x v="7"/>
    <x v="1"/>
    <x v="2"/>
    <n v="2"/>
    <m/>
    <n v="156.4"/>
    <n v="27.600000000000005"/>
  </r>
  <r>
    <s v="SBG - Desktop"/>
    <x v="1"/>
    <s v="Task"/>
    <s v="DESK-2993"/>
    <s v="Redirect m.visiondirecta.com.ar to m.smartbuyglasses.com.ar"/>
    <s v="Task"/>
    <x v="0"/>
    <d v="2016-03-09T18:28:00"/>
    <x v="7"/>
    <x v="1"/>
    <x v="23"/>
    <n v="2"/>
    <m/>
    <n v="156.4"/>
    <n v="27.600000000000005"/>
  </r>
  <r>
    <s v="SBG - Desktop"/>
    <x v="1"/>
    <s v="Task"/>
    <s v="DESK-2993"/>
    <s v="Redirect m.visiondirecta.com.ar to m.smartbuyglasses.com.ar"/>
    <s v="Task"/>
    <x v="0"/>
    <d v="2016-03-14T16:47:00"/>
    <x v="7"/>
    <x v="1"/>
    <x v="23"/>
    <n v="1"/>
    <m/>
    <n v="156.4"/>
    <n v="27.600000000000005"/>
  </r>
  <r>
    <s v="SBG - Desktop"/>
    <x v="2"/>
    <s v="Task"/>
    <s v="DESK-2993"/>
    <s v="Redirect m.visiondirecta.com.ar to m.smartbuyglasses.com.ar"/>
    <s v="Task"/>
    <x v="0"/>
    <d v="2016-03-16T15:11:00"/>
    <x v="7"/>
    <x v="1"/>
    <x v="2"/>
    <n v="2"/>
    <m/>
    <n v="156.4"/>
    <n v="27.600000000000005"/>
  </r>
  <r>
    <s v="SBG - Desktop"/>
    <x v="2"/>
    <s v="New Feature"/>
    <s v="DESK-2999"/>
    <s v="Convert currency in USD for Global GA property"/>
    <s v="New Feature"/>
    <x v="0"/>
    <d v="2016-03-30T12:52:00"/>
    <x v="7"/>
    <x v="1"/>
    <x v="10"/>
    <n v="8"/>
    <m/>
    <n v="156.4"/>
    <n v="27.600000000000005"/>
  </r>
  <r>
    <s v="SBG - Desktop"/>
    <x v="2"/>
    <s v="New Feature"/>
    <s v="DESK-2999"/>
    <s v="Convert currency in USD for Global GA property"/>
    <s v="New Feature"/>
    <x v="0"/>
    <d v="2016-03-31T12:47:00"/>
    <x v="7"/>
    <x v="1"/>
    <x v="10"/>
    <n v="8"/>
    <m/>
    <n v="156.4"/>
    <n v="27.600000000000005"/>
  </r>
  <r>
    <s v="SBG - Desktop"/>
    <x v="2"/>
    <s v="Bug"/>
    <s v="DESK-3000"/>
    <s v="order collect java improvement"/>
    <s v="Bug"/>
    <x v="1"/>
    <d v="2016-02-23T18:28:00"/>
    <x v="11"/>
    <x v="1"/>
    <x v="2"/>
    <n v="6"/>
    <m/>
    <n v="127.5"/>
    <n v="22.500000000000004"/>
  </r>
  <r>
    <s v="SBG - Desktop"/>
    <x v="2"/>
    <s v="Bug"/>
    <s v="DESK-3000"/>
    <s v="order collect java improvement"/>
    <s v="Bug"/>
    <x v="1"/>
    <d v="2016-02-24T17:04:00"/>
    <x v="11"/>
    <x v="1"/>
    <x v="2"/>
    <n v="8"/>
    <m/>
    <n v="127.5"/>
    <n v="22.500000000000004"/>
  </r>
  <r>
    <s v="SBG - Desktop"/>
    <x v="2"/>
    <s v="Bug"/>
    <s v="DESK-3000"/>
    <s v="order collect java improvement"/>
    <s v="Bug"/>
    <x v="1"/>
    <d v="2016-03-02T15:23:00"/>
    <x v="7"/>
    <x v="1"/>
    <x v="2"/>
    <n v="1"/>
    <m/>
    <n v="156.4"/>
    <n v="27.600000000000005"/>
  </r>
  <r>
    <s v="SBG - Desktop"/>
    <x v="2"/>
    <s v="Bug"/>
    <s v="DESK-3000"/>
    <s v="order collect java improvement"/>
    <s v="Bug"/>
    <x v="1"/>
    <d v="2016-03-03T15:23:00"/>
    <x v="7"/>
    <x v="1"/>
    <x v="2"/>
    <n v="1"/>
    <m/>
    <n v="156.4"/>
    <n v="27.600000000000005"/>
  </r>
  <r>
    <s v="SBG - Desktop"/>
    <x v="2"/>
    <s v="Bug"/>
    <s v="DESK-3000"/>
    <s v="order collect java improvement"/>
    <s v="Bug"/>
    <x v="1"/>
    <d v="2016-03-03T17:24:00"/>
    <x v="7"/>
    <x v="1"/>
    <x v="2"/>
    <n v="4"/>
    <m/>
    <n v="156.4"/>
    <n v="27.600000000000005"/>
  </r>
  <r>
    <s v="SBG - Desktop"/>
    <x v="2"/>
    <s v="Bug"/>
    <s v="DESK-3000"/>
    <s v="order collect java improvement"/>
    <s v="Bug"/>
    <x v="1"/>
    <d v="2016-03-04T15:23:00"/>
    <x v="7"/>
    <x v="1"/>
    <x v="2"/>
    <n v="2"/>
    <m/>
    <n v="156.4"/>
    <n v="27.600000000000005"/>
  </r>
  <r>
    <s v="SBG - Desktop"/>
    <x v="2"/>
    <s v="Bug"/>
    <s v="DESK-3000"/>
    <s v="order collect java improvement"/>
    <s v="Bug"/>
    <x v="1"/>
    <d v="2016-03-04T17:26:00"/>
    <x v="7"/>
    <x v="1"/>
    <x v="2"/>
    <n v="6"/>
    <m/>
    <n v="156.4"/>
    <n v="27.600000000000005"/>
  </r>
  <r>
    <s v="SBG - Desktop"/>
    <x v="2"/>
    <s v="Bug"/>
    <s v="DESK-3000"/>
    <s v="order collect java improvement"/>
    <s v="Bug"/>
    <x v="1"/>
    <d v="2016-03-07T17:25:00"/>
    <x v="7"/>
    <x v="1"/>
    <x v="2"/>
    <n v="7"/>
    <m/>
    <n v="156.4"/>
    <n v="27.600000000000005"/>
  </r>
  <r>
    <s v="SBG - Desktop"/>
    <x v="2"/>
    <s v="Bug"/>
    <s v="DESK-3000"/>
    <s v="order collect java improvement"/>
    <s v="Bug"/>
    <x v="1"/>
    <d v="2016-03-11T15:24:00"/>
    <x v="7"/>
    <x v="1"/>
    <x v="2"/>
    <n v="2"/>
    <m/>
    <n v="156.4"/>
    <n v="27.600000000000005"/>
  </r>
  <r>
    <s v="SBG - Desktop"/>
    <x v="2"/>
    <s v="Bug"/>
    <s v="DESK-3000"/>
    <s v="order collect java improvement"/>
    <s v="Bug"/>
    <x v="1"/>
    <d v="2016-03-17T15:24:00"/>
    <x v="7"/>
    <x v="1"/>
    <x v="2"/>
    <n v="3"/>
    <m/>
    <n v="156.4"/>
    <n v="27.600000000000005"/>
  </r>
  <r>
    <s v="SBG - Desktop"/>
    <x v="1"/>
    <s v="Bug"/>
    <s v="DESK-3000"/>
    <s v="order collect java improvement"/>
    <s v="Bug"/>
    <x v="1"/>
    <d v="2016-03-25T14:00:00"/>
    <x v="7"/>
    <x v="1"/>
    <x v="23"/>
    <n v="2"/>
    <m/>
    <n v="156.4"/>
    <n v="27.600000000000005"/>
  </r>
  <r>
    <s v="SBG - Desktop"/>
    <x v="1"/>
    <s v="Bug"/>
    <s v="DESK-3000"/>
    <s v="order collect java improvement"/>
    <s v="Bug"/>
    <x v="1"/>
    <d v="2016-03-28T15:59:00"/>
    <x v="7"/>
    <x v="1"/>
    <x v="23"/>
    <n v="1"/>
    <m/>
    <n v="156.4"/>
    <n v="27.600000000000005"/>
  </r>
  <r>
    <s v="SBG - Desktop"/>
    <x v="2"/>
    <s v="New Feature"/>
    <s v="DESK-3004"/>
    <s v="Redis implementation on sbg grid page"/>
    <s v="New Feature"/>
    <x v="0"/>
    <d v="2016-02-01T14:25:00"/>
    <x v="11"/>
    <x v="1"/>
    <x v="22"/>
    <n v="8"/>
    <m/>
    <n v="127.5"/>
    <n v="22.500000000000004"/>
  </r>
  <r>
    <s v="SBG - Desktop"/>
    <x v="2"/>
    <s v="New Feature"/>
    <s v="DESK-3004"/>
    <s v="Redis implementation on sbg grid page"/>
    <s v="New Feature"/>
    <x v="0"/>
    <d v="2016-02-02T14:25:00"/>
    <x v="11"/>
    <x v="1"/>
    <x v="22"/>
    <n v="8"/>
    <m/>
    <n v="127.5"/>
    <n v="22.500000000000004"/>
  </r>
  <r>
    <s v="SBG - Desktop"/>
    <x v="2"/>
    <s v="New Feature"/>
    <s v="DESK-3004"/>
    <s v="Redis implementation on sbg grid page"/>
    <s v="New Feature"/>
    <x v="0"/>
    <d v="2016-02-03T14:25:00"/>
    <x v="11"/>
    <x v="1"/>
    <x v="22"/>
    <n v="8"/>
    <m/>
    <n v="127.5"/>
    <n v="22.500000000000004"/>
  </r>
  <r>
    <s v="SBG - Desktop"/>
    <x v="2"/>
    <s v="New Feature"/>
    <s v="DESK-3004"/>
    <s v="Redis implementation on sbg grid page"/>
    <s v="New Feature"/>
    <x v="0"/>
    <d v="2016-02-04T14:26:00"/>
    <x v="11"/>
    <x v="1"/>
    <x v="22"/>
    <n v="8"/>
    <m/>
    <n v="127.5"/>
    <n v="22.500000000000004"/>
  </r>
  <r>
    <s v="SBG - Desktop"/>
    <x v="2"/>
    <s v="New Feature"/>
    <s v="DESK-3004"/>
    <s v="Redis implementation on sbg grid page"/>
    <s v="New Feature"/>
    <x v="0"/>
    <d v="2016-02-05T14:26:00"/>
    <x v="11"/>
    <x v="1"/>
    <x v="22"/>
    <n v="8"/>
    <m/>
    <n v="127.5"/>
    <n v="22.500000000000004"/>
  </r>
  <r>
    <s v="SBG - Desktop"/>
    <x v="2"/>
    <s v="New Feature"/>
    <s v="DESK-3004"/>
    <s v="Redis implementation on sbg grid page"/>
    <s v="New Feature"/>
    <x v="0"/>
    <d v="2016-02-06T14:26:00"/>
    <x v="11"/>
    <x v="1"/>
    <x v="22"/>
    <n v="6"/>
    <m/>
    <n v="127.5"/>
    <n v="22.500000000000004"/>
  </r>
  <r>
    <s v="SBG - Desktop"/>
    <x v="2"/>
    <s v="New Feature"/>
    <s v="DESK-3004"/>
    <s v="Redis implementation on sbg grid page"/>
    <s v="New Feature"/>
    <x v="0"/>
    <d v="2016-02-15T09:57:00"/>
    <x v="11"/>
    <x v="1"/>
    <x v="22"/>
    <n v="8"/>
    <m/>
    <n v="127.5"/>
    <n v="22.500000000000004"/>
  </r>
  <r>
    <s v="SBG - Desktop"/>
    <x v="2"/>
    <s v="New Feature"/>
    <s v="DESK-3004"/>
    <s v="Redis implementation on sbg grid page"/>
    <s v="New Feature"/>
    <x v="0"/>
    <d v="2016-02-16T14:26:00"/>
    <x v="11"/>
    <x v="1"/>
    <x v="22"/>
    <n v="8"/>
    <m/>
    <n v="127.5"/>
    <n v="22.500000000000004"/>
  </r>
  <r>
    <s v="SBG - Desktop"/>
    <x v="2"/>
    <s v="New Feature"/>
    <s v="DESK-3004"/>
    <s v="Redis implementation on sbg grid page"/>
    <s v="New Feature"/>
    <x v="0"/>
    <d v="2016-02-17T14:26:00"/>
    <x v="11"/>
    <x v="1"/>
    <x v="22"/>
    <n v="8"/>
    <m/>
    <n v="127.5"/>
    <n v="22.500000000000004"/>
  </r>
  <r>
    <s v="SBG - Desktop"/>
    <x v="2"/>
    <s v="New Feature"/>
    <s v="DESK-3004"/>
    <s v="Redis implementation on sbg grid page"/>
    <s v="New Feature"/>
    <x v="0"/>
    <d v="2016-02-18T14:27:00"/>
    <x v="11"/>
    <x v="1"/>
    <x v="22"/>
    <n v="8"/>
    <m/>
    <n v="127.5"/>
    <n v="22.500000000000004"/>
  </r>
  <r>
    <s v="SBG - Desktop"/>
    <x v="2"/>
    <s v="New Feature"/>
    <s v="DESK-3004"/>
    <s v="Redis implementation on sbg grid page"/>
    <s v="New Feature"/>
    <x v="0"/>
    <d v="2016-02-19T14:27:00"/>
    <x v="11"/>
    <x v="1"/>
    <x v="22"/>
    <n v="8"/>
    <m/>
    <n v="127.5"/>
    <n v="22.500000000000004"/>
  </r>
  <r>
    <s v="SBG - Desktop"/>
    <x v="2"/>
    <s v="New Feature"/>
    <s v="DESK-3004"/>
    <s v="Redis implementation on sbg grid page"/>
    <s v="New Feature"/>
    <x v="0"/>
    <d v="2016-02-22T14:27:00"/>
    <x v="11"/>
    <x v="1"/>
    <x v="22"/>
    <n v="8"/>
    <m/>
    <n v="127.5"/>
    <n v="22.500000000000004"/>
  </r>
  <r>
    <s v="SBG - Desktop"/>
    <x v="2"/>
    <s v="New Feature"/>
    <s v="DESK-3004"/>
    <s v="Redis implementation on sbg grid page"/>
    <s v="New Feature"/>
    <x v="0"/>
    <d v="2016-02-23T09:55:00"/>
    <x v="11"/>
    <x v="1"/>
    <x v="22"/>
    <n v="8"/>
    <m/>
    <n v="127.5"/>
    <n v="22.500000000000004"/>
  </r>
  <r>
    <s v="SBG - Desktop"/>
    <x v="2"/>
    <s v="New Feature"/>
    <s v="DESK-3004"/>
    <s v="Redis implementation on sbg grid page"/>
    <s v="New Feature"/>
    <x v="0"/>
    <d v="2016-02-23T14:24:00"/>
    <x v="11"/>
    <x v="1"/>
    <x v="31"/>
    <n v="65"/>
    <m/>
    <n v="127.5"/>
    <n v="22.500000000000004"/>
  </r>
  <r>
    <s v="SBG - Desktop"/>
    <x v="2"/>
    <s v="New Feature"/>
    <s v="DESK-3004"/>
    <s v="Redis implementation on sbg grid page"/>
    <s v="New Feature"/>
    <x v="0"/>
    <d v="2016-02-24T09:55:00"/>
    <x v="11"/>
    <x v="1"/>
    <x v="22"/>
    <n v="8"/>
    <m/>
    <n v="127.5"/>
    <n v="22.500000000000004"/>
  </r>
  <r>
    <s v="SBG - Desktop"/>
    <x v="2"/>
    <s v="New Feature"/>
    <s v="DESK-3004"/>
    <s v="Redis implementation on sbg grid page"/>
    <s v="New Feature"/>
    <x v="0"/>
    <d v="2016-02-25T12:26:00"/>
    <x v="11"/>
    <x v="1"/>
    <x v="22"/>
    <n v="5.5"/>
    <m/>
    <n v="127.5"/>
    <n v="22.500000000000004"/>
  </r>
  <r>
    <s v="SBG - Desktop"/>
    <x v="2"/>
    <s v="New Feature"/>
    <s v="DESK-3004"/>
    <s v="Redis implementation on sbg grid page"/>
    <s v="New Feature"/>
    <x v="0"/>
    <d v="2016-02-26T09:55:00"/>
    <x v="11"/>
    <x v="1"/>
    <x v="22"/>
    <n v="8"/>
    <m/>
    <n v="127.5"/>
    <n v="22.500000000000004"/>
  </r>
  <r>
    <s v="SBG - Desktop"/>
    <x v="2"/>
    <s v="New Feature"/>
    <s v="DESK-3004"/>
    <s v="Redis implementation on sbg grid page"/>
    <s v="New Feature"/>
    <x v="0"/>
    <d v="2016-02-29T09:56:00"/>
    <x v="11"/>
    <x v="1"/>
    <x v="22"/>
    <n v="8"/>
    <m/>
    <n v="127.5"/>
    <n v="22.500000000000004"/>
  </r>
  <r>
    <s v="SBG - Desktop"/>
    <x v="1"/>
    <s v="New Feature"/>
    <s v="DESK-3004"/>
    <s v="Redis implementation on sbg grid page"/>
    <s v="New Feature"/>
    <x v="0"/>
    <d v="2016-03-02T15:23:00"/>
    <x v="7"/>
    <x v="1"/>
    <x v="21"/>
    <n v="8"/>
    <m/>
    <n v="156.4"/>
    <n v="27.600000000000005"/>
  </r>
  <r>
    <s v="SBG - Desktop"/>
    <x v="1"/>
    <s v="New Feature"/>
    <s v="DESK-3004"/>
    <s v="Redis implementation on sbg grid page"/>
    <s v="New Feature"/>
    <x v="0"/>
    <d v="2016-03-03T09:46:00"/>
    <x v="7"/>
    <x v="1"/>
    <x v="21"/>
    <n v="5"/>
    <m/>
    <n v="156.4"/>
    <n v="27.600000000000005"/>
  </r>
  <r>
    <s v="SBG - Desktop"/>
    <x v="1"/>
    <s v="New Feature"/>
    <s v="DESK-3004"/>
    <s v="Redis implementation on sbg grid page"/>
    <s v="New Feature"/>
    <x v="0"/>
    <d v="2016-03-04T18:38:00"/>
    <x v="7"/>
    <x v="1"/>
    <x v="21"/>
    <n v="8"/>
    <m/>
    <n v="156.4"/>
    <n v="27.600000000000005"/>
  </r>
  <r>
    <s v="SBG - Desktop"/>
    <x v="1"/>
    <s v="New Feature"/>
    <s v="DESK-3004"/>
    <s v="Redis implementation on sbg grid page"/>
    <s v="New Feature"/>
    <x v="0"/>
    <d v="2016-03-07T18:58:00"/>
    <x v="7"/>
    <x v="1"/>
    <x v="21"/>
    <n v="8"/>
    <m/>
    <n v="156.4"/>
    <n v="27.600000000000005"/>
  </r>
  <r>
    <s v="SBG - Desktop"/>
    <x v="1"/>
    <s v="New Feature"/>
    <s v="DESK-3004"/>
    <s v="Redis implementation on sbg grid page"/>
    <s v="New Feature"/>
    <x v="0"/>
    <d v="2016-03-08T18:57:00"/>
    <x v="7"/>
    <x v="1"/>
    <x v="21"/>
    <n v="1"/>
    <m/>
    <n v="156.4"/>
    <n v="27.600000000000005"/>
  </r>
  <r>
    <s v="SBG - Desktop"/>
    <x v="1"/>
    <s v="New Feature"/>
    <s v="DESK-3004"/>
    <s v="Redis implementation on sbg grid page"/>
    <s v="New Feature"/>
    <x v="0"/>
    <d v="2016-03-08T18:57:00"/>
    <x v="7"/>
    <x v="1"/>
    <x v="21"/>
    <n v="8"/>
    <m/>
    <n v="156.4"/>
    <n v="27.600000000000005"/>
  </r>
  <r>
    <s v="SBG - Desktop"/>
    <x v="2"/>
    <s v="New Feature"/>
    <s v="DESK-3004"/>
    <s v="Redis implementation on sbg grid page"/>
    <s v="New Feature"/>
    <x v="0"/>
    <d v="2016-03-09T17:44:00"/>
    <x v="7"/>
    <x v="1"/>
    <x v="31"/>
    <n v="32"/>
    <m/>
    <n v="156.4"/>
    <n v="27.600000000000005"/>
  </r>
  <r>
    <s v="SBG - Desktop"/>
    <x v="2"/>
    <s v="New Feature"/>
    <s v="DESK-3004"/>
    <s v="Redis implementation on sbg grid page"/>
    <s v="New Feature"/>
    <x v="0"/>
    <d v="2016-03-09T17:46:00"/>
    <x v="7"/>
    <x v="1"/>
    <x v="31"/>
    <n v="29"/>
    <m/>
    <n v="156.4"/>
    <n v="27.600000000000005"/>
  </r>
  <r>
    <s v="SBG - Desktop"/>
    <x v="1"/>
    <s v="New Feature"/>
    <s v="DESK-3004"/>
    <s v="Redis implementation on sbg grid page"/>
    <s v="New Feature"/>
    <x v="0"/>
    <d v="2016-03-09T18:20:00"/>
    <x v="7"/>
    <x v="1"/>
    <x v="21"/>
    <n v="2"/>
    <m/>
    <n v="156.4"/>
    <n v="27.600000000000005"/>
  </r>
  <r>
    <s v="SBG - Desktop"/>
    <x v="1"/>
    <s v="New Feature"/>
    <s v="DESK-3004"/>
    <s v="Redis implementation on sbg grid page"/>
    <s v="New Feature"/>
    <x v="0"/>
    <d v="2016-03-10T15:13:00"/>
    <x v="7"/>
    <x v="1"/>
    <x v="21"/>
    <n v="3"/>
    <m/>
    <n v="156.4"/>
    <n v="27.600000000000005"/>
  </r>
  <r>
    <s v="SBG - Desktop"/>
    <x v="2"/>
    <s v="New Feature"/>
    <s v="DESK-3004"/>
    <s v="Redis implementation on sbg grid page"/>
    <s v="New Feature"/>
    <x v="0"/>
    <d v="2016-03-10T18:30:00"/>
    <x v="7"/>
    <x v="1"/>
    <x v="31"/>
    <n v="8"/>
    <m/>
    <n v="156.4"/>
    <n v="27.600000000000005"/>
  </r>
  <r>
    <s v="SBG - Desktop"/>
    <x v="2"/>
    <s v="New Feature"/>
    <s v="DESK-3004"/>
    <s v="Redis implementation on sbg grid page"/>
    <s v="New Feature"/>
    <x v="0"/>
    <d v="2016-03-11T18:33:00"/>
    <x v="7"/>
    <x v="1"/>
    <x v="31"/>
    <n v="8"/>
    <m/>
    <n v="156.4"/>
    <n v="27.600000000000005"/>
  </r>
  <r>
    <s v="SBG - Desktop"/>
    <x v="2"/>
    <s v="New Feature"/>
    <s v="DESK-3004"/>
    <s v="Redis implementation on sbg grid page"/>
    <s v="New Feature"/>
    <x v="0"/>
    <d v="2016-03-14T18:37:00"/>
    <x v="7"/>
    <x v="1"/>
    <x v="31"/>
    <n v="8"/>
    <m/>
    <n v="156.4"/>
    <n v="27.600000000000005"/>
  </r>
  <r>
    <s v="SBG - Desktop"/>
    <x v="2"/>
    <s v="New Feature"/>
    <s v="DESK-3004"/>
    <s v="Redis implementation on sbg grid page"/>
    <s v="New Feature"/>
    <x v="0"/>
    <d v="2016-03-15T18:37:00"/>
    <x v="7"/>
    <x v="1"/>
    <x v="31"/>
    <n v="8"/>
    <m/>
    <n v="156.4"/>
    <n v="27.600000000000005"/>
  </r>
  <r>
    <s v="SBG - Desktop"/>
    <x v="2"/>
    <s v="New Feature"/>
    <s v="DESK-3004"/>
    <s v="Redis implementation on sbg grid page"/>
    <s v="New Feature"/>
    <x v="0"/>
    <d v="2016-03-16T18:37:00"/>
    <x v="7"/>
    <x v="1"/>
    <x v="31"/>
    <n v="8"/>
    <m/>
    <n v="156.4"/>
    <n v="27.600000000000005"/>
  </r>
  <r>
    <s v="SBG - Desktop"/>
    <x v="2"/>
    <s v="New Feature"/>
    <s v="DESK-3004"/>
    <s v="Redis implementation on sbg grid page"/>
    <s v="New Feature"/>
    <x v="0"/>
    <d v="2016-03-17T18:37:00"/>
    <x v="7"/>
    <x v="1"/>
    <x v="31"/>
    <n v="8"/>
    <m/>
    <n v="156.4"/>
    <n v="27.600000000000005"/>
  </r>
  <r>
    <s v="SBG - Desktop"/>
    <x v="1"/>
    <s v="Task"/>
    <s v="DESK-3009"/>
    <s v="Valentine's Day Campaign Top Bar"/>
    <s v="Task"/>
    <x v="0"/>
    <d v="2016-02-01T15:32:00"/>
    <x v="11"/>
    <x v="1"/>
    <x v="30"/>
    <n v="4"/>
    <m/>
    <n v="127.5"/>
    <n v="22.500000000000004"/>
  </r>
  <r>
    <s v="SBG - Desktop"/>
    <x v="2"/>
    <s v="Task"/>
    <s v="DESK-3009"/>
    <s v="Valentine's Day Campaign Top Bar"/>
    <s v="Task"/>
    <x v="0"/>
    <d v="2016-02-01T16:28:00"/>
    <x v="11"/>
    <x v="1"/>
    <x v="10"/>
    <n v="2"/>
    <m/>
    <n v="127.5"/>
    <n v="22.500000000000004"/>
  </r>
  <r>
    <s v="SBG - Desktop"/>
    <x v="2"/>
    <s v="New Feature"/>
    <s v="DESK-3017"/>
    <s v="Shipping Fee - Min. Order Value"/>
    <s v="New Feature"/>
    <x v="0"/>
    <d v="2016-02-03T09:35:00"/>
    <x v="11"/>
    <x v="1"/>
    <x v="10"/>
    <n v="4"/>
    <m/>
    <n v="127.5"/>
    <n v="22.500000000000004"/>
  </r>
  <r>
    <s v="SBG - Desktop"/>
    <x v="2"/>
    <s v="New Feature"/>
    <s v="DESK-3017"/>
    <s v="Shipping Fee - Min. Order Value"/>
    <s v="New Feature"/>
    <x v="0"/>
    <d v="2016-02-16T09:49:00"/>
    <x v="11"/>
    <x v="1"/>
    <x v="10"/>
    <n v="6"/>
    <m/>
    <n v="127.5"/>
    <n v="22.500000000000004"/>
  </r>
  <r>
    <s v="SBG - Desktop"/>
    <x v="1"/>
    <s v="New Feature"/>
    <s v="DESK-3017"/>
    <s v="Shipping Fee - Min. Order Value"/>
    <s v="New Feature"/>
    <x v="0"/>
    <d v="2016-02-18T18:34:00"/>
    <x v="11"/>
    <x v="1"/>
    <x v="8"/>
    <n v="3.5"/>
    <m/>
    <n v="127.5"/>
    <n v="22.500000000000004"/>
  </r>
  <r>
    <s v="SBG - Desktop"/>
    <x v="2"/>
    <s v="New Feature"/>
    <s v="DESK-3017"/>
    <s v="Shipping Fee - Min. Order Value"/>
    <s v="New Feature"/>
    <x v="0"/>
    <d v="2016-02-22T16:50:00"/>
    <x v="11"/>
    <x v="1"/>
    <x v="10"/>
    <n v="4"/>
    <m/>
    <n v="127.5"/>
    <n v="22.500000000000004"/>
  </r>
  <r>
    <s v="SBG - Desktop"/>
    <x v="2"/>
    <s v="New Feature"/>
    <s v="DESK-3017"/>
    <s v="Shipping Fee - Min. Order Value"/>
    <s v="New Feature"/>
    <x v="0"/>
    <d v="2016-02-23T16:26:00"/>
    <x v="11"/>
    <x v="1"/>
    <x v="10"/>
    <n v="2"/>
    <m/>
    <n v="127.5"/>
    <n v="22.500000000000004"/>
  </r>
  <r>
    <s v="SBG - Desktop"/>
    <x v="2"/>
    <s v="New Feature"/>
    <s v="DESK-3017"/>
    <s v="Shipping Fee - Min. Order Value"/>
    <s v="New Feature"/>
    <x v="0"/>
    <d v="2016-02-24T08:37:00"/>
    <x v="11"/>
    <x v="1"/>
    <x v="10"/>
    <n v="2"/>
    <m/>
    <n v="127.5"/>
    <n v="22.500000000000004"/>
  </r>
  <r>
    <s v="SBG - Desktop"/>
    <x v="1"/>
    <s v="New Feature"/>
    <s v="DESK-3017"/>
    <s v="Shipping Fee - Min. Order Value"/>
    <s v="New Feature"/>
    <x v="0"/>
    <d v="2016-02-24T18:29:00"/>
    <x v="11"/>
    <x v="1"/>
    <x v="8"/>
    <n v="2"/>
    <m/>
    <n v="127.5"/>
    <n v="22.500000000000004"/>
  </r>
  <r>
    <s v="SBG - Desktop"/>
    <x v="2"/>
    <s v="New Feature"/>
    <s v="DESK-3017"/>
    <s v="Shipping Fee - Min. Order Value"/>
    <s v="New Feature"/>
    <x v="0"/>
    <d v="2016-02-25T16:26:00"/>
    <x v="11"/>
    <x v="1"/>
    <x v="10"/>
    <n v="2"/>
    <m/>
    <n v="127.5"/>
    <n v="22.500000000000004"/>
  </r>
  <r>
    <s v="SBG - Desktop"/>
    <x v="1"/>
    <s v="New Feature"/>
    <s v="DESK-3017"/>
    <s v="Shipping Fee - Min. Order Value"/>
    <s v="New Feature"/>
    <x v="0"/>
    <d v="2016-02-25T18:24:00"/>
    <x v="11"/>
    <x v="1"/>
    <x v="23"/>
    <n v="2"/>
    <m/>
    <n v="127.5"/>
    <n v="22.500000000000004"/>
  </r>
  <r>
    <s v="SBG - Desktop"/>
    <x v="1"/>
    <s v="New Feature"/>
    <s v="DESK-3017"/>
    <s v="Shipping Fee - Min. Order Value"/>
    <s v="New Feature"/>
    <x v="0"/>
    <d v="2016-02-25T18:32:00"/>
    <x v="11"/>
    <x v="1"/>
    <x v="8"/>
    <n v="3.5"/>
    <m/>
    <n v="127.5"/>
    <n v="22.500000000000004"/>
  </r>
  <r>
    <s v="SBG - Desktop"/>
    <x v="1"/>
    <s v="New Feature"/>
    <s v="DESK-3017"/>
    <s v="Shipping Fee - Min. Order Value"/>
    <s v="New Feature"/>
    <x v="0"/>
    <d v="2016-02-26T18:46:00"/>
    <x v="11"/>
    <x v="1"/>
    <x v="8"/>
    <n v="5"/>
    <m/>
    <n v="127.5"/>
    <n v="22.500000000000004"/>
  </r>
  <r>
    <s v="SBG - Desktop"/>
    <x v="1"/>
    <s v="New Feature"/>
    <s v="DESK-3017"/>
    <s v="Shipping Fee - Min. Order Value"/>
    <s v="New Feature"/>
    <x v="0"/>
    <d v="2016-02-29T17:51:00"/>
    <x v="11"/>
    <x v="1"/>
    <x v="8"/>
    <n v="2"/>
    <m/>
    <n v="127.5"/>
    <n v="22.500000000000004"/>
  </r>
  <r>
    <s v="SBG - Desktop"/>
    <x v="2"/>
    <s v="New Feature"/>
    <s v="DESK-3017"/>
    <s v="Shipping Fee - Min. Order Value"/>
    <s v="New Feature"/>
    <x v="0"/>
    <d v="2016-03-02T17:45:00"/>
    <x v="7"/>
    <x v="1"/>
    <x v="10"/>
    <n v="4"/>
    <m/>
    <n v="156.4"/>
    <n v="27.600000000000005"/>
  </r>
  <r>
    <s v="SBG - Desktop"/>
    <x v="2"/>
    <s v="New Feature"/>
    <s v="DESK-3017"/>
    <s v="Shipping Fee - Min. Order Value"/>
    <s v="New Feature"/>
    <x v="0"/>
    <d v="2016-03-03T18:04:00"/>
    <x v="7"/>
    <x v="1"/>
    <x v="10"/>
    <n v="2"/>
    <m/>
    <n v="156.4"/>
    <n v="27.600000000000005"/>
  </r>
  <r>
    <s v="SBG - Desktop"/>
    <x v="1"/>
    <s v="New Feature"/>
    <s v="DESK-3017"/>
    <s v="Shipping Fee - Min. Order Value"/>
    <s v="New Feature"/>
    <x v="0"/>
    <d v="2016-03-03T18:31:00"/>
    <x v="7"/>
    <x v="1"/>
    <x v="23"/>
    <n v="8"/>
    <m/>
    <n v="156.4"/>
    <n v="27.600000000000005"/>
  </r>
  <r>
    <s v="SBG - Desktop"/>
    <x v="1"/>
    <s v="New Feature"/>
    <s v="DESK-3017"/>
    <s v="Shipping Fee - Min. Order Value"/>
    <s v="New Feature"/>
    <x v="0"/>
    <d v="2016-03-03T18:36:00"/>
    <x v="7"/>
    <x v="1"/>
    <x v="8"/>
    <n v="2"/>
    <m/>
    <n v="156.4"/>
    <n v="27.600000000000005"/>
  </r>
  <r>
    <s v="SBG - Desktop"/>
    <x v="1"/>
    <s v="New Feature"/>
    <s v="DESK-3017"/>
    <s v="Shipping Fee - Min. Order Value"/>
    <s v="New Feature"/>
    <x v="0"/>
    <d v="2016-03-04T18:29:00"/>
    <x v="7"/>
    <x v="1"/>
    <x v="23"/>
    <n v="3"/>
    <m/>
    <n v="156.4"/>
    <n v="27.600000000000005"/>
  </r>
  <r>
    <s v="SBG - Desktop"/>
    <x v="1"/>
    <s v="New Feature"/>
    <s v="DESK-3017"/>
    <s v="Shipping Fee - Min. Order Value"/>
    <s v="New Feature"/>
    <x v="0"/>
    <d v="2016-03-04T18:31:00"/>
    <x v="7"/>
    <x v="1"/>
    <x v="8"/>
    <n v="2"/>
    <m/>
    <n v="156.4"/>
    <n v="27.600000000000005"/>
  </r>
  <r>
    <s v="SBG - Desktop"/>
    <x v="2"/>
    <s v="New Feature"/>
    <s v="DESK-3017"/>
    <s v="Shipping Fee - Min. Order Value"/>
    <s v="New Feature"/>
    <x v="0"/>
    <d v="2016-03-07T17:47:00"/>
    <x v="7"/>
    <x v="1"/>
    <x v="10"/>
    <n v="4"/>
    <m/>
    <n v="156.4"/>
    <n v="27.600000000000005"/>
  </r>
  <r>
    <s v="SBG - Desktop"/>
    <x v="1"/>
    <s v="New Feature"/>
    <s v="DESK-3017"/>
    <s v="Shipping Fee - Min. Order Value"/>
    <s v="New Feature"/>
    <x v="0"/>
    <d v="2016-03-07T19:16:00"/>
    <x v="7"/>
    <x v="1"/>
    <x v="8"/>
    <n v="3"/>
    <m/>
    <n v="156.4"/>
    <n v="27.600000000000005"/>
  </r>
  <r>
    <s v="SBG - Desktop"/>
    <x v="1"/>
    <s v="New Feature"/>
    <s v="DESK-3017"/>
    <s v="Shipping Fee - Min. Order Value"/>
    <s v="New Feature"/>
    <x v="0"/>
    <d v="2016-03-08T16:45:00"/>
    <x v="7"/>
    <x v="1"/>
    <x v="8"/>
    <n v="2"/>
    <m/>
    <n v="156.4"/>
    <n v="27.600000000000005"/>
  </r>
  <r>
    <s v="SBG - Desktop"/>
    <x v="2"/>
    <s v="Technical task"/>
    <s v="DESK-3023"/>
    <s v="DESK-2595&gt; UA analytics on US domain"/>
    <s v="Technical task"/>
    <x v="0"/>
    <d v="2016-02-01T09:37:00"/>
    <x v="11"/>
    <x v="1"/>
    <x v="10"/>
    <n v="4"/>
    <m/>
    <n v="127.5"/>
    <n v="22.500000000000004"/>
  </r>
  <r>
    <s v="SBG - Desktop"/>
    <x v="2"/>
    <s v="Technical task"/>
    <s v="DESK-3023"/>
    <s v="DESK-2595&gt; UA analytics on US domain"/>
    <s v="Technical task"/>
    <x v="0"/>
    <d v="2016-02-05T11:46:00"/>
    <x v="11"/>
    <x v="1"/>
    <x v="10"/>
    <n v="7"/>
    <m/>
    <n v="127.5"/>
    <n v="22.500000000000004"/>
  </r>
  <r>
    <s v="SBG - Desktop"/>
    <x v="2"/>
    <s v="Technical task"/>
    <s v="DESK-3023"/>
    <s v="DESK-2595&gt; UA analytics on US domain"/>
    <s v="Technical task"/>
    <x v="0"/>
    <d v="2016-02-10T10:46:00"/>
    <x v="11"/>
    <x v="1"/>
    <x v="10"/>
    <n v="4"/>
    <m/>
    <n v="127.5"/>
    <n v="22.500000000000004"/>
  </r>
  <r>
    <s v="SBG - Desktop"/>
    <x v="2"/>
    <s v="Technical task"/>
    <s v="DESK-3023"/>
    <s v="DESK-2595&gt; UA analytics on US domain"/>
    <s v="Technical task"/>
    <x v="0"/>
    <d v="2016-02-11T10:46:00"/>
    <x v="11"/>
    <x v="1"/>
    <x v="10"/>
    <n v="8"/>
    <m/>
    <n v="127.5"/>
    <n v="22.500000000000004"/>
  </r>
  <r>
    <s v="SBG - Desktop"/>
    <x v="2"/>
    <s v="Technical task"/>
    <s v="DESK-3023"/>
    <s v="DESK-2595&gt; UA analytics on US domain"/>
    <s v="Technical task"/>
    <x v="0"/>
    <d v="2016-02-12T10:45:00"/>
    <x v="11"/>
    <x v="1"/>
    <x v="10"/>
    <n v="4"/>
    <m/>
    <n v="127.5"/>
    <n v="22.500000000000004"/>
  </r>
  <r>
    <s v="SBG - Desktop"/>
    <x v="2"/>
    <s v="Technical task"/>
    <s v="DESK-3023"/>
    <s v="DESK-2595&gt; UA analytics on US domain"/>
    <s v="Technical task"/>
    <x v="0"/>
    <d v="2016-02-17T16:49:00"/>
    <x v="11"/>
    <x v="1"/>
    <x v="10"/>
    <n v="8"/>
    <m/>
    <n v="127.5"/>
    <n v="22.500000000000004"/>
  </r>
  <r>
    <s v="SBG - Desktop"/>
    <x v="2"/>
    <s v="Technical task"/>
    <s v="DESK-3023"/>
    <s v="DESK-2595&gt; UA analytics on US domain"/>
    <s v="Technical task"/>
    <x v="0"/>
    <d v="2016-02-19T16:50:00"/>
    <x v="11"/>
    <x v="1"/>
    <x v="10"/>
    <n v="8"/>
    <m/>
    <n v="127.5"/>
    <n v="22.500000000000004"/>
  </r>
  <r>
    <s v="SBG - Desktop"/>
    <x v="2"/>
    <s v="Technical task"/>
    <s v="DESK-3023"/>
    <s v="DESK-2595&gt; UA analytics on US domain"/>
    <s v="Technical task"/>
    <x v="0"/>
    <d v="2016-02-24T17:09:00"/>
    <x v="11"/>
    <x v="1"/>
    <x v="10"/>
    <n v="4"/>
    <m/>
    <n v="127.5"/>
    <n v="22.500000000000004"/>
  </r>
  <r>
    <s v="SBG - Desktop"/>
    <x v="2"/>
    <s v="Technical task"/>
    <s v="DESK-3023"/>
    <s v="DESK-2595&gt; UA analytics on US domain"/>
    <s v="Technical task"/>
    <x v="0"/>
    <d v="2016-02-25T16:49:00"/>
    <x v="11"/>
    <x v="1"/>
    <x v="10"/>
    <n v="4"/>
    <m/>
    <n v="127.5"/>
    <n v="22.500000000000004"/>
  </r>
  <r>
    <s v="SBG - Desktop"/>
    <x v="2"/>
    <s v="Technical task"/>
    <s v="DESK-3023"/>
    <s v="DESK-2595&gt; UA analytics on US domain"/>
    <s v="Technical task"/>
    <x v="0"/>
    <d v="2016-03-02T17:45:00"/>
    <x v="7"/>
    <x v="1"/>
    <x v="10"/>
    <n v="4"/>
    <m/>
    <n v="156.4"/>
    <n v="27.600000000000005"/>
  </r>
  <r>
    <s v="SBG - Desktop"/>
    <x v="2"/>
    <s v="Technical task"/>
    <s v="DESK-3023"/>
    <s v="DESK-2595&gt; UA analytics on US domain"/>
    <s v="Technical task"/>
    <x v="0"/>
    <d v="2016-03-03T18:04:00"/>
    <x v="7"/>
    <x v="1"/>
    <x v="10"/>
    <n v="2"/>
    <m/>
    <n v="156.4"/>
    <n v="27.600000000000005"/>
  </r>
  <r>
    <s v="SBG - Desktop"/>
    <x v="2"/>
    <s v="Technical task"/>
    <s v="DESK-3023"/>
    <s v="DESK-2595&gt; UA analytics on US domain"/>
    <s v="Technical task"/>
    <x v="0"/>
    <d v="2016-03-04T17:46:00"/>
    <x v="7"/>
    <x v="1"/>
    <x v="10"/>
    <n v="8"/>
    <m/>
    <n v="156.4"/>
    <n v="27.600000000000005"/>
  </r>
  <r>
    <s v="SBG - Desktop"/>
    <x v="2"/>
    <s v="New Feature"/>
    <s v="DESK-3024"/>
    <s v="Rocketfuel Tracking Pixel UK"/>
    <s v="New Feature"/>
    <x v="0"/>
    <d v="2016-02-01T16:39:00"/>
    <x v="11"/>
    <x v="1"/>
    <x v="29"/>
    <n v="2"/>
    <m/>
    <n v="127.5"/>
    <n v="22.500000000000004"/>
  </r>
  <r>
    <s v="SBG - Desktop"/>
    <x v="1"/>
    <s v="New Feature"/>
    <s v="DESK-3024"/>
    <s v="Rocketfuel Tracking Pixel UK"/>
    <s v="New Feature"/>
    <x v="0"/>
    <d v="2016-02-03T12:17:00"/>
    <x v="11"/>
    <x v="1"/>
    <x v="30"/>
    <n v="1"/>
    <m/>
    <n v="127.5"/>
    <n v="22.500000000000004"/>
  </r>
  <r>
    <s v="SBG - Desktop"/>
    <x v="1"/>
    <s v="New Feature"/>
    <s v="DESK-3024"/>
    <s v="Rocketfuel Tracking Pixel UK"/>
    <s v="New Feature"/>
    <x v="0"/>
    <d v="2016-02-05T10:11:00"/>
    <x v="11"/>
    <x v="1"/>
    <x v="30"/>
    <n v="3"/>
    <m/>
    <n v="127.5"/>
    <n v="22.500000000000004"/>
  </r>
  <r>
    <s v="SBG - Desktop"/>
    <x v="1"/>
    <s v="New Feature"/>
    <s v="DESK-3024"/>
    <s v="Rocketfuel Tracking Pixel UK"/>
    <s v="New Feature"/>
    <x v="0"/>
    <d v="2016-02-15T17:26:00"/>
    <x v="11"/>
    <x v="1"/>
    <x v="30"/>
    <n v="3"/>
    <m/>
    <n v="127.5"/>
    <n v="22.500000000000004"/>
  </r>
  <r>
    <s v="SBG - Desktop"/>
    <x v="1"/>
    <s v="New Feature"/>
    <s v="DESK-3024"/>
    <s v="Rocketfuel Tracking Pixel UK"/>
    <s v="New Feature"/>
    <x v="0"/>
    <d v="2016-02-18T15:11:00"/>
    <x v="11"/>
    <x v="1"/>
    <x v="30"/>
    <n v="4"/>
    <m/>
    <n v="127.5"/>
    <n v="22.500000000000004"/>
  </r>
  <r>
    <s v="SBG - Desktop"/>
    <x v="2"/>
    <s v="New Feature"/>
    <s v="DESK-3025"/>
    <s v="UK - New Google Conversion tracking code"/>
    <s v="New Feature"/>
    <x v="0"/>
    <d v="2016-02-02T09:40:00"/>
    <x v="11"/>
    <x v="1"/>
    <x v="10"/>
    <n v="2"/>
    <m/>
    <n v="127.5"/>
    <n v="22.500000000000004"/>
  </r>
  <r>
    <s v="SBG - Desktop"/>
    <x v="2"/>
    <s v="New Feature"/>
    <s v="DESK-3025"/>
    <s v="UK - New Google Conversion tracking code"/>
    <s v="New Feature"/>
    <x v="0"/>
    <d v="2016-02-08T10:46:00"/>
    <x v="11"/>
    <x v="1"/>
    <x v="10"/>
    <n v="8"/>
    <m/>
    <n v="127.5"/>
    <n v="22.500000000000004"/>
  </r>
  <r>
    <s v="SBG - Desktop"/>
    <x v="2"/>
    <s v="New Feature"/>
    <s v="DESK-3025"/>
    <s v="UK - New Google Conversion tracking code"/>
    <s v="New Feature"/>
    <x v="0"/>
    <d v="2016-02-09T10:46:00"/>
    <x v="11"/>
    <x v="1"/>
    <x v="10"/>
    <n v="8"/>
    <m/>
    <n v="127.5"/>
    <n v="22.500000000000004"/>
  </r>
  <r>
    <s v="SBG - Desktop"/>
    <x v="2"/>
    <s v="New Feature"/>
    <s v="DESK-3025"/>
    <s v="UK - New Google Conversion tracking code"/>
    <s v="New Feature"/>
    <x v="0"/>
    <d v="2016-02-15T09:50:00"/>
    <x v="11"/>
    <x v="1"/>
    <x v="10"/>
    <n v="1"/>
    <m/>
    <n v="127.5"/>
    <n v="22.500000000000004"/>
  </r>
  <r>
    <s v="SBG - Desktop"/>
    <x v="1"/>
    <s v="New Feature"/>
    <s v="DESK-3025"/>
    <s v="UK - New Google Conversion tracking code"/>
    <s v="New Feature"/>
    <x v="0"/>
    <d v="2016-02-18T17:41:00"/>
    <x v="11"/>
    <x v="1"/>
    <x v="26"/>
    <n v="0.1"/>
    <m/>
    <n v="127.5"/>
    <n v="22.500000000000004"/>
  </r>
  <r>
    <s v="SBG - Desktop"/>
    <x v="1"/>
    <s v="New Feature"/>
    <s v="DESK-3025"/>
    <s v="UK - New Google Conversion tracking code"/>
    <s v="New Feature"/>
    <x v="0"/>
    <d v="2016-02-18T17:41:00"/>
    <x v="11"/>
    <x v="1"/>
    <x v="26"/>
    <n v="0.1"/>
    <m/>
    <n v="127.5"/>
    <n v="22.500000000000004"/>
  </r>
  <r>
    <s v="SBG - Desktop"/>
    <x v="1"/>
    <s v="New Feature"/>
    <s v="DESK-3025"/>
    <s v="UK - New Google Conversion tracking code"/>
    <s v="New Feature"/>
    <x v="0"/>
    <d v="2016-02-18T17:43:00"/>
    <x v="11"/>
    <x v="1"/>
    <x v="26"/>
    <n v="0.1"/>
    <m/>
    <n v="127.5"/>
    <n v="22.500000000000004"/>
  </r>
  <r>
    <s v="SBG - Desktop"/>
    <x v="2"/>
    <s v="New Feature"/>
    <s v="DESK-3026"/>
    <s v="Add Tracking Pixel to Desktop &amp; Mobile for MY"/>
    <s v="New Feature"/>
    <x v="0"/>
    <d v="2016-02-15T09:38:00"/>
    <x v="11"/>
    <x v="1"/>
    <x v="10"/>
    <n v="2"/>
    <m/>
    <n v="127.5"/>
    <n v="22.500000000000004"/>
  </r>
  <r>
    <s v="SBG - Desktop"/>
    <x v="1"/>
    <s v="New Feature"/>
    <s v="DESK-3026"/>
    <s v="Add Tracking Pixel to Desktop &amp; Mobile for MY"/>
    <s v="New Feature"/>
    <x v="0"/>
    <d v="2016-02-15T17:25:00"/>
    <x v="11"/>
    <x v="1"/>
    <x v="30"/>
    <n v="1.5"/>
    <m/>
    <n v="127.5"/>
    <n v="22.500000000000004"/>
  </r>
  <r>
    <s v="SBG - Desktop"/>
    <x v="2"/>
    <s v="New Feature"/>
    <s v="DESK-3027"/>
    <s v="Add Effiliation Tracking Code to Mobile Thank-You Page"/>
    <s v="New Feature"/>
    <x v="0"/>
    <d v="2016-02-01T17:06:00"/>
    <x v="11"/>
    <x v="1"/>
    <x v="29"/>
    <n v="2"/>
    <m/>
    <n v="127.5"/>
    <n v="22.500000000000004"/>
  </r>
  <r>
    <s v="SBG - Desktop"/>
    <x v="1"/>
    <s v="New Feature"/>
    <s v="DESK-3027"/>
    <s v="Add Effiliation Tracking Code to Mobile Thank-You Page"/>
    <s v="New Feature"/>
    <x v="0"/>
    <d v="2016-02-03T17:44:00"/>
    <x v="11"/>
    <x v="1"/>
    <x v="30"/>
    <n v="0.5"/>
    <m/>
    <n v="127.5"/>
    <n v="22.500000000000004"/>
  </r>
  <r>
    <s v="SBG - Desktop"/>
    <x v="1"/>
    <s v="New Feature"/>
    <s v="DESK-3027"/>
    <s v="Add Effiliation Tracking Code to Mobile Thank-You Page"/>
    <s v="New Feature"/>
    <x v="0"/>
    <d v="2016-02-04T17:24:00"/>
    <x v="11"/>
    <x v="1"/>
    <x v="30"/>
    <n v="0.5"/>
    <m/>
    <n v="127.5"/>
    <n v="22.500000000000004"/>
  </r>
  <r>
    <s v="SBG - Desktop"/>
    <x v="1"/>
    <s v="New Feature"/>
    <s v="DESK-3027"/>
    <s v="Add Effiliation Tracking Code to Mobile Thank-You Page"/>
    <s v="New Feature"/>
    <x v="0"/>
    <d v="2016-02-19T11:53:00"/>
    <x v="11"/>
    <x v="1"/>
    <x v="30"/>
    <n v="1.5"/>
    <m/>
    <n v="127.5"/>
    <n v="22.500000000000004"/>
  </r>
  <r>
    <s v="SBG - Desktop"/>
    <x v="1"/>
    <s v="New Feature"/>
    <s v="DESK-3027"/>
    <s v="Add Effiliation Tracking Code to Mobile Thank-You Page"/>
    <s v="New Feature"/>
    <x v="0"/>
    <d v="2016-02-19T11:53:00"/>
    <x v="11"/>
    <x v="1"/>
    <x v="30"/>
    <n v="0.5"/>
    <m/>
    <n v="127.5"/>
    <n v="22.500000000000004"/>
  </r>
  <r>
    <s v="SBG - Desktop"/>
    <x v="1"/>
    <s v="New Feature"/>
    <s v="DESK-3027"/>
    <s v="Add Effiliation Tracking Code to Mobile Thank-You Page"/>
    <s v="New Feature"/>
    <x v="0"/>
    <d v="2016-02-22T16:36:00"/>
    <x v="11"/>
    <x v="1"/>
    <x v="30"/>
    <n v="0.5"/>
    <m/>
    <n v="127.5"/>
    <n v="22.500000000000004"/>
  </r>
  <r>
    <s v="SBG - Desktop"/>
    <x v="2"/>
    <s v="New Feature"/>
    <s v="DESK-3028"/>
    <s v="Implement CJ Tracking Pixel on Mobile Thank-You Pages (US, CA, ZA)"/>
    <s v="New Feature"/>
    <x v="0"/>
    <d v="2016-02-02T07:38:00"/>
    <x v="11"/>
    <x v="1"/>
    <x v="10"/>
    <n v="3"/>
    <m/>
    <n v="127.5"/>
    <n v="22.500000000000004"/>
  </r>
  <r>
    <s v="SBG - Desktop"/>
    <x v="1"/>
    <s v="New Feature"/>
    <s v="DESK-3028"/>
    <s v="Implement CJ Tracking Pixel on Mobile Thank-You Pages (US, CA, ZA)"/>
    <s v="New Feature"/>
    <x v="0"/>
    <d v="2016-02-03T15:09:00"/>
    <x v="11"/>
    <x v="1"/>
    <x v="30"/>
    <n v="2"/>
    <m/>
    <n v="127.5"/>
    <n v="22.500000000000004"/>
  </r>
  <r>
    <s v="SBG - Desktop"/>
    <x v="1"/>
    <s v="New Feature"/>
    <s v="DESK-3028"/>
    <s v="Implement CJ Tracking Pixel on Mobile Thank-You Pages (US, CA, ZA)"/>
    <s v="New Feature"/>
    <x v="0"/>
    <d v="2016-02-03T18:06:00"/>
    <x v="11"/>
    <x v="1"/>
    <x v="30"/>
    <n v="1"/>
    <m/>
    <n v="127.5"/>
    <n v="22.500000000000004"/>
  </r>
  <r>
    <s v="SBG - Desktop"/>
    <x v="1"/>
    <s v="New Feature"/>
    <s v="DESK-3028"/>
    <s v="Implement CJ Tracking Pixel on Mobile Thank-You Pages (US, CA, ZA)"/>
    <s v="New Feature"/>
    <x v="0"/>
    <d v="2016-02-15T17:26:00"/>
    <x v="11"/>
    <x v="1"/>
    <x v="30"/>
    <n v="0.5"/>
    <m/>
    <n v="127.5"/>
    <n v="22.500000000000004"/>
  </r>
  <r>
    <s v="SBG - Desktop"/>
    <x v="2"/>
    <s v="Technical task"/>
    <s v="DESK-3029"/>
    <s v="DESK-2595&gt; point the existing GTM tag to GA view for cz domain"/>
    <s v="Technical task"/>
    <x v="0"/>
    <d v="2016-02-01T16:44:00"/>
    <x v="11"/>
    <x v="1"/>
    <x v="10"/>
    <n v="2"/>
    <m/>
    <n v="127.5"/>
    <n v="22.500000000000004"/>
  </r>
  <r>
    <s v="SBG - Desktop"/>
    <x v="2"/>
    <s v="Technical task"/>
    <s v="DESK-3029"/>
    <s v="DESK-2595&gt; point the existing GTM tag to GA view for cz domain"/>
    <s v="Technical task"/>
    <x v="0"/>
    <d v="2016-02-02T09:39:00"/>
    <x v="11"/>
    <x v="1"/>
    <x v="10"/>
    <n v="3"/>
    <m/>
    <n v="127.5"/>
    <n v="22.500000000000004"/>
  </r>
  <r>
    <s v="SBG - Desktop"/>
    <x v="2"/>
    <s v="Task"/>
    <s v="DESK-3031"/>
    <s v="404 page didn't cover all exceptions. please add more scenarios into 404 page"/>
    <s v="Task"/>
    <x v="0"/>
    <d v="2016-02-01T17:15:00"/>
    <x v="11"/>
    <x v="1"/>
    <x v="18"/>
    <n v="8"/>
    <m/>
    <n v="127.5"/>
    <n v="22.500000000000004"/>
  </r>
  <r>
    <s v="SBG - Desktop"/>
    <x v="1"/>
    <s v="Task"/>
    <s v="DESK-3031"/>
    <s v="404 page didn't cover all exceptions. please add more scenarios into 404 page"/>
    <s v="Task"/>
    <x v="0"/>
    <d v="2016-02-04T17:24:00"/>
    <x v="11"/>
    <x v="1"/>
    <x v="30"/>
    <n v="4"/>
    <m/>
    <n v="127.5"/>
    <n v="22.500000000000004"/>
  </r>
  <r>
    <s v="SBG - Desktop"/>
    <x v="1"/>
    <s v="Task"/>
    <s v="DESK-3031"/>
    <s v="404 page didn't cover all exceptions. please add more scenarios into 404 page"/>
    <s v="Task"/>
    <x v="0"/>
    <d v="2016-02-05T10:57:00"/>
    <x v="11"/>
    <x v="1"/>
    <x v="30"/>
    <n v="2"/>
    <m/>
    <n v="127.5"/>
    <n v="22.500000000000004"/>
  </r>
  <r>
    <s v="SBG - Desktop"/>
    <x v="1"/>
    <s v="Task"/>
    <s v="DESK-3036"/>
    <s v="On site Changes for Sightsaver's campaign"/>
    <s v="Task"/>
    <x v="0"/>
    <d v="2016-03-25T14:00:00"/>
    <x v="7"/>
    <x v="1"/>
    <x v="23"/>
    <n v="2"/>
    <m/>
    <n v="156.4"/>
    <n v="27.600000000000005"/>
  </r>
  <r>
    <s v="SBG - Desktop"/>
    <x v="0"/>
    <s v="Task"/>
    <s v="DESK-3036"/>
    <s v="On site Changes for Sightsaver's campaign"/>
    <s v="Task"/>
    <x v="0"/>
    <d v="2016-03-25T16:04:00"/>
    <x v="7"/>
    <x v="1"/>
    <x v="7"/>
    <n v="0.5"/>
    <m/>
    <n v="92"/>
    <n v="92"/>
  </r>
  <r>
    <s v="SBG - Desktop"/>
    <x v="0"/>
    <s v="Task"/>
    <s v="DESK-3036"/>
    <s v="On site Changes for Sightsaver's campaign"/>
    <s v="Task"/>
    <x v="0"/>
    <d v="2016-03-28T11:43:00"/>
    <x v="7"/>
    <x v="1"/>
    <x v="7"/>
    <n v="3"/>
    <m/>
    <n v="92"/>
    <n v="92"/>
  </r>
  <r>
    <s v="SBG - Desktop"/>
    <x v="1"/>
    <s v="Task"/>
    <s v="DESK-3036"/>
    <s v="On site Changes for Sightsaver's campaign"/>
    <s v="Task"/>
    <x v="0"/>
    <d v="2016-03-28T16:00:00"/>
    <x v="7"/>
    <x v="1"/>
    <x v="23"/>
    <n v="1"/>
    <m/>
    <n v="156.4"/>
    <n v="27.600000000000005"/>
  </r>
  <r>
    <s v="SBG - Desktop"/>
    <x v="1"/>
    <s v="Task"/>
    <s v="DESK-3036"/>
    <s v="On site Changes for Sightsaver's campaign"/>
    <s v="Task"/>
    <x v="0"/>
    <d v="2016-03-28T16:03:00"/>
    <x v="7"/>
    <x v="1"/>
    <x v="23"/>
    <n v="2"/>
    <m/>
    <n v="156.4"/>
    <n v="27.600000000000005"/>
  </r>
  <r>
    <s v="SBG - Desktop"/>
    <x v="2"/>
    <s v="Task"/>
    <s v="DESK-3036"/>
    <s v="On site Changes for Sightsaver's campaign"/>
    <s v="Task"/>
    <x v="0"/>
    <d v="2016-03-29T12:51:00"/>
    <x v="7"/>
    <x v="1"/>
    <x v="10"/>
    <n v="8"/>
    <m/>
    <n v="156.4"/>
    <n v="27.600000000000005"/>
  </r>
  <r>
    <s v="SBG - Desktop"/>
    <x v="0"/>
    <s v="New Feature"/>
    <s v="DESK-3037"/>
    <s v="Update CSS for Payment button"/>
    <s v="New Feature"/>
    <x v="0"/>
    <d v="2016-02-15T15:54:00"/>
    <x v="11"/>
    <x v="1"/>
    <x v="19"/>
    <n v="1"/>
    <m/>
    <n v="75"/>
    <n v="75"/>
  </r>
  <r>
    <s v="SBG - Desktop"/>
    <x v="1"/>
    <s v="New Feature"/>
    <s v="DESK-3037"/>
    <s v="Update CSS for Payment button"/>
    <s v="New Feature"/>
    <x v="0"/>
    <d v="2016-02-17T17:56:00"/>
    <x v="11"/>
    <x v="1"/>
    <x v="30"/>
    <n v="4"/>
    <m/>
    <n v="127.5"/>
    <n v="22.500000000000004"/>
  </r>
  <r>
    <s v="SBG - Desktop"/>
    <x v="1"/>
    <s v="New Feature"/>
    <s v="DESK-3044"/>
    <s v="Change current checkout limitation"/>
    <s v="New Feature"/>
    <x v="0"/>
    <d v="2016-03-09T18:28:00"/>
    <x v="7"/>
    <x v="1"/>
    <x v="23"/>
    <n v="1"/>
    <m/>
    <n v="156.4"/>
    <n v="27.600000000000005"/>
  </r>
  <r>
    <s v="SBG - Desktop"/>
    <x v="1"/>
    <s v="New Feature"/>
    <s v="DESK-3044"/>
    <s v="Change current checkout limitation"/>
    <s v="New Feature"/>
    <x v="0"/>
    <d v="2016-03-10T18:03:00"/>
    <x v="7"/>
    <x v="1"/>
    <x v="23"/>
    <n v="2"/>
    <m/>
    <n v="156.4"/>
    <n v="27.600000000000005"/>
  </r>
  <r>
    <s v="SBG - Desktop"/>
    <x v="1"/>
    <s v="New Feature"/>
    <s v="DESK-3044"/>
    <s v="Change current checkout limitation"/>
    <s v="New Feature"/>
    <x v="0"/>
    <d v="2016-03-11T18:35:00"/>
    <x v="7"/>
    <x v="1"/>
    <x v="23"/>
    <n v="1"/>
    <m/>
    <n v="156.4"/>
    <n v="27.600000000000005"/>
  </r>
  <r>
    <s v="SBG - Desktop"/>
    <x v="1"/>
    <s v="New Feature"/>
    <s v="DESK-3044"/>
    <s v="Change current checkout limitation"/>
    <s v="New Feature"/>
    <x v="0"/>
    <d v="2016-03-14T15:47:00"/>
    <x v="7"/>
    <x v="1"/>
    <x v="23"/>
    <n v="2"/>
    <m/>
    <n v="156.4"/>
    <n v="27.600000000000005"/>
  </r>
  <r>
    <s v="SBG - Desktop"/>
    <x v="4"/>
    <s v="New Feature"/>
    <s v="DESK-3045"/>
    <s v="Cart / Checkout 5.0"/>
    <s v="New Feature"/>
    <x v="0"/>
    <d v="2016-02-01T10:40:00"/>
    <x v="11"/>
    <x v="1"/>
    <x v="13"/>
    <n v="4"/>
    <m/>
    <n v="127.5"/>
    <n v="22.500000000000004"/>
  </r>
  <r>
    <s v="SBG - Desktop"/>
    <x v="4"/>
    <s v="New Feature"/>
    <s v="DESK-3045"/>
    <s v="Cart / Checkout 5.0"/>
    <s v="New Feature"/>
    <x v="0"/>
    <d v="2016-02-02T10:40:00"/>
    <x v="11"/>
    <x v="1"/>
    <x v="13"/>
    <n v="4"/>
    <m/>
    <n v="127.5"/>
    <n v="22.500000000000004"/>
  </r>
  <r>
    <s v="SBG - Desktop"/>
    <x v="4"/>
    <s v="New Feature"/>
    <s v="DESK-3045"/>
    <s v="Cart / Checkout 5.0"/>
    <s v="New Feature"/>
    <x v="0"/>
    <d v="2016-02-03T10:40:00"/>
    <x v="11"/>
    <x v="1"/>
    <x v="13"/>
    <n v="4"/>
    <m/>
    <n v="127.5"/>
    <n v="22.500000000000004"/>
  </r>
  <r>
    <s v="SBG - Desktop"/>
    <x v="4"/>
    <s v="New Feature"/>
    <s v="DESK-3045"/>
    <s v="Cart / Checkout 5.0"/>
    <s v="New Feature"/>
    <x v="0"/>
    <d v="2016-02-04T10:40:00"/>
    <x v="11"/>
    <x v="1"/>
    <x v="13"/>
    <n v="4"/>
    <m/>
    <n v="127.5"/>
    <n v="22.500000000000004"/>
  </r>
  <r>
    <s v="SBG - Desktop"/>
    <x v="4"/>
    <s v="New Feature"/>
    <s v="DESK-3045"/>
    <s v="Cart / Checkout 5.0"/>
    <s v="New Feature"/>
    <x v="0"/>
    <d v="2016-02-05T10:49:00"/>
    <x v="11"/>
    <x v="1"/>
    <x v="13"/>
    <n v="4"/>
    <m/>
    <n v="127.5"/>
    <n v="22.500000000000004"/>
  </r>
  <r>
    <s v="SBG - Desktop"/>
    <x v="4"/>
    <s v="New Feature"/>
    <s v="DESK-3045"/>
    <s v="Cart / Checkout 5.0"/>
    <s v="New Feature"/>
    <x v="0"/>
    <d v="2016-02-06T10:40:00"/>
    <x v="11"/>
    <x v="1"/>
    <x v="13"/>
    <n v="4"/>
    <m/>
    <n v="127.5"/>
    <n v="22.500000000000004"/>
  </r>
  <r>
    <s v="SBG - Desktop"/>
    <x v="4"/>
    <s v="New Feature"/>
    <s v="DESK-3045"/>
    <s v="Cart / Checkout 5.0"/>
    <s v="New Feature"/>
    <x v="0"/>
    <d v="2016-02-15T10:49:00"/>
    <x v="11"/>
    <x v="1"/>
    <x v="13"/>
    <n v="4"/>
    <m/>
    <n v="127.5"/>
    <n v="22.500000000000004"/>
  </r>
  <r>
    <s v="SBG - Desktop"/>
    <x v="4"/>
    <s v="New Feature"/>
    <s v="DESK-3045"/>
    <s v="Cart / Checkout 5.0"/>
    <s v="New Feature"/>
    <x v="0"/>
    <d v="2016-02-16T10:49:00"/>
    <x v="11"/>
    <x v="1"/>
    <x v="13"/>
    <n v="4"/>
    <m/>
    <n v="127.5"/>
    <n v="22.500000000000004"/>
  </r>
  <r>
    <s v="SBG - Desktop"/>
    <x v="4"/>
    <s v="New Feature"/>
    <s v="DESK-3045"/>
    <s v="Cart / Checkout 5.0"/>
    <s v="New Feature"/>
    <x v="0"/>
    <d v="2016-02-17T10:49:00"/>
    <x v="11"/>
    <x v="1"/>
    <x v="13"/>
    <n v="4"/>
    <m/>
    <n v="127.5"/>
    <n v="22.500000000000004"/>
  </r>
  <r>
    <s v="SBG - Desktop"/>
    <x v="4"/>
    <s v="New Feature"/>
    <s v="DESK-3045"/>
    <s v="Cart / Checkout 5.0"/>
    <s v="New Feature"/>
    <x v="0"/>
    <d v="2016-02-18T10:49:00"/>
    <x v="11"/>
    <x v="1"/>
    <x v="13"/>
    <n v="4"/>
    <m/>
    <n v="127.5"/>
    <n v="22.500000000000004"/>
  </r>
  <r>
    <s v="SBG - Desktop"/>
    <x v="4"/>
    <s v="New Feature"/>
    <s v="DESK-3045"/>
    <s v="Cart / Checkout 5.0"/>
    <s v="New Feature"/>
    <x v="0"/>
    <d v="2016-02-19T10:49:00"/>
    <x v="11"/>
    <x v="1"/>
    <x v="13"/>
    <n v="4"/>
    <m/>
    <n v="127.5"/>
    <n v="22.500000000000004"/>
  </r>
  <r>
    <s v="SBG - Desktop"/>
    <x v="4"/>
    <s v="New Feature"/>
    <s v="DESK-3045"/>
    <s v="Cart / Checkout 5.0"/>
    <s v="New Feature"/>
    <x v="0"/>
    <d v="2016-02-22T10:49:00"/>
    <x v="11"/>
    <x v="1"/>
    <x v="13"/>
    <n v="4"/>
    <m/>
    <n v="127.5"/>
    <n v="22.500000000000004"/>
  </r>
  <r>
    <s v="SBG - Desktop"/>
    <x v="4"/>
    <s v="New Feature"/>
    <s v="DESK-3045"/>
    <s v="Cart / Checkout 5.0"/>
    <s v="New Feature"/>
    <x v="0"/>
    <d v="2016-02-23T10:49:00"/>
    <x v="11"/>
    <x v="1"/>
    <x v="13"/>
    <n v="4"/>
    <m/>
    <n v="127.5"/>
    <n v="22.500000000000004"/>
  </r>
  <r>
    <s v="SBG - Desktop"/>
    <x v="4"/>
    <s v="New Feature"/>
    <s v="DESK-3045"/>
    <s v="Cart / Checkout 5.0"/>
    <s v="New Feature"/>
    <x v="0"/>
    <d v="2016-02-24T10:49:00"/>
    <x v="11"/>
    <x v="1"/>
    <x v="13"/>
    <n v="4"/>
    <m/>
    <n v="127.5"/>
    <n v="22.500000000000004"/>
  </r>
  <r>
    <s v="SBG - Desktop"/>
    <x v="4"/>
    <s v="New Feature"/>
    <s v="DESK-3045"/>
    <s v="Cart / Checkout 5.0"/>
    <s v="New Feature"/>
    <x v="0"/>
    <d v="2016-02-25T10:49:00"/>
    <x v="11"/>
    <x v="1"/>
    <x v="13"/>
    <n v="4"/>
    <m/>
    <n v="127.5"/>
    <n v="22.500000000000004"/>
  </r>
  <r>
    <s v="SBG - Desktop"/>
    <x v="4"/>
    <s v="New Feature"/>
    <s v="DESK-3045"/>
    <s v="Cart / Checkout 5.0"/>
    <s v="New Feature"/>
    <x v="0"/>
    <d v="2016-02-26T10:49:00"/>
    <x v="11"/>
    <x v="1"/>
    <x v="13"/>
    <n v="4"/>
    <m/>
    <n v="127.5"/>
    <n v="22.500000000000004"/>
  </r>
  <r>
    <s v="SBG - Desktop"/>
    <x v="4"/>
    <s v="New Feature"/>
    <s v="DESK-3045"/>
    <s v="Cart / Checkout 5.0"/>
    <s v="New Feature"/>
    <x v="0"/>
    <d v="2016-02-29T10:49:00"/>
    <x v="11"/>
    <x v="1"/>
    <x v="13"/>
    <n v="4"/>
    <m/>
    <n v="127.5"/>
    <n v="22.500000000000004"/>
  </r>
  <r>
    <s v="SBG - Desktop"/>
    <x v="0"/>
    <s v="New Feature"/>
    <s v="DESK-3045"/>
    <s v="Cart / Checkout 5.0"/>
    <s v="New Feature"/>
    <x v="0"/>
    <d v="2016-03-03T20:24:00"/>
    <x v="7"/>
    <x v="1"/>
    <x v="24"/>
    <n v="4"/>
    <m/>
    <n v="92"/>
    <n v="92"/>
  </r>
  <r>
    <s v="SBG - Desktop"/>
    <x v="0"/>
    <s v="New Feature"/>
    <s v="DESK-3045"/>
    <s v="Cart / Checkout 5.0"/>
    <s v="New Feature"/>
    <x v="0"/>
    <d v="2016-03-04T20:24:00"/>
    <x v="7"/>
    <x v="1"/>
    <x v="24"/>
    <n v="11"/>
    <m/>
    <n v="92"/>
    <n v="92"/>
  </r>
  <r>
    <s v="SBG - Desktop"/>
    <x v="4"/>
    <s v="New Feature"/>
    <s v="DESK-3045"/>
    <s v="Cart / Checkout 5.0"/>
    <s v="New Feature"/>
    <x v="0"/>
    <d v="2016-03-07T12:27:00"/>
    <x v="7"/>
    <x v="1"/>
    <x v="13"/>
    <n v="3"/>
    <m/>
    <n v="156.4"/>
    <n v="27.600000000000005"/>
  </r>
  <r>
    <s v="SBG - Desktop"/>
    <x v="4"/>
    <s v="New Feature"/>
    <s v="DESK-3045"/>
    <s v="Cart / Checkout 5.0"/>
    <s v="New Feature"/>
    <x v="0"/>
    <d v="2016-03-08T12:27:00"/>
    <x v="7"/>
    <x v="1"/>
    <x v="13"/>
    <n v="3"/>
    <m/>
    <n v="156.4"/>
    <n v="27.600000000000005"/>
  </r>
  <r>
    <s v="SBG - Desktop"/>
    <x v="4"/>
    <s v="New Feature"/>
    <s v="DESK-3045"/>
    <s v="Cart / Checkout 5.0"/>
    <s v="New Feature"/>
    <x v="0"/>
    <d v="2016-03-09T12:27:00"/>
    <x v="7"/>
    <x v="1"/>
    <x v="13"/>
    <n v="3"/>
    <m/>
    <n v="156.4"/>
    <n v="27.600000000000005"/>
  </r>
  <r>
    <s v="SBG - Desktop"/>
    <x v="0"/>
    <s v="New Feature"/>
    <s v="DESK-3045"/>
    <s v="Cart / Checkout 5.0"/>
    <s v="New Feature"/>
    <x v="0"/>
    <d v="2016-03-10T10:35:00"/>
    <x v="7"/>
    <x v="1"/>
    <x v="24"/>
    <n v="2"/>
    <m/>
    <n v="92"/>
    <n v="92"/>
  </r>
  <r>
    <s v="SBG - Desktop"/>
    <x v="4"/>
    <s v="New Feature"/>
    <s v="DESK-3045"/>
    <s v="Cart / Checkout 5.0"/>
    <s v="New Feature"/>
    <x v="0"/>
    <d v="2016-03-10T12:27:00"/>
    <x v="7"/>
    <x v="1"/>
    <x v="13"/>
    <n v="3"/>
    <m/>
    <n v="156.4"/>
    <n v="27.600000000000005"/>
  </r>
  <r>
    <s v="SBG - Desktop"/>
    <x v="4"/>
    <s v="New Feature"/>
    <s v="DESK-3045"/>
    <s v="Cart / Checkout 5.0"/>
    <s v="New Feature"/>
    <x v="0"/>
    <d v="2016-03-14T14:31:00"/>
    <x v="7"/>
    <x v="1"/>
    <x v="13"/>
    <n v="1"/>
    <m/>
    <n v="156.4"/>
    <n v="27.600000000000005"/>
  </r>
  <r>
    <s v="SBG - Desktop"/>
    <x v="0"/>
    <s v="New Feature"/>
    <s v="DESK-3045"/>
    <s v="Cart / Checkout 5.0"/>
    <s v="New Feature"/>
    <x v="0"/>
    <d v="2016-03-14T19:37:00"/>
    <x v="7"/>
    <x v="1"/>
    <x v="24"/>
    <n v="11"/>
    <m/>
    <n v="92"/>
    <n v="92"/>
  </r>
  <r>
    <s v="SBG - Desktop"/>
    <x v="0"/>
    <s v="New Feature"/>
    <s v="DESK-3045"/>
    <s v="Cart / Checkout 5.0"/>
    <s v="New Feature"/>
    <x v="0"/>
    <d v="2016-03-15T10:18:00"/>
    <x v="7"/>
    <x v="1"/>
    <x v="24"/>
    <n v="8"/>
    <m/>
    <n v="92"/>
    <n v="92"/>
  </r>
  <r>
    <s v="SBG - Desktop"/>
    <x v="4"/>
    <s v="New Feature"/>
    <s v="DESK-3045"/>
    <s v="Cart / Checkout 5.0"/>
    <s v="New Feature"/>
    <x v="0"/>
    <d v="2016-03-15T14:31:00"/>
    <x v="7"/>
    <x v="1"/>
    <x v="13"/>
    <n v="1"/>
    <m/>
    <n v="156.4"/>
    <n v="27.600000000000005"/>
  </r>
  <r>
    <s v="SBG - Desktop"/>
    <x v="4"/>
    <s v="New Feature"/>
    <s v="DESK-3045"/>
    <s v="Cart / Checkout 5.0"/>
    <s v="New Feature"/>
    <x v="0"/>
    <d v="2016-03-16T14:31:00"/>
    <x v="7"/>
    <x v="1"/>
    <x v="13"/>
    <n v="1"/>
    <m/>
    <n v="156.4"/>
    <n v="27.600000000000005"/>
  </r>
  <r>
    <s v="SBG - Desktop"/>
    <x v="0"/>
    <s v="New Feature"/>
    <s v="DESK-3045"/>
    <s v="Cart / Checkout 5.0"/>
    <s v="New Feature"/>
    <x v="0"/>
    <d v="2016-03-16T15:54:00"/>
    <x v="7"/>
    <x v="1"/>
    <x v="24"/>
    <n v="4"/>
    <m/>
    <n v="92"/>
    <n v="92"/>
  </r>
  <r>
    <s v="SBG - Desktop"/>
    <x v="4"/>
    <s v="New Feature"/>
    <s v="DESK-3045"/>
    <s v="Cart / Checkout 5.0"/>
    <s v="New Feature"/>
    <x v="0"/>
    <d v="2016-03-17T14:31:00"/>
    <x v="7"/>
    <x v="1"/>
    <x v="13"/>
    <n v="1"/>
    <m/>
    <n v="156.4"/>
    <n v="27.600000000000005"/>
  </r>
  <r>
    <s v="SBG - Desktop"/>
    <x v="0"/>
    <s v="New Feature"/>
    <s v="DESK-3045"/>
    <s v="Cart / Checkout 5.0"/>
    <s v="New Feature"/>
    <x v="0"/>
    <d v="2016-03-17T16:41:00"/>
    <x v="7"/>
    <x v="1"/>
    <x v="24"/>
    <n v="2"/>
    <m/>
    <n v="92"/>
    <n v="92"/>
  </r>
  <r>
    <s v="SBG - Desktop"/>
    <x v="4"/>
    <s v="New Feature"/>
    <s v="DESK-3045"/>
    <s v="Cart / Checkout 5.0"/>
    <s v="New Feature"/>
    <x v="0"/>
    <d v="2016-03-18T14:31:00"/>
    <x v="7"/>
    <x v="1"/>
    <x v="13"/>
    <n v="1"/>
    <m/>
    <n v="156.4"/>
    <n v="27.600000000000005"/>
  </r>
  <r>
    <s v="SBG - Desktop"/>
    <x v="0"/>
    <s v="New Feature"/>
    <s v="DESK-3045"/>
    <s v="Cart / Checkout 5.0"/>
    <s v="New Feature"/>
    <x v="0"/>
    <d v="2016-03-21T09:49:00"/>
    <x v="7"/>
    <x v="1"/>
    <x v="24"/>
    <n v="4"/>
    <m/>
    <n v="92"/>
    <n v="92"/>
  </r>
  <r>
    <s v="SBG - Desktop"/>
    <x v="0"/>
    <s v="New Feature"/>
    <s v="DESK-3045"/>
    <s v="Cart / Checkout 5.0"/>
    <s v="New Feature"/>
    <x v="0"/>
    <d v="2016-03-22T09:50:00"/>
    <x v="7"/>
    <x v="1"/>
    <x v="24"/>
    <n v="4"/>
    <m/>
    <n v="92"/>
    <n v="92"/>
  </r>
  <r>
    <s v="SBG - Desktop"/>
    <x v="0"/>
    <s v="New Feature"/>
    <s v="DESK-3045"/>
    <s v="Cart / Checkout 5.0"/>
    <s v="New Feature"/>
    <x v="0"/>
    <d v="2016-03-23T09:50:00"/>
    <x v="7"/>
    <x v="1"/>
    <x v="24"/>
    <n v="4"/>
    <m/>
    <n v="92"/>
    <n v="92"/>
  </r>
  <r>
    <s v="SBG - Desktop"/>
    <x v="0"/>
    <s v="New Feature"/>
    <s v="DESK-3045"/>
    <s v="Cart / Checkout 5.0"/>
    <s v="New Feature"/>
    <x v="0"/>
    <d v="2016-03-25T09:50:00"/>
    <x v="7"/>
    <x v="1"/>
    <x v="24"/>
    <n v="4"/>
    <m/>
    <n v="92"/>
    <n v="92"/>
  </r>
  <r>
    <s v="SBG - Desktop"/>
    <x v="2"/>
    <s v="Task"/>
    <s v="DESK-3046"/>
    <s v="Etnia Barcelona + Oliver Goldsmith Logos, Not Removed Properly"/>
    <s v="Task"/>
    <x v="0"/>
    <d v="2016-02-23T16:14:00"/>
    <x v="11"/>
    <x v="1"/>
    <x v="29"/>
    <n v="1"/>
    <m/>
    <n v="127.5"/>
    <n v="22.500000000000004"/>
  </r>
  <r>
    <s v="SBG - Desktop"/>
    <x v="1"/>
    <s v="Task"/>
    <s v="DESK-3046"/>
    <s v="Etnia Barcelona + Oliver Goldsmith Logos, Not Removed Properly"/>
    <s v="Task"/>
    <x v="0"/>
    <d v="2016-02-23T19:32:00"/>
    <x v="11"/>
    <x v="1"/>
    <x v="8"/>
    <n v="2"/>
    <m/>
    <n v="127.5"/>
    <n v="22.500000000000004"/>
  </r>
  <r>
    <s v="SBG - Desktop"/>
    <x v="2"/>
    <s v="New Feature"/>
    <s v="DESK-3049"/>
    <s v="brand list empty on Pimcore header and footer"/>
    <s v="New Feature"/>
    <x v="0"/>
    <d v="2016-02-25T10:43:00"/>
    <x v="11"/>
    <x v="1"/>
    <x v="18"/>
    <n v="3"/>
    <m/>
    <n v="127.5"/>
    <n v="22.500000000000004"/>
  </r>
  <r>
    <s v="SBG - Desktop"/>
    <x v="1"/>
    <s v="New Feature"/>
    <s v="DESK-3049"/>
    <s v="brand list empty on Pimcore header and footer"/>
    <s v="New Feature"/>
    <x v="0"/>
    <d v="2016-02-25T18:48:00"/>
    <x v="11"/>
    <x v="1"/>
    <x v="21"/>
    <n v="2"/>
    <m/>
    <n v="127.5"/>
    <n v="22.500000000000004"/>
  </r>
  <r>
    <s v="SBG - Desktop"/>
    <x v="2"/>
    <s v="New Feature"/>
    <s v="DESK-3049"/>
    <s v="brand list empty on Pimcore header and footer"/>
    <s v="New Feature"/>
    <x v="0"/>
    <d v="2016-02-26T14:31:00"/>
    <x v="11"/>
    <x v="1"/>
    <x v="2"/>
    <n v="8"/>
    <m/>
    <n v="127.5"/>
    <n v="22.500000000000004"/>
  </r>
  <r>
    <s v="SBG - Desktop"/>
    <x v="2"/>
    <s v="New Feature"/>
    <s v="DESK-3049"/>
    <s v="brand list empty on Pimcore header and footer"/>
    <s v="New Feature"/>
    <x v="0"/>
    <d v="2016-02-29T17:00:00"/>
    <x v="11"/>
    <x v="1"/>
    <x v="2"/>
    <n v="8"/>
    <m/>
    <n v="127.5"/>
    <n v="22.500000000000004"/>
  </r>
  <r>
    <s v="SBG - Desktop"/>
    <x v="4"/>
    <s v="New Feature"/>
    <s v="DESK-3196"/>
    <s v="Upsell system"/>
    <s v="New Feature"/>
    <x v="0"/>
    <d v="2016-03-14T12:48:00"/>
    <x v="7"/>
    <x v="1"/>
    <x v="13"/>
    <n v="5"/>
    <m/>
    <n v="156.4"/>
    <n v="27.600000000000005"/>
  </r>
  <r>
    <s v="SBG - Desktop"/>
    <x v="4"/>
    <s v="New Feature"/>
    <s v="DESK-3196"/>
    <s v="Upsell system"/>
    <s v="New Feature"/>
    <x v="0"/>
    <d v="2016-03-15T12:48:00"/>
    <x v="7"/>
    <x v="1"/>
    <x v="13"/>
    <n v="5"/>
    <m/>
    <n v="156.4"/>
    <n v="27.600000000000005"/>
  </r>
  <r>
    <s v="SBG - Desktop"/>
    <x v="4"/>
    <s v="New Feature"/>
    <s v="DESK-3196"/>
    <s v="Upsell system"/>
    <s v="New Feature"/>
    <x v="0"/>
    <d v="2016-03-16T12:48:00"/>
    <x v="7"/>
    <x v="1"/>
    <x v="13"/>
    <n v="5"/>
    <m/>
    <n v="156.4"/>
    <n v="27.600000000000005"/>
  </r>
  <r>
    <s v="SBG - Desktop"/>
    <x v="4"/>
    <s v="New Feature"/>
    <s v="DESK-3196"/>
    <s v="Upsell system"/>
    <s v="New Feature"/>
    <x v="0"/>
    <d v="2016-03-17T12:48:00"/>
    <x v="7"/>
    <x v="1"/>
    <x v="13"/>
    <n v="5"/>
    <m/>
    <n v="156.4"/>
    <n v="27.600000000000005"/>
  </r>
  <r>
    <s v="SBG - Desktop"/>
    <x v="4"/>
    <s v="New Feature"/>
    <s v="DESK-3196"/>
    <s v="Upsell system"/>
    <s v="New Feature"/>
    <x v="0"/>
    <d v="2016-03-18T12:50:00"/>
    <x v="7"/>
    <x v="1"/>
    <x v="13"/>
    <n v="5"/>
    <m/>
    <n v="156.4"/>
    <n v="27.600000000000005"/>
  </r>
  <r>
    <s v="SBG - Desktop"/>
    <x v="4"/>
    <s v="New Feature"/>
    <s v="DESK-3196"/>
    <s v="Upsell system"/>
    <s v="New Feature"/>
    <x v="0"/>
    <d v="2016-03-21T14:31:00"/>
    <x v="7"/>
    <x v="1"/>
    <x v="13"/>
    <n v="3"/>
    <m/>
    <n v="156.4"/>
    <n v="27.600000000000005"/>
  </r>
  <r>
    <s v="SBG - Desktop"/>
    <x v="4"/>
    <s v="New Feature"/>
    <s v="DESK-3196"/>
    <s v="Upsell system"/>
    <s v="New Feature"/>
    <x v="0"/>
    <d v="2016-03-22T14:31:00"/>
    <x v="7"/>
    <x v="1"/>
    <x v="13"/>
    <n v="3"/>
    <m/>
    <n v="156.4"/>
    <n v="27.600000000000005"/>
  </r>
  <r>
    <s v="SBG - Desktop"/>
    <x v="4"/>
    <s v="New Feature"/>
    <s v="DESK-3196"/>
    <s v="Upsell system"/>
    <s v="New Feature"/>
    <x v="0"/>
    <d v="2016-03-23T14:31:00"/>
    <x v="7"/>
    <x v="1"/>
    <x v="13"/>
    <n v="1"/>
    <m/>
    <n v="156.4"/>
    <n v="27.600000000000005"/>
  </r>
  <r>
    <s v="SBG - Desktop"/>
    <x v="4"/>
    <s v="New Feature"/>
    <s v="DESK-3196"/>
    <s v="Upsell system"/>
    <s v="New Feature"/>
    <x v="0"/>
    <d v="2016-03-24T14:31:00"/>
    <x v="7"/>
    <x v="1"/>
    <x v="13"/>
    <n v="3"/>
    <m/>
    <n v="156.4"/>
    <n v="27.600000000000005"/>
  </r>
  <r>
    <s v="SBG - Desktop"/>
    <x v="4"/>
    <s v="New Feature"/>
    <s v="DESK-3196"/>
    <s v="Upsell system"/>
    <s v="New Feature"/>
    <x v="0"/>
    <d v="2016-03-31T14:41:00"/>
    <x v="7"/>
    <x v="1"/>
    <x v="13"/>
    <n v="2"/>
    <m/>
    <n v="156.4"/>
    <n v="27.600000000000005"/>
  </r>
  <r>
    <s v="SBG - Desktop"/>
    <x v="2"/>
    <s v="Task"/>
    <s v="DESK-3256"/>
    <s v="Replace whitespace characters in image url"/>
    <s v="Task"/>
    <x v="0"/>
    <d v="2016-02-18T09:30:00"/>
    <x v="11"/>
    <x v="1"/>
    <x v="11"/>
    <n v="2"/>
    <m/>
    <n v="127.5"/>
    <n v="22.500000000000004"/>
  </r>
  <r>
    <s v="SBG - Desktop"/>
    <x v="2"/>
    <s v="Task"/>
    <s v="DESK-3256"/>
    <s v="Replace whitespace characters in image url"/>
    <s v="Task"/>
    <x v="0"/>
    <d v="2016-02-26T21:30:00"/>
    <x v="11"/>
    <x v="1"/>
    <x v="11"/>
    <n v="6"/>
    <m/>
    <n v="127.5"/>
    <n v="22.500000000000004"/>
  </r>
  <r>
    <s v="SBG - Desktop"/>
    <x v="1"/>
    <s v="Task"/>
    <s v="DESK-3256"/>
    <s v="Replace whitespace characters in image url"/>
    <s v="Task"/>
    <x v="0"/>
    <d v="2016-02-29T18:24:00"/>
    <x v="11"/>
    <x v="1"/>
    <x v="23"/>
    <n v="1"/>
    <m/>
    <n v="127.5"/>
    <n v="22.500000000000004"/>
  </r>
  <r>
    <s v="SBG - Desktop"/>
    <x v="1"/>
    <s v="Task"/>
    <s v="DESK-3256"/>
    <s v="Replace whitespace characters in image url"/>
    <s v="Task"/>
    <x v="0"/>
    <d v="2016-03-15T17:45:00"/>
    <x v="7"/>
    <x v="1"/>
    <x v="23"/>
    <n v="3"/>
    <m/>
    <n v="156.4"/>
    <n v="27.600000000000005"/>
  </r>
  <r>
    <s v="SBG - Desktop"/>
    <x v="1"/>
    <s v="Task"/>
    <s v="DESK-3256"/>
    <s v="Replace whitespace characters in image url"/>
    <s v="Task"/>
    <x v="0"/>
    <d v="2016-03-24T15:24:00"/>
    <x v="7"/>
    <x v="1"/>
    <x v="26"/>
    <n v="1"/>
    <m/>
    <n v="156.4"/>
    <n v="27.600000000000005"/>
  </r>
  <r>
    <s v="SBG - Desktop"/>
    <x v="1"/>
    <s v="Task"/>
    <s v="DESK-3256"/>
    <s v="Replace whitespace characters in image url"/>
    <s v="Task"/>
    <x v="0"/>
    <d v="2016-03-25T18:13:00"/>
    <x v="7"/>
    <x v="1"/>
    <x v="26"/>
    <n v="3"/>
    <m/>
    <n v="156.4"/>
    <n v="27.600000000000005"/>
  </r>
  <r>
    <s v="SBG - Desktop"/>
    <x v="0"/>
    <s v="Task"/>
    <s v="DESK-3259"/>
    <s v="BUPA note on VD health fund page"/>
    <s v="Task"/>
    <x v="0"/>
    <d v="2016-02-02T09:24:00"/>
    <x v="11"/>
    <x v="1"/>
    <x v="19"/>
    <n v="8"/>
    <m/>
    <n v="75"/>
    <n v="75"/>
  </r>
  <r>
    <s v="SBG - Desktop"/>
    <x v="1"/>
    <s v="Task"/>
    <s v="DESK-3259"/>
    <s v="BUPA note on VD health fund page"/>
    <s v="Task"/>
    <x v="0"/>
    <d v="2016-02-03T12:08:00"/>
    <x v="11"/>
    <x v="1"/>
    <x v="30"/>
    <n v="1"/>
    <m/>
    <n v="127.5"/>
    <n v="22.500000000000004"/>
  </r>
  <r>
    <s v="SBG - Desktop"/>
    <x v="0"/>
    <s v="Task"/>
    <s v="DESK-3259"/>
    <s v="BUPA note on VD health fund page"/>
    <s v="Task"/>
    <x v="0"/>
    <d v="2016-02-03T13:24:00"/>
    <x v="11"/>
    <x v="1"/>
    <x v="19"/>
    <n v="4"/>
    <m/>
    <n v="75"/>
    <n v="75"/>
  </r>
  <r>
    <s v="SBG - Desktop"/>
    <x v="1"/>
    <s v="Task"/>
    <s v="DESK-3259"/>
    <s v="BUPA note on VD health fund page"/>
    <s v="Task"/>
    <x v="0"/>
    <d v="2016-02-15T17:27:00"/>
    <x v="11"/>
    <x v="1"/>
    <x v="30"/>
    <n v="0.5"/>
    <m/>
    <n v="127.5"/>
    <n v="22.500000000000004"/>
  </r>
  <r>
    <s v="SBG - Desktop"/>
    <x v="1"/>
    <s v="Task"/>
    <s v="DESK-3259"/>
    <s v="BUPA note on VD health fund page"/>
    <s v="Task"/>
    <x v="0"/>
    <d v="2016-02-18T15:12:00"/>
    <x v="11"/>
    <x v="1"/>
    <x v="30"/>
    <n v="4"/>
    <m/>
    <n v="127.5"/>
    <n v="22.500000000000004"/>
  </r>
  <r>
    <s v="SBG - Desktop"/>
    <x v="1"/>
    <s v="Bug"/>
    <s v="DESK-3358"/>
    <s v="HK banner - duplicated banners"/>
    <s v="Bug"/>
    <x v="1"/>
    <d v="2016-02-03T16:26:00"/>
    <x v="11"/>
    <x v="1"/>
    <x v="30"/>
    <n v="1"/>
    <m/>
    <n v="127.5"/>
    <n v="22.500000000000004"/>
  </r>
  <r>
    <s v="SBG - Desktop"/>
    <x v="1"/>
    <s v="Bug"/>
    <s v="DESK-3358"/>
    <s v="HK banner - duplicated banners"/>
    <s v="Bug"/>
    <x v="1"/>
    <d v="2016-02-15T17:25:00"/>
    <x v="11"/>
    <x v="1"/>
    <x v="30"/>
    <n v="1.5"/>
    <m/>
    <n v="127.5"/>
    <n v="22.500000000000004"/>
  </r>
  <r>
    <s v="SBG - Desktop"/>
    <x v="1"/>
    <s v="Bug"/>
    <s v="DESK-3379"/>
    <s v="Contact Lens - Grid Page - Filter NOT showing ALL products"/>
    <s v="Bug"/>
    <x v="1"/>
    <d v="2016-02-01T12:58:00"/>
    <x v="11"/>
    <x v="1"/>
    <x v="23"/>
    <n v="3"/>
    <m/>
    <n v="127.5"/>
    <n v="22.500000000000004"/>
  </r>
  <r>
    <s v="SBG - Desktop"/>
    <x v="0"/>
    <s v="Bug"/>
    <s v="DESK-3452"/>
    <s v="Homepage banner displaying in english - JP"/>
    <s v="Bug"/>
    <x v="1"/>
    <d v="2016-02-08T10:31:00"/>
    <x v="11"/>
    <x v="1"/>
    <x v="24"/>
    <n v="8"/>
    <m/>
    <n v="75"/>
    <n v="75"/>
  </r>
  <r>
    <s v="SBG - Desktop"/>
    <x v="0"/>
    <s v="Bug"/>
    <s v="DESK-3452"/>
    <s v="Homepage banner displaying in english - JP"/>
    <s v="Bug"/>
    <x v="1"/>
    <d v="2016-02-11T10:31:00"/>
    <x v="11"/>
    <x v="1"/>
    <x v="24"/>
    <n v="8"/>
    <m/>
    <n v="75"/>
    <n v="75"/>
  </r>
  <r>
    <s v="SBG - Desktop"/>
    <x v="0"/>
    <s v="Bug"/>
    <s v="DESK-3452"/>
    <s v="Homepage banner displaying in english - JP"/>
    <s v="Bug"/>
    <x v="1"/>
    <d v="2016-02-12T10:31:00"/>
    <x v="11"/>
    <x v="1"/>
    <x v="24"/>
    <n v="8"/>
    <m/>
    <n v="75"/>
    <n v="75"/>
  </r>
  <r>
    <s v="SBG - Desktop"/>
    <x v="0"/>
    <s v="Bug"/>
    <s v="DESK-3452"/>
    <s v="Homepage banner displaying in english - JP"/>
    <s v="Bug"/>
    <x v="1"/>
    <d v="2016-02-15T10:31:00"/>
    <x v="11"/>
    <x v="1"/>
    <x v="24"/>
    <n v="8"/>
    <m/>
    <n v="75"/>
    <n v="75"/>
  </r>
  <r>
    <s v="SBG - Desktop"/>
    <x v="0"/>
    <s v="Bug"/>
    <s v="DESK-3452"/>
    <s v="Homepage banner displaying in english - JP"/>
    <s v="Bug"/>
    <x v="1"/>
    <d v="2016-02-16T16:51:00"/>
    <x v="11"/>
    <x v="1"/>
    <x v="24"/>
    <n v="1"/>
    <m/>
    <n v="75"/>
    <n v="75"/>
  </r>
  <r>
    <s v="SBG - Desktop"/>
    <x v="1"/>
    <s v="Bug"/>
    <s v="DESK-3452"/>
    <s v="Homepage banner displaying in english - JP"/>
    <s v="Bug"/>
    <x v="1"/>
    <d v="2016-02-17T11:27:00"/>
    <x v="11"/>
    <x v="1"/>
    <x v="26"/>
    <n v="7"/>
    <m/>
    <n v="127.5"/>
    <n v="22.500000000000004"/>
  </r>
  <r>
    <s v="SBG - Desktop"/>
    <x v="1"/>
    <s v="Bug"/>
    <s v="DESK-3452"/>
    <s v="Homepage banner displaying in english - JP"/>
    <s v="Bug"/>
    <x v="1"/>
    <d v="2016-02-17T12:12:00"/>
    <x v="11"/>
    <x v="1"/>
    <x v="26"/>
    <n v="1"/>
    <m/>
    <n v="127.5"/>
    <n v="22.500000000000004"/>
  </r>
  <r>
    <s v="SBG - Desktop"/>
    <x v="0"/>
    <s v="Bug"/>
    <s v="DESK-3452"/>
    <s v="Homepage banner displaying in english - JP"/>
    <s v="Bug"/>
    <x v="1"/>
    <d v="2016-02-17T16:31:00"/>
    <x v="11"/>
    <x v="1"/>
    <x v="24"/>
    <n v="2"/>
    <m/>
    <n v="75"/>
    <n v="75"/>
  </r>
  <r>
    <s v="SBG - Desktop"/>
    <x v="0"/>
    <s v="Bug"/>
    <s v="DESK-3452"/>
    <s v="Homepage banner displaying in english - JP"/>
    <s v="Bug"/>
    <x v="1"/>
    <d v="2016-02-18T10:31:00"/>
    <x v="11"/>
    <x v="1"/>
    <x v="24"/>
    <n v="8"/>
    <m/>
    <n v="75"/>
    <n v="75"/>
  </r>
  <r>
    <s v="SBG - Desktop"/>
    <x v="0"/>
    <s v="Bug"/>
    <s v="DESK-3452"/>
    <s v="Homepage banner displaying in english - JP"/>
    <s v="Bug"/>
    <x v="1"/>
    <d v="2016-02-19T10:31:00"/>
    <x v="11"/>
    <x v="1"/>
    <x v="24"/>
    <n v="8"/>
    <m/>
    <n v="75"/>
    <n v="75"/>
  </r>
  <r>
    <s v="SBG - Desktop"/>
    <x v="2"/>
    <s v="Bug"/>
    <s v="DESK-3458"/>
    <s v="Bug with colors at left filter"/>
    <s v="Bug"/>
    <x v="1"/>
    <d v="2016-02-18T17:33:00"/>
    <x v="11"/>
    <x v="1"/>
    <x v="29"/>
    <n v="1"/>
    <m/>
    <n v="127.5"/>
    <n v="22.500000000000004"/>
  </r>
  <r>
    <s v="SBG - Desktop"/>
    <x v="1"/>
    <s v="Bug"/>
    <s v="DESK-3458"/>
    <s v="Bug with colors at left filter"/>
    <s v="Bug"/>
    <x v="1"/>
    <d v="2016-02-19T18:22:00"/>
    <x v="11"/>
    <x v="1"/>
    <x v="23"/>
    <n v="2"/>
    <m/>
    <n v="127.5"/>
    <n v="22.500000000000004"/>
  </r>
  <r>
    <s v="SBG - Desktop"/>
    <x v="1"/>
    <s v="Bug"/>
    <s v="DESK-3458"/>
    <s v="Bug with colors at left filter"/>
    <s v="Bug"/>
    <x v="1"/>
    <d v="2016-02-22T18:20:00"/>
    <x v="11"/>
    <x v="1"/>
    <x v="23"/>
    <n v="2"/>
    <m/>
    <n v="127.5"/>
    <n v="22.500000000000004"/>
  </r>
  <r>
    <s v="SBG - Desktop"/>
    <x v="1"/>
    <s v="Bug"/>
    <s v="DESK-3483"/>
    <s v="Minify optimization for search page"/>
    <s v="Bug"/>
    <x v="1"/>
    <d v="2016-02-01T11:36:00"/>
    <x v="11"/>
    <x v="1"/>
    <x v="26"/>
    <n v="4"/>
    <m/>
    <n v="127.5"/>
    <n v="22.500000000000004"/>
  </r>
  <r>
    <s v="SBG - Desktop"/>
    <x v="1"/>
    <s v="Bug"/>
    <s v="DESK-3483"/>
    <s v="Minify optimization for search page"/>
    <s v="Bug"/>
    <x v="1"/>
    <d v="2016-02-06T12:43:00"/>
    <x v="11"/>
    <x v="1"/>
    <x v="23"/>
    <n v="2"/>
    <m/>
    <n v="127.5"/>
    <n v="22.500000000000004"/>
  </r>
  <r>
    <s v="SBG - Desktop"/>
    <x v="1"/>
    <s v="Bug"/>
    <s v="DESK-3483"/>
    <s v="Minify optimization for search page"/>
    <s v="Bug"/>
    <x v="1"/>
    <d v="2016-02-06T13:58:00"/>
    <x v="11"/>
    <x v="1"/>
    <x v="23"/>
    <n v="2"/>
    <m/>
    <n v="127.5"/>
    <n v="22.500000000000004"/>
  </r>
  <r>
    <s v="SBG - Desktop"/>
    <x v="0"/>
    <s v="Bug"/>
    <s v="DESK-3523"/>
    <s v="Duplicated links in top menu bar - DK"/>
    <s v="Bug"/>
    <x v="1"/>
    <d v="2016-02-17T09:52:00"/>
    <x v="11"/>
    <x v="1"/>
    <x v="19"/>
    <n v="4"/>
    <m/>
    <n v="75"/>
    <n v="75"/>
  </r>
  <r>
    <s v="SBG - Desktop"/>
    <x v="1"/>
    <s v="Bug"/>
    <s v="DESK-3523"/>
    <s v="Duplicated links in top menu bar - DK"/>
    <s v="Bug"/>
    <x v="1"/>
    <d v="2016-02-17T18:00:00"/>
    <x v="11"/>
    <x v="1"/>
    <x v="8"/>
    <n v="2"/>
    <m/>
    <n v="127.5"/>
    <n v="22.500000000000004"/>
  </r>
  <r>
    <s v="SBG - Desktop"/>
    <x v="0"/>
    <s v="Bug"/>
    <s v="DESK-3523"/>
    <s v="Duplicated links in top menu bar - DK"/>
    <s v="Bug"/>
    <x v="1"/>
    <d v="2016-02-19T11:26:00"/>
    <x v="11"/>
    <x v="1"/>
    <x v="19"/>
    <n v="6"/>
    <m/>
    <n v="75"/>
    <n v="75"/>
  </r>
  <r>
    <s v="SBG - Desktop"/>
    <x v="1"/>
    <s v="Bug"/>
    <s v="DESK-3678"/>
    <s v="Product links are not working - ski goggles - all domains"/>
    <s v="Bug"/>
    <x v="1"/>
    <d v="2016-02-01T14:58:00"/>
    <x v="11"/>
    <x v="1"/>
    <x v="23"/>
    <n v="1"/>
    <m/>
    <n v="127.5"/>
    <n v="22.500000000000004"/>
  </r>
  <r>
    <s v="SBG - Desktop"/>
    <x v="1"/>
    <s v="Bug"/>
    <s v="DESK-3678"/>
    <s v="Product links are not working - ski goggles - all domains"/>
    <s v="Bug"/>
    <x v="1"/>
    <d v="2016-02-05T11:59:00"/>
    <x v="11"/>
    <x v="1"/>
    <x v="23"/>
    <n v="4"/>
    <m/>
    <n v="127.5"/>
    <n v="22.500000000000004"/>
  </r>
  <r>
    <s v="SBG - Desktop"/>
    <x v="1"/>
    <s v="Bug"/>
    <s v="DESK-3699"/>
    <s v="Ski goggles landing page optimization - US, CA"/>
    <s v="Bug"/>
    <x v="1"/>
    <d v="2016-02-03T11:58:00"/>
    <x v="11"/>
    <x v="1"/>
    <x v="23"/>
    <n v="4"/>
    <m/>
    <n v="127.5"/>
    <n v="22.500000000000004"/>
  </r>
  <r>
    <s v="SBG - Desktop"/>
    <x v="1"/>
    <s v="Bug"/>
    <s v="DESK-3716"/>
    <s v="Missing keys in OM - mobile - all countries"/>
    <s v="Bug"/>
    <x v="1"/>
    <d v="2016-02-19T18:36:00"/>
    <x v="11"/>
    <x v="1"/>
    <x v="8"/>
    <n v="1"/>
    <m/>
    <n v="127.5"/>
    <n v="22.500000000000004"/>
  </r>
  <r>
    <s v="SBG - Desktop"/>
    <x v="1"/>
    <s v="Bug"/>
    <s v="DESK-3718"/>
    <s v="Image missing on CH domain"/>
    <s v="Bug"/>
    <x v="1"/>
    <d v="2016-02-03T15:55:00"/>
    <x v="11"/>
    <x v="1"/>
    <x v="26"/>
    <n v="1"/>
    <m/>
    <n v="127.5"/>
    <n v="22.500000000000004"/>
  </r>
  <r>
    <s v="SBG - Desktop"/>
    <x v="1"/>
    <s v="Bug"/>
    <s v="DESK-3771"/>
    <s v="Oakley banner not displaying correctly - CA"/>
    <s v="Bug"/>
    <x v="1"/>
    <d v="2016-02-01T12:38:00"/>
    <x v="11"/>
    <x v="1"/>
    <x v="21"/>
    <n v="4"/>
    <m/>
    <n v="127.5"/>
    <n v="22.500000000000004"/>
  </r>
  <r>
    <s v="SBG - Desktop"/>
    <x v="2"/>
    <s v="Bug"/>
    <s v="DESK-3771"/>
    <s v="Oakley banner not displaying correctly - CA"/>
    <s v="Bug"/>
    <x v="1"/>
    <d v="2016-02-01T13:58:00"/>
    <x v="11"/>
    <x v="1"/>
    <x v="29"/>
    <n v="1"/>
    <m/>
    <n v="127.5"/>
    <n v="22.500000000000004"/>
  </r>
  <r>
    <s v="SBG - Desktop"/>
    <x v="1"/>
    <s v="Bug"/>
    <s v="DESK-3771"/>
    <s v="Oakley banner not displaying correctly - CA"/>
    <s v="Bug"/>
    <x v="1"/>
    <d v="2016-02-02T13:50:00"/>
    <x v="11"/>
    <x v="1"/>
    <x v="21"/>
    <n v="3"/>
    <m/>
    <n v="127.5"/>
    <n v="22.500000000000004"/>
  </r>
  <r>
    <s v="SBG - Desktop"/>
    <x v="2"/>
    <s v="Bug"/>
    <s v="DESK-3779"/>
    <s v="Duplicated brand names - in feeds &amp; on site - all domains"/>
    <s v="Bug"/>
    <x v="1"/>
    <d v="2016-02-17T17:37:00"/>
    <x v="11"/>
    <x v="1"/>
    <x v="29"/>
    <n v="1"/>
    <m/>
    <n v="127.5"/>
    <n v="22.500000000000004"/>
  </r>
  <r>
    <s v="SBG - Desktop"/>
    <x v="2"/>
    <s v="Bug"/>
    <s v="DESK-3779"/>
    <s v="Duplicated brand names - in feeds &amp; on site - all domains"/>
    <s v="Bug"/>
    <x v="1"/>
    <d v="2016-02-18T17:39:00"/>
    <x v="11"/>
    <x v="1"/>
    <x v="29"/>
    <n v="1"/>
    <m/>
    <n v="127.5"/>
    <n v="22.500000000000004"/>
  </r>
  <r>
    <s v="SBG - Desktop"/>
    <x v="1"/>
    <s v="Bug"/>
    <s v="DESK-3779"/>
    <s v="Duplicated brand names - in feeds &amp; on site - all domains"/>
    <s v="Bug"/>
    <x v="1"/>
    <d v="2016-02-18T18:04:00"/>
    <x v="11"/>
    <x v="1"/>
    <x v="23"/>
    <n v="3"/>
    <m/>
    <n v="127.5"/>
    <n v="22.500000000000004"/>
  </r>
  <r>
    <s v="SBG - Desktop"/>
    <x v="1"/>
    <s v="Bug"/>
    <s v="DESK-3779"/>
    <s v="Duplicated brand names - in feeds &amp; on site - all domains"/>
    <s v="Bug"/>
    <x v="1"/>
    <d v="2016-02-18T18:05:00"/>
    <x v="11"/>
    <x v="1"/>
    <x v="23"/>
    <n v="1"/>
    <m/>
    <n v="127.5"/>
    <n v="22.500000000000004"/>
  </r>
  <r>
    <s v="SBG - Desktop"/>
    <x v="1"/>
    <s v="Bug"/>
    <s v="DESK-3779"/>
    <s v="Duplicated brand names - in feeds &amp; on site - all domains"/>
    <s v="Bug"/>
    <x v="1"/>
    <d v="2016-02-19T18:22:00"/>
    <x v="11"/>
    <x v="1"/>
    <x v="23"/>
    <n v="4"/>
    <m/>
    <n v="127.5"/>
    <n v="22.500000000000004"/>
  </r>
  <r>
    <s v="SBG - Desktop"/>
    <x v="1"/>
    <s v="Bug"/>
    <s v="DESK-3779"/>
    <s v="Duplicated brand names - in feeds &amp; on site - all domains"/>
    <s v="Bug"/>
    <x v="1"/>
    <d v="2016-02-22T18:20:00"/>
    <x v="11"/>
    <x v="1"/>
    <x v="23"/>
    <n v="2"/>
    <m/>
    <n v="127.5"/>
    <n v="22.500000000000004"/>
  </r>
  <r>
    <s v="SBG - Desktop"/>
    <x v="1"/>
    <s v="Bug"/>
    <s v="DESK-3815"/>
    <s v="RX side banner title &quot;Add lenses...&quot; - displayed in spanish with MX$ in CA"/>
    <s v="Bug"/>
    <x v="1"/>
    <d v="2016-02-01T12:38:00"/>
    <x v="11"/>
    <x v="1"/>
    <x v="21"/>
    <n v="4"/>
    <m/>
    <n v="127.5"/>
    <n v="22.500000000000004"/>
  </r>
  <r>
    <s v="SBG - Desktop"/>
    <x v="1"/>
    <s v="Bug"/>
    <s v="DESK-3815"/>
    <s v="RX side banner title &quot;Add lenses...&quot; - displayed in spanish with MX$ in CA"/>
    <s v="Bug"/>
    <x v="1"/>
    <d v="2016-02-02T13:51:00"/>
    <x v="11"/>
    <x v="1"/>
    <x v="21"/>
    <n v="3"/>
    <m/>
    <n v="127.5"/>
    <n v="22.500000000000004"/>
  </r>
  <r>
    <s v="SBG - Desktop"/>
    <x v="1"/>
    <s v="Bug"/>
    <s v="DESK-3825"/>
    <s v="cannot buy CL on TR domain"/>
    <s v="Bug"/>
    <x v="1"/>
    <d v="2016-02-24T12:04:00"/>
    <x v="11"/>
    <x v="1"/>
    <x v="8"/>
    <n v="0.5"/>
    <m/>
    <n v="127.5"/>
    <n v="22.500000000000004"/>
  </r>
  <r>
    <s v="SBG - Desktop"/>
    <x v="1"/>
    <s v="Bug"/>
    <s v="DESK-3836"/>
    <s v="install granify code on each of sbg pages"/>
    <s v="Bug"/>
    <x v="1"/>
    <d v="2016-02-17T15:44:00"/>
    <x v="11"/>
    <x v="1"/>
    <x v="21"/>
    <n v="2"/>
    <m/>
    <n v="127.5"/>
    <n v="22.500000000000004"/>
  </r>
  <r>
    <s v="SBG - Desktop"/>
    <x v="1"/>
    <s v="Bug"/>
    <s v="DESK-3836"/>
    <s v="install granify code on each of sbg pages"/>
    <s v="Bug"/>
    <x v="1"/>
    <d v="2016-02-19T12:47:00"/>
    <x v="11"/>
    <x v="1"/>
    <x v="21"/>
    <n v="3"/>
    <m/>
    <n v="127.5"/>
    <n v="22.500000000000004"/>
  </r>
  <r>
    <s v="SBG - Desktop"/>
    <x v="1"/>
    <s v="Bug"/>
    <s v="DESK-3836"/>
    <s v="install granify code on each of sbg pages"/>
    <s v="Bug"/>
    <x v="1"/>
    <d v="2016-02-22T17:18:00"/>
    <x v="11"/>
    <x v="1"/>
    <x v="21"/>
    <n v="1"/>
    <m/>
    <n v="127.5"/>
    <n v="22.500000000000004"/>
  </r>
  <r>
    <s v="SBG - Desktop"/>
    <x v="2"/>
    <s v="Bug"/>
    <s v="DESK-3876"/>
    <s v="Fast Shipping display bug"/>
    <s v="Bug"/>
    <x v="1"/>
    <d v="2016-02-03T09:35:00"/>
    <x v="11"/>
    <x v="1"/>
    <x v="11"/>
    <n v="4"/>
    <m/>
    <n v="127.5"/>
    <n v="22.500000000000004"/>
  </r>
  <r>
    <s v="SBG - Desktop"/>
    <x v="2"/>
    <s v="Bug"/>
    <s v="DESK-3876"/>
    <s v="Fast Shipping display bug"/>
    <s v="Bug"/>
    <x v="1"/>
    <d v="2016-02-04T21:30:00"/>
    <x v="11"/>
    <x v="1"/>
    <x v="11"/>
    <n v="5"/>
    <m/>
    <n v="127.5"/>
    <n v="22.500000000000004"/>
  </r>
  <r>
    <s v="SBG - Desktop"/>
    <x v="1"/>
    <s v="Bug"/>
    <s v="DESK-3876"/>
    <s v="Fast Shipping display bug"/>
    <s v="Bug"/>
    <x v="1"/>
    <d v="2016-02-05T14:39:00"/>
    <x v="11"/>
    <x v="1"/>
    <x v="30"/>
    <n v="2"/>
    <m/>
    <n v="127.5"/>
    <n v="22.500000000000004"/>
  </r>
  <r>
    <s v="SBG - Desktop"/>
    <x v="2"/>
    <s v="Bug"/>
    <s v="DESK-3876"/>
    <s v="Fast Shipping display bug"/>
    <s v="Bug"/>
    <x v="1"/>
    <d v="2016-02-17T11:00:00"/>
    <x v="11"/>
    <x v="1"/>
    <x v="11"/>
    <n v="2"/>
    <m/>
    <n v="127.5"/>
    <n v="22.500000000000004"/>
  </r>
  <r>
    <s v="SBG - Desktop"/>
    <x v="2"/>
    <s v="Bug"/>
    <s v="DESK-3876"/>
    <s v="Fast Shipping display bug"/>
    <s v="Bug"/>
    <x v="1"/>
    <d v="2016-02-17T14:00:00"/>
    <x v="11"/>
    <x v="1"/>
    <x v="11"/>
    <n v="5"/>
    <m/>
    <n v="127.5"/>
    <n v="22.500000000000004"/>
  </r>
  <r>
    <s v="SBG - Desktop"/>
    <x v="1"/>
    <s v="Bug"/>
    <s v="DESK-3876"/>
    <s v="Fast Shipping display bug"/>
    <s v="Bug"/>
    <x v="1"/>
    <d v="2016-02-19T18:12:00"/>
    <x v="11"/>
    <x v="1"/>
    <x v="30"/>
    <n v="4"/>
    <m/>
    <n v="127.5"/>
    <n v="22.500000000000004"/>
  </r>
  <r>
    <s v="SBG - Desktop"/>
    <x v="1"/>
    <s v="Bug"/>
    <s v="DESK-3876"/>
    <s v="Fast Shipping display bug"/>
    <s v="Bug"/>
    <x v="1"/>
    <d v="2016-02-22T15:06:00"/>
    <x v="11"/>
    <x v="1"/>
    <x v="30"/>
    <n v="4.5"/>
    <m/>
    <n v="127.5"/>
    <n v="22.500000000000004"/>
  </r>
  <r>
    <s v="SBG - Desktop"/>
    <x v="1"/>
    <s v="Bug"/>
    <s v="DESK-3876"/>
    <s v="Fast Shipping display bug"/>
    <s v="Bug"/>
    <x v="1"/>
    <d v="2016-02-22T16:35:00"/>
    <x v="11"/>
    <x v="1"/>
    <x v="30"/>
    <n v="0.5"/>
    <m/>
    <n v="127.5"/>
    <n v="22.500000000000004"/>
  </r>
  <r>
    <s v="SBG - Desktop"/>
    <x v="0"/>
    <s v="Bug"/>
    <s v="DESK-3893"/>
    <s v="Shopping limits DE - message displaying in chinese"/>
    <s v="Bug"/>
    <x v="1"/>
    <d v="2016-02-01T10:24:00"/>
    <x v="11"/>
    <x v="1"/>
    <x v="19"/>
    <n v="7"/>
    <m/>
    <n v="75"/>
    <n v="75"/>
  </r>
  <r>
    <s v="SBG - Desktop"/>
    <x v="1"/>
    <s v="Bug"/>
    <s v="DESK-3893"/>
    <s v="Shopping limits DE - message displaying in chinese"/>
    <s v="Bug"/>
    <x v="1"/>
    <d v="2016-02-01T11:58:00"/>
    <x v="11"/>
    <x v="1"/>
    <x v="23"/>
    <n v="4"/>
    <m/>
    <n v="127.5"/>
    <n v="22.500000000000004"/>
  </r>
  <r>
    <s v="SBG - Desktop"/>
    <x v="0"/>
    <s v="Bug"/>
    <s v="DESK-3893"/>
    <s v="Shopping limits DE - message displaying in chinese"/>
    <s v="Bug"/>
    <x v="1"/>
    <d v="2016-02-03T10:56:00"/>
    <x v="11"/>
    <x v="1"/>
    <x v="19"/>
    <n v="2"/>
    <m/>
    <n v="75"/>
    <n v="75"/>
  </r>
  <r>
    <s v="SBG - Desktop"/>
    <x v="0"/>
    <s v="Bug"/>
    <s v="DESK-3893"/>
    <s v="Shopping limits DE - message displaying in chinese"/>
    <s v="Bug"/>
    <x v="1"/>
    <d v="2016-02-04T14:23:00"/>
    <x v="11"/>
    <x v="1"/>
    <x v="19"/>
    <n v="2"/>
    <m/>
    <n v="75"/>
    <n v="75"/>
  </r>
  <r>
    <s v="SBG - Desktop"/>
    <x v="0"/>
    <s v="Bug"/>
    <s v="DESK-3893"/>
    <s v="Shopping limits DE - message displaying in chinese"/>
    <s v="Bug"/>
    <x v="1"/>
    <d v="2016-02-06T09:30:00"/>
    <x v="11"/>
    <x v="1"/>
    <x v="19"/>
    <n v="8"/>
    <m/>
    <n v="75"/>
    <n v="75"/>
  </r>
  <r>
    <s v="SBG - Desktop"/>
    <x v="1"/>
    <s v="Bug"/>
    <s v="DESK-3893"/>
    <s v="Shopping limits DE - message displaying in chinese"/>
    <s v="Bug"/>
    <x v="1"/>
    <d v="2016-02-06T12:43:00"/>
    <x v="11"/>
    <x v="1"/>
    <x v="23"/>
    <n v="2"/>
    <m/>
    <n v="127.5"/>
    <n v="22.500000000000004"/>
  </r>
  <r>
    <s v="SBG - Desktop"/>
    <x v="0"/>
    <s v="Bug"/>
    <s v="DESK-3893"/>
    <s v="Shopping limits DE - message displaying in chinese"/>
    <s v="Bug"/>
    <x v="1"/>
    <d v="2016-02-14T10:00:00"/>
    <x v="11"/>
    <x v="1"/>
    <x v="19"/>
    <n v="2"/>
    <m/>
    <n v="75"/>
    <n v="75"/>
  </r>
  <r>
    <s v="SBG - Desktop"/>
    <x v="0"/>
    <s v="Bug"/>
    <s v="DESK-3893"/>
    <s v="Shopping limits DE - message displaying in chinese"/>
    <s v="Bug"/>
    <x v="1"/>
    <d v="2016-02-22T11:26:00"/>
    <x v="11"/>
    <x v="1"/>
    <x v="19"/>
    <n v="6"/>
    <m/>
    <n v="75"/>
    <n v="75"/>
  </r>
  <r>
    <s v="SBG - Desktop"/>
    <x v="0"/>
    <s v="Bug"/>
    <s v="DESK-3935"/>
    <s v="Bug on live chat display"/>
    <s v="Bug"/>
    <x v="1"/>
    <d v="2016-02-04T13:25:00"/>
    <x v="11"/>
    <x v="1"/>
    <x v="19"/>
    <n v="4"/>
    <m/>
    <n v="75"/>
    <n v="75"/>
  </r>
  <r>
    <s v="SBG - Desktop"/>
    <x v="0"/>
    <s v="Bug"/>
    <s v="DESK-3935"/>
    <s v="Bug on live chat display"/>
    <s v="Bug"/>
    <x v="1"/>
    <d v="2016-02-14T11:25:00"/>
    <x v="11"/>
    <x v="1"/>
    <x v="19"/>
    <n v="6"/>
    <m/>
    <n v="75"/>
    <n v="75"/>
  </r>
  <r>
    <s v="SBG - Desktop"/>
    <x v="0"/>
    <s v="Bug"/>
    <s v="DESK-3935"/>
    <s v="Bug on live chat display"/>
    <s v="Bug"/>
    <x v="1"/>
    <d v="2016-02-17T13:26:00"/>
    <x v="11"/>
    <x v="1"/>
    <x v="19"/>
    <n v="4"/>
    <m/>
    <n v="75"/>
    <n v="75"/>
  </r>
  <r>
    <s v="SBG - Desktop"/>
    <x v="1"/>
    <s v="Bug"/>
    <s v="DESK-3951"/>
    <s v="Brand/Product page issue"/>
    <s v="Bug"/>
    <x v="1"/>
    <d v="2016-02-15T14:46:00"/>
    <x v="11"/>
    <x v="1"/>
    <x v="21"/>
    <n v="4"/>
    <m/>
    <n v="127.5"/>
    <n v="22.500000000000004"/>
  </r>
  <r>
    <s v="SBG - Desktop"/>
    <x v="1"/>
    <s v="Bug"/>
    <s v="DESK-3951"/>
    <s v="Brand/Product page issue"/>
    <s v="Bug"/>
    <x v="1"/>
    <d v="2016-02-16T11:41:00"/>
    <x v="11"/>
    <x v="1"/>
    <x v="21"/>
    <n v="3"/>
    <m/>
    <n v="127.5"/>
    <n v="22.500000000000004"/>
  </r>
  <r>
    <s v="SBG - Desktop"/>
    <x v="1"/>
    <s v="Bug"/>
    <s v="DESK-3951"/>
    <s v="Brand/Product page issue"/>
    <s v="Bug"/>
    <x v="1"/>
    <d v="2016-02-16T15:40:00"/>
    <x v="11"/>
    <x v="1"/>
    <x v="21"/>
    <n v="2"/>
    <m/>
    <n v="127.5"/>
    <n v="22.500000000000004"/>
  </r>
  <r>
    <s v="SBG - Desktop"/>
    <x v="2"/>
    <s v="Bug"/>
    <s v="DESK-4011"/>
    <s v="Refresh membership password for john.n@mcmenergy.com"/>
    <s v="Bug"/>
    <x v="1"/>
    <d v="2016-02-18T10:48:00"/>
    <x v="11"/>
    <x v="1"/>
    <x v="2"/>
    <n v="1"/>
    <m/>
    <n v="127.5"/>
    <n v="22.500000000000004"/>
  </r>
  <r>
    <s v="SBG - Desktop"/>
    <x v="1"/>
    <s v="Bug"/>
    <s v="DESK-4011"/>
    <s v="Refresh membership password for john.n@mcmenergy.com"/>
    <s v="Bug"/>
    <x v="1"/>
    <d v="2016-02-18T18:04:00"/>
    <x v="11"/>
    <x v="1"/>
    <x v="23"/>
    <n v="1"/>
    <m/>
    <n v="127.5"/>
    <n v="22.500000000000004"/>
  </r>
  <r>
    <s v="SBG - Desktop"/>
    <x v="1"/>
    <s v="Bug"/>
    <s v="DESK-4021"/>
    <s v="Diesel + Porsche Design prices showing 0.00 - US"/>
    <s v="Bug"/>
    <x v="1"/>
    <d v="2016-02-03T11:52:00"/>
    <x v="11"/>
    <x v="1"/>
    <x v="26"/>
    <n v="0.1"/>
    <m/>
    <n v="127.5"/>
    <n v="22.500000000000004"/>
  </r>
  <r>
    <s v="SBG - Desktop"/>
    <x v="1"/>
    <s v="Bug"/>
    <s v="DESK-4025"/>
    <s v="Contact Lens Orders don't have SKU id"/>
    <s v="Bug"/>
    <x v="1"/>
    <d v="2016-02-22T18:23:00"/>
    <x v="11"/>
    <x v="1"/>
    <x v="8"/>
    <n v="6"/>
    <m/>
    <n v="127.5"/>
    <n v="22.500000000000004"/>
  </r>
  <r>
    <s v="SBG - Desktop"/>
    <x v="1"/>
    <s v="Bug"/>
    <s v="DESK-4025"/>
    <s v="Contact Lens Orders don't have SKU id"/>
    <s v="Bug"/>
    <x v="1"/>
    <d v="2016-02-23T19:27:00"/>
    <x v="11"/>
    <x v="1"/>
    <x v="8"/>
    <n v="2"/>
    <m/>
    <n v="127.5"/>
    <n v="22.500000000000004"/>
  </r>
  <r>
    <s v="SBG - Desktop"/>
    <x v="1"/>
    <s v="Sub-task"/>
    <s v="DESK-4041"/>
    <s v="DESK-3712&gt; Test case design and execution"/>
    <s v="Sub-task"/>
    <x v="0"/>
    <d v="2016-03-09T17:41:00"/>
    <x v="7"/>
    <x v="1"/>
    <x v="30"/>
    <n v="1"/>
    <m/>
    <n v="156.4"/>
    <n v="27.600000000000005"/>
  </r>
  <r>
    <s v="SBG - Desktop"/>
    <x v="1"/>
    <s v="Technical task"/>
    <s v="DESK-4100"/>
    <s v="DESK-3626&gt; paid with Alipay won't remove items in /cart"/>
    <s v="Technical task"/>
    <x v="0"/>
    <d v="2016-02-24T11:00:00"/>
    <x v="11"/>
    <x v="1"/>
    <x v="8"/>
    <n v="0.5"/>
    <m/>
    <n v="127.5"/>
    <n v="22.500000000000004"/>
  </r>
  <r>
    <s v="SBG - Desktop"/>
    <x v="1"/>
    <s v="Bugs"/>
    <s v="DESK-5580"/>
    <s v="DESK-3017&gt; Price calculation is not correct"/>
    <s v="Bugs"/>
    <x v="1"/>
    <d v="2016-02-25T18:22:00"/>
    <x v="11"/>
    <x v="1"/>
    <x v="8"/>
    <n v="1"/>
    <m/>
    <n v="127.5"/>
    <n v="22.500000000000004"/>
  </r>
  <r>
    <s v="SBG - Desktop"/>
    <x v="2"/>
    <s v="Bug"/>
    <s v="DESK-6701"/>
    <s v="Messy URLs on certain product pages"/>
    <s v="Bug"/>
    <x v="1"/>
    <d v="2016-02-22T18:24:00"/>
    <x v="11"/>
    <x v="1"/>
    <x v="29"/>
    <n v="1"/>
    <m/>
    <n v="127.5"/>
    <n v="22.500000000000004"/>
  </r>
  <r>
    <s v="SBG - Desktop"/>
    <x v="2"/>
    <s v="Bug"/>
    <s v="DESK-6701"/>
    <s v="Messy URLs on certain product pages"/>
    <s v="Bug"/>
    <x v="1"/>
    <d v="2016-02-23T11:51:00"/>
    <x v="11"/>
    <x v="1"/>
    <x v="29"/>
    <n v="1"/>
    <m/>
    <n v="127.5"/>
    <n v="22.500000000000004"/>
  </r>
  <r>
    <s v="SBG - Desktop"/>
    <x v="2"/>
    <s v="Bug"/>
    <s v="DESK-6701"/>
    <s v="Messy URLs on certain product pages"/>
    <s v="Bug"/>
    <x v="1"/>
    <d v="2016-03-18T10:27:00"/>
    <x v="7"/>
    <x v="1"/>
    <x v="29"/>
    <n v="8"/>
    <m/>
    <n v="156.4"/>
    <n v="27.600000000000005"/>
  </r>
  <r>
    <s v="SBG - Desktop"/>
    <x v="2"/>
    <s v="Bug"/>
    <s v="DESK-6711"/>
    <s v="Blank Sandbox Paypal page for both desktop and mobile"/>
    <s v="Bug"/>
    <x v="1"/>
    <d v="2016-03-16T16:12:00"/>
    <x v="7"/>
    <x v="1"/>
    <x v="18"/>
    <n v="16"/>
    <m/>
    <n v="156.4"/>
    <n v="27.600000000000005"/>
  </r>
  <r>
    <s v="SBG - Desktop"/>
    <x v="1"/>
    <s v="Bug"/>
    <s v="DESK-6711"/>
    <s v="Blank Sandbox Paypal page for both desktop and mobile"/>
    <s v="Bug"/>
    <x v="1"/>
    <d v="2016-03-17T18:50:00"/>
    <x v="7"/>
    <x v="1"/>
    <x v="26"/>
    <n v="8"/>
    <m/>
    <n v="156.4"/>
    <n v="27.600000000000005"/>
  </r>
  <r>
    <s v="SBG - Desktop"/>
    <x v="2"/>
    <s v="Bug"/>
    <s v="DESK-6721"/>
    <s v="missing filters for Le Specs &amp; Dirty Dog"/>
    <s v="Bug"/>
    <x v="1"/>
    <d v="2016-02-18T21:34:00"/>
    <x v="11"/>
    <x v="1"/>
    <x v="29"/>
    <n v="6"/>
    <m/>
    <n v="127.5"/>
    <n v="22.500000000000004"/>
  </r>
  <r>
    <s v="SBG - Desktop"/>
    <x v="2"/>
    <s v="Bug"/>
    <s v="DESK-6721"/>
    <s v="missing filters for Le Specs &amp; Dirty Dog"/>
    <s v="Bug"/>
    <x v="1"/>
    <d v="2016-02-19T18:37:00"/>
    <x v="11"/>
    <x v="1"/>
    <x v="29"/>
    <n v="5"/>
    <m/>
    <n v="127.5"/>
    <n v="22.500000000000004"/>
  </r>
  <r>
    <s v="SBG - Desktop"/>
    <x v="2"/>
    <s v="Bug"/>
    <s v="DESK-6721"/>
    <s v="missing filters for Le Specs &amp; Dirty Dog"/>
    <s v="Bug"/>
    <x v="1"/>
    <d v="2016-03-01T14:00:00"/>
    <x v="7"/>
    <x v="1"/>
    <x v="29"/>
    <n v="1"/>
    <m/>
    <n v="156.4"/>
    <n v="27.600000000000005"/>
  </r>
  <r>
    <s v="SBG - Desktop"/>
    <x v="2"/>
    <s v="Bug"/>
    <s v="DESK-6721"/>
    <s v="missing filters for Le Specs &amp; Dirty Dog"/>
    <s v="Bug"/>
    <x v="1"/>
    <d v="2016-03-02T14:36:00"/>
    <x v="7"/>
    <x v="1"/>
    <x v="33"/>
    <n v="1"/>
    <m/>
    <n v="156.4"/>
    <n v="27.600000000000005"/>
  </r>
  <r>
    <s v="SBG - Desktop"/>
    <x v="2"/>
    <s v="Bug"/>
    <s v="DESK-6727"/>
    <s v="Duplicate sizes"/>
    <s v="Bug"/>
    <x v="1"/>
    <d v="2016-03-11T09:34:00"/>
    <x v="7"/>
    <x v="1"/>
    <x v="10"/>
    <n v="2"/>
    <m/>
    <n v="156.4"/>
    <n v="27.600000000000005"/>
  </r>
  <r>
    <s v="SBG - Desktop"/>
    <x v="2"/>
    <s v="Bug"/>
    <s v="DESK-6727"/>
    <s v="Duplicate sizes"/>
    <s v="Bug"/>
    <x v="1"/>
    <d v="2016-03-24T12:48:00"/>
    <x v="7"/>
    <x v="1"/>
    <x v="10"/>
    <n v="8"/>
    <m/>
    <n v="156.4"/>
    <n v="27.600000000000005"/>
  </r>
  <r>
    <s v="SBG - Desktop"/>
    <x v="2"/>
    <s v="Bug"/>
    <s v="DESK-6732"/>
    <s v="H2 in breadcrumb"/>
    <s v="Bug"/>
    <x v="1"/>
    <d v="2016-02-25T16:00:00"/>
    <x v="11"/>
    <x v="1"/>
    <x v="11"/>
    <n v="2"/>
    <m/>
    <n v="127.5"/>
    <n v="22.500000000000004"/>
  </r>
  <r>
    <s v="SBG - Desktop"/>
    <x v="1"/>
    <s v="Bug"/>
    <s v="DESK-6732"/>
    <s v="H2 in breadcrumb"/>
    <s v="Bug"/>
    <x v="1"/>
    <d v="2016-02-26T15:44:00"/>
    <x v="11"/>
    <x v="1"/>
    <x v="23"/>
    <n v="1"/>
    <m/>
    <n v="127.5"/>
    <n v="22.500000000000004"/>
  </r>
  <r>
    <s v="SBG - Desktop"/>
    <x v="2"/>
    <s v="Bug"/>
    <s v="DESK-6734"/>
    <s v="&quot;Add lenses from..&quot; banner on ski goggles page - all countries"/>
    <s v="Bug"/>
    <x v="1"/>
    <d v="2016-03-01T17:00:00"/>
    <x v="7"/>
    <x v="1"/>
    <x v="29"/>
    <n v="1"/>
    <m/>
    <n v="156.4"/>
    <n v="27.600000000000005"/>
  </r>
  <r>
    <s v="SBG - Desktop"/>
    <x v="1"/>
    <s v="Bug"/>
    <s v="DESK-6734"/>
    <s v="&quot;Add lenses from..&quot; banner on ski goggles page - all countries"/>
    <s v="Bug"/>
    <x v="1"/>
    <d v="2016-03-02T18:12:00"/>
    <x v="7"/>
    <x v="1"/>
    <x v="23"/>
    <n v="3"/>
    <m/>
    <n v="156.4"/>
    <n v="27.600000000000005"/>
  </r>
  <r>
    <s v="SBG - Desktop"/>
    <x v="1"/>
    <s v="Bug"/>
    <s v="DESK-6734"/>
    <s v="&quot;Add lenses from..&quot; banner on ski goggles page - all countries"/>
    <s v="Bug"/>
    <x v="1"/>
    <d v="2016-03-07T09:50:00"/>
    <x v="7"/>
    <x v="1"/>
    <x v="23"/>
    <n v="1"/>
    <m/>
    <n v="156.4"/>
    <n v="27.600000000000005"/>
  </r>
  <r>
    <s v="SBG - Desktop"/>
    <x v="1"/>
    <s v="Bug"/>
    <s v="DESK-6734"/>
    <s v="&quot;Add lenses from..&quot; banner on ski goggles page - all countries"/>
    <s v="Bug"/>
    <x v="1"/>
    <d v="2016-03-14T16:47:00"/>
    <x v="7"/>
    <x v="1"/>
    <x v="23"/>
    <n v="1"/>
    <m/>
    <n v="156.4"/>
    <n v="27.600000000000005"/>
  </r>
  <r>
    <s v="SBG - Desktop"/>
    <x v="2"/>
    <s v="Bug"/>
    <s v="DESK-6735"/>
    <s v="Remove link element from H1 tag, CL page"/>
    <s v="Bug"/>
    <x v="1"/>
    <d v="2016-02-25T17:00:00"/>
    <x v="11"/>
    <x v="1"/>
    <x v="11"/>
    <n v="2"/>
    <m/>
    <n v="127.5"/>
    <n v="22.500000000000004"/>
  </r>
  <r>
    <s v="SBG - Desktop"/>
    <x v="1"/>
    <s v="Bug"/>
    <s v="DESK-6735"/>
    <s v="Remove link element from H1 tag, CL page"/>
    <s v="Bug"/>
    <x v="1"/>
    <d v="2016-02-26T15:44:00"/>
    <x v="11"/>
    <x v="1"/>
    <x v="23"/>
    <n v="1"/>
    <m/>
    <n v="127.5"/>
    <n v="22.500000000000004"/>
  </r>
  <r>
    <s v="SBG - Desktop"/>
    <x v="2"/>
    <s v="Bug"/>
    <s v="DESK-6746"/>
    <s v="SBG Send Later Index Issue"/>
    <s v="Bug"/>
    <x v="1"/>
    <d v="2016-02-14T12:10:00"/>
    <x v="11"/>
    <x v="1"/>
    <x v="18"/>
    <n v="8"/>
    <m/>
    <n v="127.5"/>
    <n v="22.500000000000004"/>
  </r>
  <r>
    <s v="SBG - Desktop"/>
    <x v="1"/>
    <s v="Bug"/>
    <s v="DESK-6746"/>
    <s v="SBG Send Later Index Issue"/>
    <s v="Bug"/>
    <x v="1"/>
    <d v="2016-02-26T15:44:00"/>
    <x v="11"/>
    <x v="1"/>
    <x v="23"/>
    <n v="3"/>
    <m/>
    <n v="127.5"/>
    <n v="22.500000000000004"/>
  </r>
  <r>
    <s v="SBG - Desktop"/>
    <x v="2"/>
    <s v="Bug"/>
    <s v="DESK-6763"/>
    <s v="Cart abandonment broken"/>
    <s v="Bug"/>
    <x v="1"/>
    <d v="2016-03-08T15:48:00"/>
    <x v="7"/>
    <x v="1"/>
    <x v="18"/>
    <n v="16"/>
    <m/>
    <n v="156.4"/>
    <n v="27.600000000000005"/>
  </r>
  <r>
    <s v="SBG - Desktop"/>
    <x v="1"/>
    <s v="Bug"/>
    <s v="DESK-6763"/>
    <s v="Cart abandonment broken"/>
    <s v="Bug"/>
    <x v="1"/>
    <d v="2016-03-09T18:27:00"/>
    <x v="7"/>
    <x v="1"/>
    <x v="23"/>
    <n v="2"/>
    <m/>
    <n v="156.4"/>
    <n v="27.600000000000005"/>
  </r>
  <r>
    <s v="SBG - Desktop"/>
    <x v="1"/>
    <s v="Bug"/>
    <s v="DESK-6763"/>
    <s v="Cart abandonment broken"/>
    <s v="Bug"/>
    <x v="1"/>
    <d v="2016-03-09T18:28:00"/>
    <x v="7"/>
    <x v="1"/>
    <x v="23"/>
    <n v="2"/>
    <m/>
    <n v="156.4"/>
    <n v="27.600000000000005"/>
  </r>
  <r>
    <s v="SBG - Desktop"/>
    <x v="1"/>
    <s v="Bug"/>
    <s v="DESK-6763"/>
    <s v="Cart abandonment broken"/>
    <s v="Bug"/>
    <x v="1"/>
    <d v="2016-03-10T18:03:00"/>
    <x v="7"/>
    <x v="1"/>
    <x v="23"/>
    <n v="6"/>
    <m/>
    <n v="156.4"/>
    <n v="27.600000000000005"/>
  </r>
  <r>
    <s v="SBG - Desktop"/>
    <x v="1"/>
    <s v="Bug"/>
    <s v="DESK-6763"/>
    <s v="Cart abandonment broken"/>
    <s v="Bug"/>
    <x v="1"/>
    <d v="2016-03-11T18:35:00"/>
    <x v="7"/>
    <x v="1"/>
    <x v="23"/>
    <n v="2"/>
    <m/>
    <n v="156.4"/>
    <n v="27.600000000000005"/>
  </r>
  <r>
    <s v="SBG - Desktop"/>
    <x v="1"/>
    <s v="Bug"/>
    <s v="DESK-6763"/>
    <s v="Cart abandonment broken"/>
    <s v="Bug"/>
    <x v="1"/>
    <d v="2016-03-14T15:47:00"/>
    <x v="7"/>
    <x v="1"/>
    <x v="23"/>
    <n v="2"/>
    <m/>
    <n v="156.4"/>
    <n v="27.600000000000005"/>
  </r>
  <r>
    <s v="SBG - Desktop"/>
    <x v="2"/>
    <s v="Bug"/>
    <s v="DESK-6767"/>
    <s v="Cart &quot;ADD LENSES&quot; on non-RXable models"/>
    <s v="Bug"/>
    <x v="1"/>
    <d v="2016-03-24T16:29:00"/>
    <x v="7"/>
    <x v="1"/>
    <x v="18"/>
    <n v="8"/>
    <m/>
    <n v="156.4"/>
    <n v="27.600000000000005"/>
  </r>
  <r>
    <s v="SBG - Desktop"/>
    <x v="2"/>
    <s v="Bug"/>
    <s v="DESK-6793"/>
    <s v="Error in code for Affiliate Window (UK affiliate network)"/>
    <s v="Bug"/>
    <x v="1"/>
    <d v="2016-02-03T16:45:00"/>
    <x v="11"/>
    <x v="1"/>
    <x v="10"/>
    <n v="4"/>
    <m/>
    <n v="127.5"/>
    <n v="22.500000000000004"/>
  </r>
  <r>
    <s v="SBG - Desktop"/>
    <x v="2"/>
    <s v="Bug"/>
    <s v="DESK-6793"/>
    <s v="Error in code for Affiliate Window (UK affiliate network)"/>
    <s v="Bug"/>
    <x v="1"/>
    <d v="2016-02-04T16:46:00"/>
    <x v="11"/>
    <x v="1"/>
    <x v="10"/>
    <n v="4"/>
    <m/>
    <n v="127.5"/>
    <n v="22.500000000000004"/>
  </r>
  <r>
    <s v="SBG - Desktop"/>
    <x v="2"/>
    <s v="Bug"/>
    <s v="DESK-6793"/>
    <s v="Error in code for Affiliate Window (UK affiliate network)"/>
    <s v="Bug"/>
    <x v="1"/>
    <d v="2016-02-15T16:47:00"/>
    <x v="11"/>
    <x v="1"/>
    <x v="10"/>
    <n v="2"/>
    <m/>
    <n v="127.5"/>
    <n v="22.500000000000004"/>
  </r>
  <r>
    <s v="SBG - Desktop"/>
    <x v="1"/>
    <s v="Bug"/>
    <s v="DESK-6793"/>
    <s v="Error in code for Affiliate Window (UK affiliate network)"/>
    <s v="Bug"/>
    <x v="1"/>
    <d v="2016-02-15T17:25:00"/>
    <x v="11"/>
    <x v="1"/>
    <x v="30"/>
    <n v="1"/>
    <m/>
    <n v="127.5"/>
    <n v="22.500000000000004"/>
  </r>
  <r>
    <s v="SBG - Desktop"/>
    <x v="2"/>
    <s v="Bug"/>
    <s v="DESK-6793"/>
    <s v="Error in code for Affiliate Window (UK affiliate network)"/>
    <s v="Bug"/>
    <x v="1"/>
    <d v="2016-02-16T16:47:00"/>
    <x v="11"/>
    <x v="1"/>
    <x v="10"/>
    <n v="2"/>
    <m/>
    <n v="127.5"/>
    <n v="22.500000000000004"/>
  </r>
  <r>
    <s v="SBG - Desktop"/>
    <x v="2"/>
    <s v="Bug"/>
    <s v="DESK-6793"/>
    <s v="Error in code for Affiliate Window (UK affiliate network)"/>
    <s v="Bug"/>
    <x v="1"/>
    <d v="2016-02-24T16:48:00"/>
    <x v="11"/>
    <x v="1"/>
    <x v="10"/>
    <n v="2"/>
    <m/>
    <n v="127.5"/>
    <n v="22.500000000000004"/>
  </r>
  <r>
    <s v="SBG - Desktop"/>
    <x v="1"/>
    <s v="Bug"/>
    <s v="DESK-6793"/>
    <s v="Error in code for Affiliate Window (UK affiliate network)"/>
    <s v="Bug"/>
    <x v="1"/>
    <d v="2016-02-25T15:42:00"/>
    <x v="11"/>
    <x v="1"/>
    <x v="30"/>
    <n v="1"/>
    <m/>
    <n v="127.5"/>
    <n v="22.500000000000004"/>
  </r>
  <r>
    <s v="SBG - Desktop"/>
    <x v="1"/>
    <s v="Bug"/>
    <s v="DESK-6793"/>
    <s v="Error in code for Affiliate Window (UK affiliate network)"/>
    <s v="Bug"/>
    <x v="1"/>
    <d v="2016-02-26T14:34:00"/>
    <x v="11"/>
    <x v="1"/>
    <x v="30"/>
    <n v="0.5"/>
    <m/>
    <n v="127.5"/>
    <n v="22.500000000000004"/>
  </r>
  <r>
    <s v="SBG - Desktop"/>
    <x v="1"/>
    <s v="Bug"/>
    <s v="DESK-6793"/>
    <s v="Error in code for Affiliate Window (UK affiliate network)"/>
    <s v="Bug"/>
    <x v="1"/>
    <d v="2016-02-26T16:07:00"/>
    <x v="11"/>
    <x v="1"/>
    <x v="30"/>
    <n v="0.5"/>
    <m/>
    <n v="127.5"/>
    <n v="22.500000000000004"/>
  </r>
  <r>
    <s v="SBG - Desktop"/>
    <x v="2"/>
    <s v="Bug"/>
    <s v="DESK-6793"/>
    <s v="Error in code for Affiliate Window (UK affiliate network)"/>
    <s v="Bug"/>
    <x v="1"/>
    <d v="2016-02-26T16:47:00"/>
    <x v="11"/>
    <x v="1"/>
    <x v="10"/>
    <n v="4"/>
    <m/>
    <n v="127.5"/>
    <n v="22.500000000000004"/>
  </r>
  <r>
    <s v="SBG - Desktop"/>
    <x v="1"/>
    <s v="Bug"/>
    <s v="DESK-6793"/>
    <s v="Error in code for Affiliate Window (UK affiliate network)"/>
    <s v="Bug"/>
    <x v="1"/>
    <d v="2016-02-26T17:08:00"/>
    <x v="11"/>
    <x v="1"/>
    <x v="30"/>
    <n v="1"/>
    <m/>
    <n v="127.5"/>
    <n v="22.500000000000004"/>
  </r>
  <r>
    <s v="SBG - Desktop"/>
    <x v="1"/>
    <s v="Bug"/>
    <s v="DESK-6793"/>
    <s v="Error in code for Affiliate Window (UK affiliate network)"/>
    <s v="Bug"/>
    <x v="1"/>
    <d v="2016-02-29T18:40:00"/>
    <x v="11"/>
    <x v="1"/>
    <x v="30"/>
    <n v="1"/>
    <m/>
    <n v="127.5"/>
    <n v="22.500000000000004"/>
  </r>
  <r>
    <s v="SBG - Desktop"/>
    <x v="1"/>
    <s v="Bug"/>
    <s v="DESK-6793"/>
    <s v="Error in code for Affiliate Window (UK affiliate network)"/>
    <s v="Bug"/>
    <x v="1"/>
    <d v="2016-03-01T12:19:00"/>
    <x v="7"/>
    <x v="1"/>
    <x v="30"/>
    <n v="1"/>
    <m/>
    <n v="156.4"/>
    <n v="27.600000000000005"/>
  </r>
  <r>
    <s v="SBG - Desktop"/>
    <x v="2"/>
    <s v="Bug"/>
    <s v="DESK-6795"/>
    <s v="Missing data at sbg_transfer_cart"/>
    <s v="Bug"/>
    <x v="1"/>
    <d v="2016-03-21T15:08:00"/>
    <x v="7"/>
    <x v="1"/>
    <x v="2"/>
    <n v="8"/>
    <s v="This have fixed in new java code"/>
    <n v="156.4"/>
    <n v="27.600000000000005"/>
  </r>
  <r>
    <s v="SBG - Desktop"/>
    <x v="2"/>
    <s v="Bug"/>
    <s v="DESK-6795"/>
    <s v="Missing data at sbg_transfer_cart"/>
    <s v="Bug"/>
    <x v="1"/>
    <d v="2016-03-22T10:05:00"/>
    <x v="7"/>
    <x v="1"/>
    <x v="2"/>
    <n v="8"/>
    <m/>
    <n v="156.4"/>
    <n v="27.600000000000005"/>
  </r>
  <r>
    <s v="SBG - Desktop"/>
    <x v="1"/>
    <s v="Bug"/>
    <s v="DESK-6795"/>
    <s v="Missing data at sbg_transfer_cart"/>
    <s v="Bug"/>
    <x v="1"/>
    <d v="2016-03-28T15:59:00"/>
    <x v="7"/>
    <x v="1"/>
    <x v="23"/>
    <n v="1"/>
    <m/>
    <n v="156.4"/>
    <n v="27.600000000000005"/>
  </r>
  <r>
    <s v="SBG - Desktop"/>
    <x v="2"/>
    <s v="Bug"/>
    <s v="DESK-6808"/>
    <s v="Price filters showing 750 - 10 000 000 kr - SE"/>
    <s v="Bug"/>
    <x v="1"/>
    <d v="2016-02-25T11:10:00"/>
    <x v="11"/>
    <x v="1"/>
    <x v="22"/>
    <n v="2"/>
    <m/>
    <n v="127.5"/>
    <n v="22.500000000000004"/>
  </r>
  <r>
    <s v="SBG - Desktop"/>
    <x v="1"/>
    <s v="Bug"/>
    <s v="DESK-6808"/>
    <s v="Price filters showing 750 - 10 000 000 kr - SE"/>
    <s v="Bug"/>
    <x v="1"/>
    <d v="2016-02-25T16:06:00"/>
    <x v="11"/>
    <x v="1"/>
    <x v="30"/>
    <n v="1"/>
    <m/>
    <n v="127.5"/>
    <n v="22.500000000000004"/>
  </r>
  <r>
    <s v="SBG - Desktop"/>
    <x v="1"/>
    <s v="Bug"/>
    <s v="DESK-6809"/>
    <s v="Shipping time issue on mobile"/>
    <s v="Bug"/>
    <x v="1"/>
    <d v="2016-02-22T18:20:00"/>
    <x v="11"/>
    <x v="1"/>
    <x v="23"/>
    <n v="1"/>
    <m/>
    <n v="127.5"/>
    <n v="22.500000000000004"/>
  </r>
  <r>
    <s v="SBG - Desktop"/>
    <x v="2"/>
    <s v="Bug"/>
    <s v="DESK-6809"/>
    <s v="Shipping time issue on mobile"/>
    <s v="Bug"/>
    <x v="1"/>
    <d v="2016-02-23T21:30:00"/>
    <x v="11"/>
    <x v="1"/>
    <x v="11"/>
    <n v="4"/>
    <m/>
    <n v="127.5"/>
    <n v="22.500000000000004"/>
  </r>
  <r>
    <s v="SBG - Desktop"/>
    <x v="1"/>
    <s v="Bug"/>
    <s v="DESK-6809"/>
    <s v="Shipping time issue on mobile"/>
    <s v="Bug"/>
    <x v="1"/>
    <d v="2016-02-25T18:24:00"/>
    <x v="11"/>
    <x v="1"/>
    <x v="23"/>
    <n v="1"/>
    <m/>
    <n v="127.5"/>
    <n v="22.500000000000004"/>
  </r>
  <r>
    <s v="SBG - Desktop"/>
    <x v="1"/>
    <s v="Bug"/>
    <s v="DESK-6809"/>
    <s v="Shipping time issue on mobile"/>
    <s v="Bug"/>
    <x v="1"/>
    <d v="2016-02-26T15:43:00"/>
    <x v="11"/>
    <x v="1"/>
    <x v="23"/>
    <n v="1"/>
    <m/>
    <n v="127.5"/>
    <n v="22.500000000000004"/>
  </r>
  <r>
    <s v="SBG - Desktop"/>
    <x v="0"/>
    <s v="Bug"/>
    <s v="DESK-6816"/>
    <s v="RX Bug- Quick View allows customer to buy Non-Rxable Glasses"/>
    <s v="Bug"/>
    <x v="1"/>
    <d v="2016-02-25T09:42:00"/>
    <x v="11"/>
    <x v="1"/>
    <x v="19"/>
    <n v="2"/>
    <m/>
    <n v="75"/>
    <n v="75"/>
  </r>
  <r>
    <s v="SBG - Desktop"/>
    <x v="0"/>
    <s v="Bug"/>
    <s v="DESK-6830"/>
    <s v="2 aramex logo on VD website"/>
    <s v="Bug"/>
    <x v="1"/>
    <d v="2016-02-29T14:28:00"/>
    <x v="11"/>
    <x v="1"/>
    <x v="7"/>
    <n v="75"/>
    <m/>
    <n v="75"/>
    <n v="75"/>
  </r>
  <r>
    <s v="SBG - Desktop"/>
    <x v="0"/>
    <s v="Bug"/>
    <s v="DESK-6830"/>
    <s v="2 aramex logo on VD website"/>
    <s v="Bug"/>
    <x v="1"/>
    <d v="2016-03-10T11:11:00"/>
    <x v="7"/>
    <x v="1"/>
    <x v="7"/>
    <n v="2"/>
    <m/>
    <n v="92"/>
    <n v="92"/>
  </r>
  <r>
    <s v="SBG - Desktop"/>
    <x v="1"/>
    <s v="Bug"/>
    <s v="DESK-6830"/>
    <s v="2 aramex logo on VD website"/>
    <s v="Bug"/>
    <x v="1"/>
    <d v="2016-03-10T12:58:00"/>
    <x v="7"/>
    <x v="1"/>
    <x v="30"/>
    <n v="1"/>
    <m/>
    <n v="156.4"/>
    <n v="27.600000000000005"/>
  </r>
  <r>
    <s v="SBG - Desktop"/>
    <x v="1"/>
    <s v="Task"/>
    <s v="DESK-6949"/>
    <s v="Update Tags Effiliation/Effinity BR"/>
    <s v="Task"/>
    <x v="0"/>
    <d v="2016-02-03T17:44:00"/>
    <x v="11"/>
    <x v="1"/>
    <x v="30"/>
    <n v="0.5"/>
    <m/>
    <n v="127.5"/>
    <n v="22.500000000000004"/>
  </r>
  <r>
    <s v="SBG - Desktop"/>
    <x v="2"/>
    <s v="Task"/>
    <s v="DESK-6949"/>
    <s v="Update Tags Effiliation/Effinity BR"/>
    <s v="Task"/>
    <x v="0"/>
    <d v="2016-02-04T10:00:00"/>
    <x v="11"/>
    <x v="1"/>
    <x v="29"/>
    <n v="3"/>
    <m/>
    <n v="127.5"/>
    <n v="22.500000000000004"/>
  </r>
  <r>
    <s v="SBG - Desktop"/>
    <x v="1"/>
    <s v="Task"/>
    <s v="DESK-6949"/>
    <s v="Update Tags Effiliation/Effinity BR"/>
    <s v="Task"/>
    <x v="0"/>
    <d v="2016-02-19T11:32:00"/>
    <x v="11"/>
    <x v="1"/>
    <x v="30"/>
    <n v="1"/>
    <m/>
    <n v="127.5"/>
    <n v="22.500000000000004"/>
  </r>
  <r>
    <s v="SBG - Desktop"/>
    <x v="2"/>
    <s v="Task"/>
    <s v="DESK-6949"/>
    <s v="Update Tags Effiliation/Effinity BR"/>
    <s v="Task"/>
    <x v="0"/>
    <d v="2016-02-19T11:40:00"/>
    <x v="11"/>
    <x v="1"/>
    <x v="29"/>
    <n v="2"/>
    <m/>
    <n v="127.5"/>
    <n v="22.500000000000004"/>
  </r>
  <r>
    <s v="SBG - Desktop"/>
    <x v="1"/>
    <s v="Task"/>
    <s v="DESK-6949"/>
    <s v="Update Tags Effiliation/Effinity BR"/>
    <s v="Task"/>
    <x v="0"/>
    <d v="2016-02-22T16:36:00"/>
    <x v="11"/>
    <x v="1"/>
    <x v="30"/>
    <n v="0.5"/>
    <m/>
    <n v="127.5"/>
    <n v="22.500000000000004"/>
  </r>
  <r>
    <s v="SBG - Desktop"/>
    <x v="1"/>
    <s v="Task"/>
    <s v="DESK-6961"/>
    <s v="Adding domains to Bing Webmaster Tools"/>
    <s v="Task"/>
    <x v="0"/>
    <d v="2016-02-26T17:02:00"/>
    <x v="11"/>
    <x v="1"/>
    <x v="26"/>
    <n v="0.1"/>
    <m/>
    <n v="127.5"/>
    <n v="22.500000000000004"/>
  </r>
  <r>
    <s v="SBG - Desktop"/>
    <x v="1"/>
    <s v="Task"/>
    <s v="DESK-6961"/>
    <s v="Adding domains to Bing Webmaster Tools"/>
    <s v="Task"/>
    <x v="0"/>
    <d v="2016-02-29T10:35:00"/>
    <x v="11"/>
    <x v="1"/>
    <x v="26"/>
    <n v="8"/>
    <m/>
    <n v="127.5"/>
    <n v="22.500000000000004"/>
  </r>
  <r>
    <s v="SBG - Desktop"/>
    <x v="1"/>
    <s v="Task"/>
    <s v="DESK-6961"/>
    <s v="Adding domains to Bing Webmaster Tools"/>
    <s v="Task"/>
    <x v="0"/>
    <d v="2016-03-01T10:35:00"/>
    <x v="7"/>
    <x v="1"/>
    <x v="26"/>
    <n v="8"/>
    <m/>
    <n v="156.4"/>
    <n v="27.600000000000005"/>
  </r>
  <r>
    <s v="SBG - Desktop"/>
    <x v="1"/>
    <s v="Task"/>
    <s v="DESK-6961"/>
    <s v="Adding domains to Bing Webmaster Tools"/>
    <s v="Task"/>
    <x v="0"/>
    <d v="2016-03-02T10:35:00"/>
    <x v="7"/>
    <x v="1"/>
    <x v="26"/>
    <n v="8"/>
    <m/>
    <n v="156.4"/>
    <n v="27.600000000000005"/>
  </r>
  <r>
    <s v="SBG - Desktop"/>
    <x v="1"/>
    <s v="Task"/>
    <s v="DESK-6961"/>
    <s v="Adding domains to Bing Webmaster Tools"/>
    <s v="Task"/>
    <x v="0"/>
    <d v="2016-03-03T10:35:00"/>
    <x v="7"/>
    <x v="1"/>
    <x v="26"/>
    <n v="8"/>
    <m/>
    <n v="156.4"/>
    <n v="27.600000000000005"/>
  </r>
  <r>
    <s v="SBG - Desktop"/>
    <x v="1"/>
    <s v="Task"/>
    <s v="DESK-6961"/>
    <s v="Adding domains to Bing Webmaster Tools"/>
    <s v="Task"/>
    <x v="0"/>
    <d v="2016-03-04T10:35:00"/>
    <x v="7"/>
    <x v="1"/>
    <x v="26"/>
    <n v="8"/>
    <m/>
    <n v="156.4"/>
    <n v="27.600000000000005"/>
  </r>
  <r>
    <s v="SBG - Desktop"/>
    <x v="0"/>
    <s v="Task"/>
    <s v="DESK-6972"/>
    <s v="Korea domain's return form doesn't have the &quot;Return Address&quot;, please Add."/>
    <s v="Task"/>
    <x v="0"/>
    <d v="2016-02-24T09:48:00"/>
    <x v="11"/>
    <x v="1"/>
    <x v="19"/>
    <n v="1"/>
    <m/>
    <n v="75"/>
    <n v="75"/>
  </r>
  <r>
    <s v="SBG - Desktop"/>
    <x v="2"/>
    <s v="Task"/>
    <s v="DESK-6972"/>
    <s v="Korea domain's return form doesn't have the &quot;Return Address&quot;, please Add."/>
    <s v="Task"/>
    <x v="0"/>
    <d v="2016-02-24T10:37:00"/>
    <x v="11"/>
    <x v="1"/>
    <x v="29"/>
    <n v="1"/>
    <m/>
    <n v="127.5"/>
    <n v="22.500000000000004"/>
  </r>
  <r>
    <s v="SBG - Desktop"/>
    <x v="1"/>
    <s v="Task"/>
    <s v="DESK-6972"/>
    <s v="Korea domain's return form doesn't have the &quot;Return Address&quot;, please Add."/>
    <s v="Task"/>
    <x v="0"/>
    <d v="2016-02-25T15:50:00"/>
    <x v="11"/>
    <x v="1"/>
    <x v="30"/>
    <n v="1"/>
    <m/>
    <n v="127.5"/>
    <n v="22.500000000000004"/>
  </r>
  <r>
    <s v="SBG - Desktop"/>
    <x v="2"/>
    <s v="Task"/>
    <s v="DESK-7011"/>
    <s v="Update links for social media accounts - FR, NL, SE, DK, NO, MX"/>
    <s v="Task"/>
    <x v="0"/>
    <d v="2016-03-24T14:42:00"/>
    <x v="7"/>
    <x v="1"/>
    <x v="29"/>
    <n v="8"/>
    <m/>
    <n v="156.4"/>
    <n v="27.600000000000005"/>
  </r>
  <r>
    <s v="SBG - Desktop"/>
    <x v="1"/>
    <s v="Task"/>
    <s v="DESK-7011"/>
    <s v="Update links for social media accounts - FR, NL, SE, DK, NO, MX"/>
    <s v="Task"/>
    <x v="0"/>
    <d v="2016-03-30T18:00:00"/>
    <x v="7"/>
    <x v="1"/>
    <x v="23"/>
    <n v="3"/>
    <m/>
    <n v="156.4"/>
    <n v="27.600000000000005"/>
  </r>
  <r>
    <s v="SBG - Desktop"/>
    <x v="0"/>
    <s v="Task"/>
    <s v="DESK-7039"/>
    <s v="Lafont and Etnia Barcelona- Home Page Banners"/>
    <s v="Task"/>
    <x v="0"/>
    <d v="2016-02-04T10:00:00"/>
    <x v="11"/>
    <x v="1"/>
    <x v="19"/>
    <n v="2"/>
    <m/>
    <n v="75"/>
    <n v="75"/>
  </r>
  <r>
    <s v="SBG - Desktop"/>
    <x v="2"/>
    <s v="Task"/>
    <s v="DESK-7115"/>
    <s v="Update Homepage Logic: Do not show Giorgio Armani Homepage Banner"/>
    <s v="Task"/>
    <x v="0"/>
    <d v="2016-03-01T15:00:00"/>
    <x v="7"/>
    <x v="1"/>
    <x v="29"/>
    <n v="2"/>
    <m/>
    <n v="156.4"/>
    <n v="27.600000000000005"/>
  </r>
  <r>
    <s v="SBG - Desktop"/>
    <x v="1"/>
    <s v="Task"/>
    <s v="DESK-7115"/>
    <s v="Update Homepage Logic: Do not show Giorgio Armani Homepage Banner"/>
    <s v="Task"/>
    <x v="0"/>
    <d v="2016-03-02T14:35:00"/>
    <x v="7"/>
    <x v="1"/>
    <x v="30"/>
    <n v="2"/>
    <m/>
    <n v="156.4"/>
    <n v="27.600000000000005"/>
  </r>
  <r>
    <s v="SBG - Desktop"/>
    <x v="2"/>
    <s v="Task"/>
    <s v="DESK-7129"/>
    <s v="visiondirect Collection Sunglasses Missing"/>
    <s v="Task"/>
    <x v="0"/>
    <d v="2016-02-02T13:00:00"/>
    <x v="11"/>
    <x v="1"/>
    <x v="11"/>
    <n v="6"/>
    <m/>
    <n v="127.5"/>
    <n v="22.500000000000004"/>
  </r>
  <r>
    <s v="SBG - Desktop"/>
    <x v="2"/>
    <s v="Task"/>
    <s v="DESK-7129"/>
    <s v="visiondirect Collection Sunglasses Missing"/>
    <s v="Task"/>
    <x v="0"/>
    <d v="2016-02-14T16:20:00"/>
    <x v="11"/>
    <x v="1"/>
    <x v="11"/>
    <n v="59"/>
    <m/>
    <n v="127.5"/>
    <n v="22.500000000000004"/>
  </r>
  <r>
    <s v="SBG - Desktop"/>
    <x v="1"/>
    <s v="Task"/>
    <s v="DESK-7129"/>
    <s v="visiondirect Collection Sunglasses Missing"/>
    <s v="Task"/>
    <x v="0"/>
    <d v="2016-02-18T17:40:00"/>
    <x v="11"/>
    <x v="1"/>
    <x v="26"/>
    <n v="0.1"/>
    <m/>
    <n v="127.5"/>
    <n v="22.500000000000004"/>
  </r>
  <r>
    <s v="SBG - Desktop"/>
    <x v="2"/>
    <s v="Task"/>
    <s v="DESK-7133"/>
    <s v="Etnia Barcelona + Timberland banners not loading"/>
    <s v="Task"/>
    <x v="0"/>
    <d v="2016-02-02T18:00:00"/>
    <x v="11"/>
    <x v="1"/>
    <x v="29"/>
    <n v="0.5"/>
    <m/>
    <n v="127.5"/>
    <n v="22.500000000000004"/>
  </r>
  <r>
    <s v="SBG - Desktop"/>
    <x v="2"/>
    <s v="Task"/>
    <s v="DESK-7133"/>
    <s v="Etnia Barcelona + Timberland banners not loading"/>
    <s v="Task"/>
    <x v="0"/>
    <d v="2016-02-03T09:30:00"/>
    <x v="11"/>
    <x v="1"/>
    <x v="29"/>
    <n v="7"/>
    <m/>
    <n v="127.5"/>
    <n v="22.500000000000004"/>
  </r>
  <r>
    <s v="SBG - Desktop"/>
    <x v="2"/>
    <s v="Task"/>
    <s v="DESK-7147"/>
    <s v="Xdebug presentation to all sbg members"/>
    <s v="Task"/>
    <x v="0"/>
    <d v="2016-02-02T11:55:00"/>
    <x v="11"/>
    <x v="1"/>
    <x v="29"/>
    <n v="8"/>
    <m/>
    <n v="127.5"/>
    <n v="22.500000000000004"/>
  </r>
  <r>
    <s v="SBG - Desktop"/>
    <x v="2"/>
    <s v="Task"/>
    <s v="DESK-7147"/>
    <s v="Xdebug presentation to all sbg members"/>
    <s v="Task"/>
    <x v="0"/>
    <d v="2016-02-15T15:46:00"/>
    <x v="11"/>
    <x v="1"/>
    <x v="29"/>
    <n v="40"/>
    <m/>
    <n v="127.5"/>
    <n v="22.500000000000004"/>
  </r>
  <r>
    <s v="SBG - Desktop"/>
    <x v="2"/>
    <s v="Task"/>
    <s v="DESK-7147"/>
    <s v="Xdebug presentation to all sbg members"/>
    <s v="Task"/>
    <x v="0"/>
    <d v="2016-02-18T15:47:00"/>
    <x v="11"/>
    <x v="1"/>
    <x v="29"/>
    <n v="5"/>
    <m/>
    <n v="127.5"/>
    <n v="22.500000000000004"/>
  </r>
  <r>
    <s v="SBG - Desktop"/>
    <x v="2"/>
    <s v="Task"/>
    <s v="DESK-7147"/>
    <s v="Xdebug presentation to all sbg members"/>
    <s v="Task"/>
    <x v="0"/>
    <d v="2016-02-22T15:46:00"/>
    <x v="11"/>
    <x v="1"/>
    <x v="29"/>
    <n v="24"/>
    <m/>
    <n v="127.5"/>
    <n v="22.500000000000004"/>
  </r>
  <r>
    <s v="SBG - Desktop"/>
    <x v="2"/>
    <s v="Task"/>
    <s v="DESK-7170"/>
    <s v="Incorrect Google Analytics Tracking on Optical Centre"/>
    <s v="Task"/>
    <x v="0"/>
    <d v="2016-03-16T09:32:00"/>
    <x v="7"/>
    <x v="1"/>
    <x v="10"/>
    <n v="8"/>
    <m/>
    <n v="156.4"/>
    <n v="27.600000000000005"/>
  </r>
  <r>
    <s v="SBG - Desktop"/>
    <x v="2"/>
    <s v="Task"/>
    <s v="DESK-7176"/>
    <s v="Redirect low-sale subdomains"/>
    <s v="Task"/>
    <x v="0"/>
    <d v="2016-02-22T10:00:00"/>
    <x v="11"/>
    <x v="1"/>
    <x v="29"/>
    <n v="5"/>
    <m/>
    <n v="127.5"/>
    <n v="22.500000000000004"/>
  </r>
  <r>
    <s v="SBG - Desktop"/>
    <x v="2"/>
    <s v="Task"/>
    <s v="DESK-7176"/>
    <s v="Redirect low-sale subdomains"/>
    <s v="Task"/>
    <x v="0"/>
    <d v="2016-03-01T11:00:00"/>
    <x v="7"/>
    <x v="1"/>
    <x v="29"/>
    <n v="2"/>
    <m/>
    <n v="156.4"/>
    <n v="27.600000000000005"/>
  </r>
  <r>
    <s v="SBG - Desktop"/>
    <x v="2"/>
    <s v="Task"/>
    <s v="DESK-7176"/>
    <s v="Redirect low-sale subdomains"/>
    <s v="Task"/>
    <x v="0"/>
    <d v="2016-03-01T14:00:00"/>
    <x v="7"/>
    <x v="1"/>
    <x v="29"/>
    <n v="2"/>
    <m/>
    <n v="156.4"/>
    <n v="27.600000000000005"/>
  </r>
  <r>
    <s v="SBG - Desktop"/>
    <x v="1"/>
    <s v="Task"/>
    <s v="DESK-7176"/>
    <s v="Redirect low-sale subdomains"/>
    <s v="Task"/>
    <x v="0"/>
    <d v="2016-03-07T18:29:00"/>
    <x v="7"/>
    <x v="1"/>
    <x v="30"/>
    <n v="2"/>
    <m/>
    <n v="156.4"/>
    <n v="27.600000000000005"/>
  </r>
  <r>
    <s v="SBG - Desktop"/>
    <x v="1"/>
    <s v="Task"/>
    <s v="DESK-7176"/>
    <s v="Redirect low-sale subdomains"/>
    <s v="Task"/>
    <x v="0"/>
    <d v="2016-03-16T18:02:00"/>
    <x v="7"/>
    <x v="1"/>
    <x v="30"/>
    <n v="1.5"/>
    <m/>
    <n v="156.4"/>
    <n v="27.600000000000005"/>
  </r>
  <r>
    <s v="SBG - Desktop"/>
    <x v="1"/>
    <s v="Task"/>
    <s v="DESK-7176"/>
    <s v="Redirect low-sale subdomains"/>
    <s v="Task"/>
    <x v="0"/>
    <d v="2016-03-17T14:25:00"/>
    <x v="7"/>
    <x v="1"/>
    <x v="30"/>
    <n v="1.5"/>
    <m/>
    <n v="156.4"/>
    <n v="27.600000000000005"/>
  </r>
  <r>
    <s v="SBG - Desktop"/>
    <x v="1"/>
    <s v="Task"/>
    <s v="DESK-7176"/>
    <s v="Redirect low-sale subdomains"/>
    <s v="Task"/>
    <x v="0"/>
    <d v="2016-03-17T16:23:00"/>
    <x v="7"/>
    <x v="1"/>
    <x v="30"/>
    <n v="0.5"/>
    <m/>
    <n v="156.4"/>
    <n v="27.600000000000005"/>
  </r>
  <r>
    <s v="SBG - Desktop"/>
    <x v="2"/>
    <s v="Task"/>
    <s v="DESK-7230"/>
    <s v="Reactivate Giorgio Armani and Armani Exchange"/>
    <s v="Task"/>
    <x v="0"/>
    <d v="2016-02-04T16:10:00"/>
    <x v="11"/>
    <x v="1"/>
    <x v="29"/>
    <n v="1"/>
    <m/>
    <n v="127.5"/>
    <n v="22.500000000000004"/>
  </r>
  <r>
    <s v="SBG - Desktop"/>
    <x v="1"/>
    <s v="Task"/>
    <s v="DESK-7230"/>
    <s v="Reactivate Giorgio Armani and Armani Exchange"/>
    <s v="Task"/>
    <x v="0"/>
    <d v="2016-02-05T16:16:00"/>
    <x v="11"/>
    <x v="1"/>
    <x v="26"/>
    <n v="1"/>
    <m/>
    <n v="127.5"/>
    <n v="22.500000000000004"/>
  </r>
  <r>
    <s v="SBG - Desktop"/>
    <x v="2"/>
    <s v="Task"/>
    <s v="DESK-7230"/>
    <s v="Reactivate Giorgio Armani and Armani Exchange"/>
    <s v="Task"/>
    <x v="0"/>
    <d v="2016-02-15T09:57:00"/>
    <x v="11"/>
    <x v="1"/>
    <x v="29"/>
    <n v="1"/>
    <m/>
    <n v="127.5"/>
    <n v="22.500000000000004"/>
  </r>
  <r>
    <s v="SBG - Desktop"/>
    <x v="1"/>
    <s v="Task"/>
    <s v="DESK-7230"/>
    <s v="Reactivate Giorgio Armani and Armani Exchange"/>
    <s v="Task"/>
    <x v="0"/>
    <d v="2016-02-15T16:23:00"/>
    <x v="11"/>
    <x v="1"/>
    <x v="26"/>
    <n v="4"/>
    <m/>
    <n v="127.5"/>
    <n v="22.500000000000004"/>
  </r>
  <r>
    <s v="SBG - Desktop"/>
    <x v="0"/>
    <s v="Task"/>
    <s v="DESK-7232"/>
    <s v="Lafont, Etnia Barcelona and Spektre Homepage Banners"/>
    <s v="Task"/>
    <x v="0"/>
    <d v="2016-02-07T16:42:00"/>
    <x v="11"/>
    <x v="1"/>
    <x v="19"/>
    <n v="8"/>
    <m/>
    <n v="75"/>
    <n v="75"/>
  </r>
  <r>
    <s v="SBG - Desktop"/>
    <x v="0"/>
    <s v="Task"/>
    <s v="DESK-7232"/>
    <s v="Lafont, Etnia Barcelona and Spektre Homepage Banners"/>
    <s v="Task"/>
    <x v="0"/>
    <d v="2016-02-18T11:26:00"/>
    <x v="11"/>
    <x v="1"/>
    <x v="19"/>
    <n v="6"/>
    <m/>
    <n v="75"/>
    <n v="75"/>
  </r>
  <r>
    <s v="SBG - Desktop"/>
    <x v="0"/>
    <s v="Task"/>
    <s v="DESK-7232"/>
    <s v="Lafont, Etnia Barcelona and Spektre Homepage Banners"/>
    <s v="Task"/>
    <x v="0"/>
    <d v="2016-02-24T14:49:00"/>
    <x v="11"/>
    <x v="1"/>
    <x v="19"/>
    <n v="1"/>
    <m/>
    <n v="75"/>
    <n v="75"/>
  </r>
  <r>
    <s v="SBG - Desktop"/>
    <x v="0"/>
    <s v="Task"/>
    <s v="DESK-7232"/>
    <s v="Lafont, Etnia Barcelona and Spektre Homepage Banners"/>
    <s v="Task"/>
    <x v="0"/>
    <d v="2016-03-02T13:28:00"/>
    <x v="7"/>
    <x v="1"/>
    <x v="19"/>
    <n v="4"/>
    <m/>
    <n v="92"/>
    <n v="92"/>
  </r>
  <r>
    <s v="SBG - Desktop"/>
    <x v="1"/>
    <s v="Task"/>
    <s v="DESK-7238"/>
    <s v="Lafont: Hide Logo, Product Photos, Alogolia Search Photos, Homepage Banner"/>
    <s v="Task"/>
    <x v="0"/>
    <d v="2016-02-03T12:41:00"/>
    <x v="11"/>
    <x v="1"/>
    <x v="26"/>
    <n v="6"/>
    <m/>
    <n v="127.5"/>
    <n v="22.500000000000004"/>
  </r>
  <r>
    <s v="SBG - Desktop"/>
    <x v="0"/>
    <s v="Task"/>
    <s v="DESK-7238"/>
    <s v="Lafont: Hide Logo, Product Photos, Alogolia Search Photos, Homepage Banner"/>
    <s v="Task"/>
    <x v="0"/>
    <d v="2016-02-03T13:56:00"/>
    <x v="11"/>
    <x v="1"/>
    <x v="19"/>
    <n v="2"/>
    <m/>
    <n v="75"/>
    <n v="75"/>
  </r>
  <r>
    <s v="SBG - Desktop"/>
    <x v="1"/>
    <s v="Task"/>
    <s v="DESK-7238"/>
    <s v="Lafont: Hide Logo, Product Photos, Alogolia Search Photos, Homepage Banner"/>
    <s v="Task"/>
    <x v="0"/>
    <d v="2016-02-04T10:41:00"/>
    <x v="11"/>
    <x v="1"/>
    <x v="26"/>
    <n v="8"/>
    <m/>
    <n v="127.5"/>
    <n v="22.500000000000004"/>
  </r>
  <r>
    <s v="SBG - Desktop"/>
    <x v="1"/>
    <s v="Task"/>
    <s v="DESK-7238"/>
    <s v="Lafont: Hide Logo, Product Photos, Alogolia Search Photos, Homepage Banner"/>
    <s v="Task"/>
    <x v="0"/>
    <d v="2016-02-05T09:56:00"/>
    <x v="11"/>
    <x v="1"/>
    <x v="26"/>
    <n v="3"/>
    <m/>
    <n v="127.5"/>
    <n v="22.500000000000004"/>
  </r>
  <r>
    <s v="SBG - Desktop"/>
    <x v="2"/>
    <s v="Task"/>
    <s v="DESK-7263"/>
    <s v="prepare documentation on how to install git client on EC2"/>
    <s v="Task"/>
    <x v="0"/>
    <d v="2016-02-22T16:47:00"/>
    <x v="11"/>
    <x v="1"/>
    <x v="18"/>
    <n v="8"/>
    <m/>
    <n v="127.5"/>
    <n v="22.500000000000004"/>
  </r>
  <r>
    <s v="SBG - Desktop"/>
    <x v="1"/>
    <s v="Task"/>
    <s v="DESK-7268"/>
    <s v="Replace HomePage Banners Worldwide - Spring Banners"/>
    <s v="Task"/>
    <x v="0"/>
    <d v="2016-02-19T18:22:00"/>
    <x v="11"/>
    <x v="1"/>
    <x v="23"/>
    <n v="1"/>
    <m/>
    <n v="127.5"/>
    <n v="22.500000000000004"/>
  </r>
  <r>
    <s v="SBG - Desktop"/>
    <x v="1"/>
    <s v="Task"/>
    <s v="DESK-7268"/>
    <s v="Replace HomePage Banners Worldwide - Spring Banners"/>
    <s v="Task"/>
    <x v="0"/>
    <d v="2016-02-22T18:20:00"/>
    <x v="11"/>
    <x v="1"/>
    <x v="23"/>
    <n v="1"/>
    <m/>
    <n v="127.5"/>
    <n v="22.500000000000004"/>
  </r>
  <r>
    <s v="SBG - Desktop"/>
    <x v="2"/>
    <s v="Task"/>
    <s v="DESK-7278"/>
    <s v="Remove Call Back Function"/>
    <s v="Task"/>
    <x v="0"/>
    <d v="2016-02-23T11:19:00"/>
    <x v="11"/>
    <x v="1"/>
    <x v="29"/>
    <n v="2"/>
    <m/>
    <n v="127.5"/>
    <n v="22.500000000000004"/>
  </r>
  <r>
    <s v="SBG - Desktop"/>
    <x v="1"/>
    <s v="Task"/>
    <s v="DESK-7278"/>
    <s v="Remove Call Back Function"/>
    <s v="Task"/>
    <x v="0"/>
    <d v="2016-02-25T14:30:00"/>
    <x v="11"/>
    <x v="1"/>
    <x v="30"/>
    <n v="2"/>
    <m/>
    <n v="127.5"/>
    <n v="22.500000000000004"/>
  </r>
  <r>
    <s v="SBG - Desktop"/>
    <x v="1"/>
    <s v="Task"/>
    <s v="DESK-7310"/>
    <s v="Design changes on SBG Desktop"/>
    <s v="Task"/>
    <x v="0"/>
    <d v="2016-02-22T10:19:00"/>
    <x v="11"/>
    <x v="1"/>
    <x v="26"/>
    <n v="8"/>
    <m/>
    <n v="127.5"/>
    <n v="22.500000000000004"/>
  </r>
  <r>
    <s v="SBG - Desktop"/>
    <x v="1"/>
    <s v="Task"/>
    <s v="DESK-7310"/>
    <s v="Design changes on SBG Desktop"/>
    <s v="Task"/>
    <x v="0"/>
    <d v="2016-02-24T10:19:00"/>
    <x v="11"/>
    <x v="1"/>
    <x v="26"/>
    <n v="8"/>
    <m/>
    <n v="127.5"/>
    <n v="22.500000000000004"/>
  </r>
  <r>
    <s v="SBG - Desktop"/>
    <x v="1"/>
    <s v="Task"/>
    <s v="DESK-7310"/>
    <s v="Design changes on SBG Desktop"/>
    <s v="Task"/>
    <x v="0"/>
    <d v="2016-02-26T16:57:00"/>
    <x v="11"/>
    <x v="1"/>
    <x v="26"/>
    <n v="1"/>
    <m/>
    <n v="127.5"/>
    <n v="22.500000000000004"/>
  </r>
  <r>
    <s v="SBG - Desktop"/>
    <x v="2"/>
    <s v="Task"/>
    <s v="DESK-7320"/>
    <s v="PHPUnit presentation to all SBG team members"/>
    <s v="Task"/>
    <x v="0"/>
    <d v="2016-02-01T12:07:00"/>
    <x v="11"/>
    <x v="1"/>
    <x v="29"/>
    <n v="8"/>
    <m/>
    <n v="127.5"/>
    <n v="22.500000000000004"/>
  </r>
  <r>
    <s v="SBG - Desktop"/>
    <x v="2"/>
    <s v="Task"/>
    <s v="DESK-7320"/>
    <s v="PHPUnit presentation to all SBG team members"/>
    <s v="Task"/>
    <x v="0"/>
    <d v="2016-02-02T12:07:00"/>
    <x v="11"/>
    <x v="1"/>
    <x v="29"/>
    <n v="8"/>
    <m/>
    <n v="127.5"/>
    <n v="22.500000000000004"/>
  </r>
  <r>
    <s v="SBG - Desktop"/>
    <x v="1"/>
    <s v="Task"/>
    <s v="DESK-7327"/>
    <s v="VD Health Rebate - edit text in dropdown box"/>
    <s v="Task"/>
    <x v="0"/>
    <d v="2016-02-03T12:08:00"/>
    <x v="11"/>
    <x v="1"/>
    <x v="30"/>
    <n v="1"/>
    <m/>
    <n v="127.5"/>
    <n v="22.500000000000004"/>
  </r>
  <r>
    <s v="SBG - Desktop"/>
    <x v="1"/>
    <s v="Task"/>
    <s v="DESK-7327"/>
    <s v="VD Health Rebate - edit text in dropdown box"/>
    <s v="Task"/>
    <x v="0"/>
    <d v="2016-02-15T17:26:00"/>
    <x v="11"/>
    <x v="1"/>
    <x v="30"/>
    <n v="0.5"/>
    <m/>
    <n v="127.5"/>
    <n v="22.500000000000004"/>
  </r>
  <r>
    <s v="SBG - Desktop"/>
    <x v="1"/>
    <s v="Task"/>
    <s v="DESK-7345"/>
    <s v="Roll-back the SQL about JIRA SBG-2981"/>
    <s v="Task"/>
    <x v="0"/>
    <d v="2016-02-01T10:06:00"/>
    <x v="11"/>
    <x v="1"/>
    <x v="26"/>
    <n v="0.1"/>
    <m/>
    <n v="127.5"/>
    <n v="22.500000000000004"/>
  </r>
  <r>
    <s v="SBG - Desktop"/>
    <x v="1"/>
    <s v="Task"/>
    <s v="DESK-7345"/>
    <s v="Roll-back the SQL about JIRA SBG-2981"/>
    <s v="Task"/>
    <x v="0"/>
    <d v="2016-02-05T11:30:00"/>
    <x v="11"/>
    <x v="1"/>
    <x v="26"/>
    <n v="4"/>
    <m/>
    <n v="127.5"/>
    <n v="22.500000000000004"/>
  </r>
  <r>
    <s v="SBG - Desktop"/>
    <x v="1"/>
    <s v="Bug"/>
    <s v="DESK-7363"/>
    <s v="Valentine's Day Campaign Banners - Language Errors"/>
    <s v="Bug"/>
    <x v="1"/>
    <d v="2016-02-03T16:23:00"/>
    <x v="11"/>
    <x v="1"/>
    <x v="26"/>
    <n v="1"/>
    <m/>
    <n v="127.5"/>
    <n v="22.500000000000004"/>
  </r>
  <r>
    <s v="SBG - Desktop"/>
    <x v="0"/>
    <s v="Bug"/>
    <s v="DESK-7363"/>
    <s v="Valentine's Day Campaign Banners - Language Errors"/>
    <s v="Bug"/>
    <x v="1"/>
    <d v="2016-02-03T16:37:00"/>
    <x v="11"/>
    <x v="1"/>
    <x v="24"/>
    <n v="1"/>
    <m/>
    <n v="75"/>
    <n v="75"/>
  </r>
  <r>
    <s v="SBG - Desktop"/>
    <x v="0"/>
    <s v="Bug"/>
    <s v="DESK-7363"/>
    <s v="Valentine's Day Campaign Banners - Language Errors"/>
    <s v="Bug"/>
    <x v="1"/>
    <d v="2016-02-05T10:31:00"/>
    <x v="11"/>
    <x v="1"/>
    <x v="24"/>
    <n v="8"/>
    <m/>
    <n v="75"/>
    <n v="75"/>
  </r>
  <r>
    <s v="SBG - Desktop"/>
    <x v="0"/>
    <s v="Bug"/>
    <s v="DESK-7363"/>
    <s v="Valentine's Day Campaign Banners - Language Errors"/>
    <s v="Bug"/>
    <x v="1"/>
    <d v="2016-02-09T10:31:00"/>
    <x v="11"/>
    <x v="1"/>
    <x v="24"/>
    <n v="8"/>
    <m/>
    <n v="75"/>
    <n v="75"/>
  </r>
  <r>
    <s v="SBG - Desktop"/>
    <x v="0"/>
    <s v="Bug"/>
    <s v="DESK-7363"/>
    <s v="Valentine's Day Campaign Banners - Language Errors"/>
    <s v="Bug"/>
    <x v="1"/>
    <d v="2016-02-10T10:31:00"/>
    <x v="11"/>
    <x v="1"/>
    <x v="24"/>
    <n v="8"/>
    <m/>
    <n v="75"/>
    <n v="75"/>
  </r>
  <r>
    <s v="SBG - Desktop"/>
    <x v="1"/>
    <s v="Task"/>
    <s v="DESK-7570"/>
    <s v="API for Tmall 国际 法国店"/>
    <s v="Task"/>
    <x v="0"/>
    <d v="2016-02-15T20:03:00"/>
    <x v="11"/>
    <x v="1"/>
    <x v="1"/>
    <n v="8"/>
    <m/>
    <n v="127.5"/>
    <n v="22.500000000000004"/>
  </r>
  <r>
    <s v="SBG - Desktop"/>
    <x v="1"/>
    <s v="Task"/>
    <s v="DESK-7570"/>
    <s v="API for Tmall 国际 法国店"/>
    <s v="Task"/>
    <x v="0"/>
    <d v="2016-02-18T11:36:00"/>
    <x v="11"/>
    <x v="1"/>
    <x v="1"/>
    <n v="3"/>
    <m/>
    <n v="127.5"/>
    <n v="22.500000000000004"/>
  </r>
  <r>
    <s v="SBG - Desktop"/>
    <x v="1"/>
    <s v="Task"/>
    <s v="DESK-7570"/>
    <s v="API for Tmall 国际 法国店"/>
    <s v="Task"/>
    <x v="0"/>
    <d v="2016-02-19T20:02:00"/>
    <x v="11"/>
    <x v="1"/>
    <x v="1"/>
    <n v="8"/>
    <m/>
    <n v="127.5"/>
    <n v="22.500000000000004"/>
  </r>
  <r>
    <s v="SBG - Desktop"/>
    <x v="1"/>
    <s v="Task"/>
    <s v="DESK-7570"/>
    <s v="API for Tmall 国际 法国店"/>
    <s v="Task"/>
    <x v="0"/>
    <d v="2016-02-22T19:07:00"/>
    <x v="11"/>
    <x v="1"/>
    <x v="1"/>
    <n v="5"/>
    <m/>
    <n v="127.5"/>
    <n v="22.500000000000004"/>
  </r>
  <r>
    <s v="SBG - Desktop"/>
    <x v="1"/>
    <s v="Task"/>
    <s v="DESK-7570"/>
    <s v="API for Tmall 国际 法国店"/>
    <s v="Task"/>
    <x v="0"/>
    <d v="2016-02-26T19:40:00"/>
    <x v="11"/>
    <x v="1"/>
    <x v="1"/>
    <n v="2"/>
    <m/>
    <n v="127.5"/>
    <n v="22.500000000000004"/>
  </r>
  <r>
    <s v="SBG - Desktop"/>
    <x v="1"/>
    <s v="Bug"/>
    <s v="DESK-7571"/>
    <s v="Payment success in Alipay account, payment status is wrong in DB"/>
    <s v="Bug"/>
    <x v="1"/>
    <d v="2016-02-22T15:55:00"/>
    <x v="11"/>
    <x v="1"/>
    <x v="1"/>
    <n v="1"/>
    <m/>
    <n v="127.5"/>
    <n v="22.500000000000004"/>
  </r>
  <r>
    <s v="SBG - Desktop"/>
    <x v="2"/>
    <s v="Bug"/>
    <s v="DESK-7571"/>
    <s v="Payment success in Alipay account, payment status is wrong in DB"/>
    <s v="Bug"/>
    <x v="1"/>
    <d v="2016-02-29T17:00:00"/>
    <x v="11"/>
    <x v="1"/>
    <x v="31"/>
    <n v="23"/>
    <m/>
    <n v="127.5"/>
    <n v="22.500000000000004"/>
  </r>
  <r>
    <s v="SBG - Desktop"/>
    <x v="1"/>
    <s v="Bug"/>
    <s v="DESK-7571"/>
    <s v="Payment success in Alipay account, payment status is wrong in DB"/>
    <s v="Bug"/>
    <x v="1"/>
    <d v="2016-03-01T14:29:00"/>
    <x v="7"/>
    <x v="1"/>
    <x v="1"/>
    <n v="2"/>
    <m/>
    <n v="156.4"/>
    <n v="27.600000000000005"/>
  </r>
  <r>
    <s v="SBG - Desktop"/>
    <x v="1"/>
    <s v="Bug"/>
    <s v="DESK-7571"/>
    <s v="Payment success in Alipay account, payment status is wrong in DB"/>
    <s v="Bug"/>
    <x v="1"/>
    <d v="2016-03-07T18:55:00"/>
    <x v="7"/>
    <x v="1"/>
    <x v="1"/>
    <n v="1"/>
    <m/>
    <n v="156.4"/>
    <n v="27.600000000000005"/>
  </r>
  <r>
    <s v="SBG - Desktop"/>
    <x v="1"/>
    <s v="Bug"/>
    <s v="DESK-7571"/>
    <s v="Payment success in Alipay account, payment status is wrong in DB"/>
    <s v="Bug"/>
    <x v="1"/>
    <d v="2016-03-08T18:21:00"/>
    <x v="7"/>
    <x v="1"/>
    <x v="1"/>
    <n v="3"/>
    <m/>
    <n v="156.4"/>
    <n v="27.600000000000005"/>
  </r>
  <r>
    <s v="SBG - Desktop"/>
    <x v="1"/>
    <s v="Bug"/>
    <s v="DESK-7571"/>
    <s v="Payment success in Alipay account, payment status is wrong in DB"/>
    <s v="Bug"/>
    <x v="1"/>
    <d v="2016-03-09T16:44:00"/>
    <x v="7"/>
    <x v="1"/>
    <x v="1"/>
    <n v="1"/>
    <m/>
    <n v="156.4"/>
    <n v="27.600000000000005"/>
  </r>
  <r>
    <s v="SBG - Desktop"/>
    <x v="1"/>
    <s v="Bug"/>
    <s v="DESK-7575"/>
    <s v="Add Baidu Tuiguang tracking code"/>
    <s v="Bug"/>
    <x v="1"/>
    <d v="2016-02-23T19:12:00"/>
    <x v="11"/>
    <x v="1"/>
    <x v="1"/>
    <n v="4"/>
    <m/>
    <n v="127.5"/>
    <n v="22.500000000000004"/>
  </r>
  <r>
    <s v="SBG - Desktop"/>
    <x v="1"/>
    <s v="Bug"/>
    <s v="DESK-7576"/>
    <s v="Find why baidu tracking data is not correct"/>
    <s v="Bug"/>
    <x v="1"/>
    <d v="2016-02-24T11:17:00"/>
    <x v="11"/>
    <x v="1"/>
    <x v="1"/>
    <n v="2"/>
    <m/>
    <n v="127.5"/>
    <n v="22.500000000000004"/>
  </r>
  <r>
    <s v="SBG - Desktop"/>
    <x v="1"/>
    <s v="Bug"/>
    <s v="DESK-7576"/>
    <s v="Find why baidu tracking data is not correct"/>
    <s v="Bug"/>
    <x v="1"/>
    <d v="2016-02-25T11:15:00"/>
    <x v="11"/>
    <x v="1"/>
    <x v="1"/>
    <n v="2"/>
    <m/>
    <n v="127.5"/>
    <n v="22.500000000000004"/>
  </r>
  <r>
    <s v="SBG - Desktop"/>
    <x v="1"/>
    <s v="Bug"/>
    <s v="DESK-7576"/>
    <s v="Find why baidu tracking data is not correct"/>
    <s v="Bug"/>
    <x v="1"/>
    <d v="2016-02-26T19:41:00"/>
    <x v="11"/>
    <x v="1"/>
    <x v="1"/>
    <n v="2"/>
    <m/>
    <n v="127.5"/>
    <n v="22.500000000000004"/>
  </r>
  <r>
    <s v="SBG - Desktop"/>
    <x v="2"/>
    <s v="Bug"/>
    <s v="DESK-7577"/>
    <s v="Discontinued item shows fast shipping"/>
    <s v="Bug"/>
    <x v="1"/>
    <d v="2016-02-22T16:30:00"/>
    <x v="11"/>
    <x v="1"/>
    <x v="11"/>
    <n v="3"/>
    <m/>
    <n v="127.5"/>
    <n v="22.500000000000004"/>
  </r>
  <r>
    <s v="SBG - Desktop"/>
    <x v="1"/>
    <s v="Bug"/>
    <s v="DESK-7577"/>
    <s v="Discontinued item shows fast shipping"/>
    <s v="Bug"/>
    <x v="1"/>
    <d v="2016-02-22T19:07:00"/>
    <x v="11"/>
    <x v="1"/>
    <x v="1"/>
    <n v="1"/>
    <m/>
    <n v="127.5"/>
    <n v="22.500000000000004"/>
  </r>
  <r>
    <s v="SBG - Desktop"/>
    <x v="1"/>
    <s v="Bug"/>
    <s v="DESK-7577"/>
    <s v="Discontinued item shows fast shipping"/>
    <s v="Bug"/>
    <x v="1"/>
    <d v="2016-02-23T19:10:00"/>
    <x v="11"/>
    <x v="1"/>
    <x v="1"/>
    <n v="1"/>
    <m/>
    <n v="127.5"/>
    <n v="22.500000000000004"/>
  </r>
  <r>
    <s v="SBG - Desktop"/>
    <x v="2"/>
    <s v="Bug"/>
    <s v="DESK-7577"/>
    <s v="Discontinued item shows fast shipping"/>
    <s v="Bug"/>
    <x v="1"/>
    <d v="2016-02-25T23:00:00"/>
    <x v="11"/>
    <x v="1"/>
    <x v="11"/>
    <n v="1"/>
    <m/>
    <n v="127.5"/>
    <n v="22.500000000000004"/>
  </r>
  <r>
    <s v="SBG - Desktop"/>
    <x v="1"/>
    <s v="Bug"/>
    <s v="DESK-7577"/>
    <s v="Discontinued item shows fast shipping"/>
    <s v="Bug"/>
    <x v="1"/>
    <d v="2016-02-29T19:43:00"/>
    <x v="11"/>
    <x v="1"/>
    <x v="1"/>
    <n v="1"/>
    <m/>
    <n v="127.5"/>
    <n v="22.500000000000004"/>
  </r>
  <r>
    <s v="SBG - Desktop"/>
    <x v="2"/>
    <s v="Bug"/>
    <s v="DESK-7579"/>
    <s v="Rx function doesn't work well since remove Google tracking"/>
    <s v="Bug"/>
    <x v="1"/>
    <d v="2016-02-19T16:28:00"/>
    <x v="11"/>
    <x v="1"/>
    <x v="18"/>
    <n v="6"/>
    <m/>
    <n v="127.5"/>
    <n v="22.500000000000004"/>
  </r>
  <r>
    <s v="SBG - Desktop"/>
    <x v="1"/>
    <s v="Task"/>
    <s v="DESK-7580"/>
    <s v="Add baidu Analyze Tracking code both for SEO and SEM"/>
    <s v="Task"/>
    <x v="0"/>
    <d v="2016-02-03T10:11:00"/>
    <x v="11"/>
    <x v="1"/>
    <x v="1"/>
    <n v="5"/>
    <m/>
    <n v="127.5"/>
    <n v="22.500000000000004"/>
  </r>
  <r>
    <s v="SBG - Desktop"/>
    <x v="2"/>
    <s v="Task"/>
    <s v="DESK-7580"/>
    <s v="Add baidu Analyze Tracking code both for SEO and SEM"/>
    <s v="Task"/>
    <x v="0"/>
    <d v="2016-02-03T17:54:00"/>
    <x v="11"/>
    <x v="1"/>
    <x v="18"/>
    <n v="8"/>
    <m/>
    <n v="127.5"/>
    <n v="22.500000000000004"/>
  </r>
  <r>
    <s v="SBG - Desktop"/>
    <x v="1"/>
    <s v="Task"/>
    <s v="DESK-7580"/>
    <s v="Add baidu Analyze Tracking code both for SEO and SEM"/>
    <s v="Task"/>
    <x v="0"/>
    <d v="2016-02-05T16:32:00"/>
    <x v="11"/>
    <x v="1"/>
    <x v="1"/>
    <n v="2"/>
    <m/>
    <n v="127.5"/>
    <n v="22.500000000000004"/>
  </r>
  <r>
    <s v="SBG - Desktop"/>
    <x v="1"/>
    <s v="Task"/>
    <s v="DESK-7580"/>
    <s v="Add baidu Analyze Tracking code both for SEO and SEM"/>
    <s v="Task"/>
    <x v="0"/>
    <d v="2016-02-16T18:59:00"/>
    <x v="11"/>
    <x v="1"/>
    <x v="1"/>
    <n v="2"/>
    <m/>
    <n v="127.5"/>
    <n v="22.500000000000004"/>
  </r>
  <r>
    <s v="SBG - Desktop"/>
    <x v="1"/>
    <s v="Task"/>
    <s v="DESK-7580"/>
    <s v="Add baidu Analyze Tracking code both for SEO and SEM"/>
    <s v="Task"/>
    <x v="0"/>
    <d v="2016-02-17T20:03:00"/>
    <x v="11"/>
    <x v="1"/>
    <x v="1"/>
    <n v="8"/>
    <m/>
    <n v="127.5"/>
    <n v="22.500000000000004"/>
  </r>
  <r>
    <s v="SBG - Desktop"/>
    <x v="1"/>
    <s v="New Feature"/>
    <s v="DESK-7582"/>
    <s v="Implement Algolia Search for CN"/>
    <s v="New Feature"/>
    <x v="0"/>
    <d v="2016-02-01T10:11:00"/>
    <x v="11"/>
    <x v="1"/>
    <x v="1"/>
    <n v="3"/>
    <m/>
    <n v="127.5"/>
    <n v="22.500000000000004"/>
  </r>
  <r>
    <s v="SBG - Desktop"/>
    <x v="2"/>
    <s v="New Feature"/>
    <s v="DESK-7582"/>
    <s v="Implement Algolia Search for CN"/>
    <s v="New Feature"/>
    <x v="0"/>
    <d v="2016-02-02T18:04:00"/>
    <x v="11"/>
    <x v="1"/>
    <x v="2"/>
    <n v="7"/>
    <m/>
    <n v="127.5"/>
    <n v="22.500000000000004"/>
  </r>
  <r>
    <s v="SBG - Desktop"/>
    <x v="1"/>
    <s v="New Feature"/>
    <s v="DESK-7582"/>
    <s v="Implement Algolia Search for CN"/>
    <s v="New Feature"/>
    <x v="0"/>
    <d v="2016-02-09T20:01:00"/>
    <x v="11"/>
    <x v="1"/>
    <x v="1"/>
    <n v="8"/>
    <m/>
    <n v="127.5"/>
    <n v="22.500000000000004"/>
  </r>
  <r>
    <s v="SBG - Desktop"/>
    <x v="1"/>
    <s v="New Feature"/>
    <s v="DESK-7582"/>
    <s v="Implement Algolia Search for CN"/>
    <s v="New Feature"/>
    <x v="0"/>
    <d v="2016-02-10T20:02:00"/>
    <x v="11"/>
    <x v="1"/>
    <x v="1"/>
    <n v="8"/>
    <m/>
    <n v="127.5"/>
    <n v="22.500000000000004"/>
  </r>
  <r>
    <s v="SBG - Desktop"/>
    <x v="1"/>
    <s v="Bug"/>
    <s v="DESK-7588"/>
    <s v="Collect Translation Issue for CN"/>
    <s v="Bug"/>
    <x v="1"/>
    <d v="2016-03-04T19:03:00"/>
    <x v="7"/>
    <x v="1"/>
    <x v="1"/>
    <n v="6"/>
    <m/>
    <n v="156.4"/>
    <n v="27.600000000000005"/>
  </r>
  <r>
    <s v="SBG - Desktop"/>
    <x v="2"/>
    <s v="Bug"/>
    <s v="DESK-7588"/>
    <s v="Collect Translation Issue for CN"/>
    <s v="Bug"/>
    <x v="1"/>
    <d v="2016-03-07T14:46:00"/>
    <x v="7"/>
    <x v="1"/>
    <x v="22"/>
    <n v="8"/>
    <m/>
    <n v="156.4"/>
    <n v="27.600000000000005"/>
  </r>
  <r>
    <s v="SBG - Desktop"/>
    <x v="1"/>
    <s v="Bug"/>
    <s v="DESK-7588"/>
    <s v="Collect Translation Issue for CN"/>
    <s v="Bug"/>
    <x v="1"/>
    <d v="2016-03-07T18:54:00"/>
    <x v="7"/>
    <x v="1"/>
    <x v="1"/>
    <n v="1"/>
    <m/>
    <n v="156.4"/>
    <n v="27.600000000000005"/>
  </r>
  <r>
    <s v="SBG - Desktop"/>
    <x v="1"/>
    <s v="Bug"/>
    <s v="DESK-7588"/>
    <s v="Collect Translation Issue for CN"/>
    <s v="Bug"/>
    <x v="1"/>
    <d v="2016-03-08T18:20:00"/>
    <x v="7"/>
    <x v="1"/>
    <x v="1"/>
    <n v="2"/>
    <m/>
    <n v="156.4"/>
    <n v="27.600000000000005"/>
  </r>
  <r>
    <s v="SBG - Desktop"/>
    <x v="1"/>
    <s v="Bug"/>
    <s v="DESK-7588"/>
    <s v="Collect Translation Issue for CN"/>
    <s v="Bug"/>
    <x v="1"/>
    <d v="2016-03-09T19:23:00"/>
    <x v="7"/>
    <x v="1"/>
    <x v="1"/>
    <n v="1"/>
    <m/>
    <n v="156.4"/>
    <n v="27.600000000000005"/>
  </r>
  <r>
    <s v="SBG - Desktop"/>
    <x v="1"/>
    <s v="Improvement"/>
    <s v="DESK-7598"/>
    <s v="Desktop CN checkout page Improvement"/>
    <s v="Improvement"/>
    <x v="0"/>
    <d v="2016-02-12T20:04:00"/>
    <x v="11"/>
    <x v="1"/>
    <x v="1"/>
    <n v="6"/>
    <m/>
    <n v="127.5"/>
    <n v="22.500000000000004"/>
  </r>
  <r>
    <s v="SBG - Desktop"/>
    <x v="1"/>
    <s v="Improvement"/>
    <s v="DESK-7598"/>
    <s v="Desktop CN checkout page Improvement"/>
    <s v="Improvement"/>
    <x v="0"/>
    <d v="2016-02-18T11:36:00"/>
    <x v="11"/>
    <x v="1"/>
    <x v="1"/>
    <n v="2"/>
    <m/>
    <n v="127.5"/>
    <n v="22.500000000000004"/>
  </r>
  <r>
    <s v="SBG - Desktop"/>
    <x v="1"/>
    <s v="Improvement"/>
    <s v="DESK-7598"/>
    <s v="Desktop CN checkout page Improvement"/>
    <s v="Improvement"/>
    <x v="0"/>
    <d v="2016-02-24T20:04:00"/>
    <x v="11"/>
    <x v="1"/>
    <x v="1"/>
    <n v="2"/>
    <m/>
    <n v="127.5"/>
    <n v="22.500000000000004"/>
  </r>
  <r>
    <s v="SBG - Desktop"/>
    <x v="1"/>
    <s v="Improvement"/>
    <s v="DESK-7598"/>
    <s v="Desktop CN checkout page Improvement"/>
    <s v="Improvement"/>
    <x v="0"/>
    <d v="2016-03-03T19:03:00"/>
    <x v="7"/>
    <x v="1"/>
    <x v="1"/>
    <n v="2"/>
    <m/>
    <n v="156.4"/>
    <n v="27.600000000000005"/>
  </r>
  <r>
    <s v="SBG - Desktop"/>
    <x v="0"/>
    <s v="Improvement"/>
    <s v="DESK-7598"/>
    <s v="Desktop CN checkout page Improvement"/>
    <s v="Improvement"/>
    <x v="0"/>
    <d v="2016-03-10T09:52:00"/>
    <x v="7"/>
    <x v="1"/>
    <x v="24"/>
    <n v="4"/>
    <m/>
    <n v="92"/>
    <n v="92"/>
  </r>
  <r>
    <s v="SBG - Desktop"/>
    <x v="1"/>
    <s v="Improvement"/>
    <s v="DESK-7598"/>
    <s v="Desktop CN checkout page Improvement"/>
    <s v="Improvement"/>
    <x v="0"/>
    <d v="2016-03-11T12:55:00"/>
    <x v="7"/>
    <x v="1"/>
    <x v="1"/>
    <n v="1"/>
    <m/>
    <n v="156.4"/>
    <n v="27.600000000000005"/>
  </r>
  <r>
    <s v="SBG - Desktop"/>
    <x v="2"/>
    <s v="Improvement"/>
    <s v="DESK-7598"/>
    <s v="Desktop CN checkout page Improvement"/>
    <s v="Improvement"/>
    <x v="0"/>
    <d v="2016-03-14T17:58:00"/>
    <x v="7"/>
    <x v="1"/>
    <x v="22"/>
    <n v="8"/>
    <m/>
    <n v="156.4"/>
    <n v="27.600000000000005"/>
  </r>
  <r>
    <s v="SBG - Desktop"/>
    <x v="0"/>
    <s v="Improvement"/>
    <s v="DESK-7598"/>
    <s v="Desktop CN checkout page Improvement"/>
    <s v="Improvement"/>
    <x v="0"/>
    <d v="2016-03-16T14:00:00"/>
    <x v="7"/>
    <x v="1"/>
    <x v="19"/>
    <n v="4"/>
    <m/>
    <n v="92"/>
    <n v="92"/>
  </r>
  <r>
    <s v="SBG - Desktop"/>
    <x v="2"/>
    <s v="Improvement"/>
    <s v="DESK-7598"/>
    <s v="Desktop CN checkout page Improvement"/>
    <s v="Improvement"/>
    <x v="0"/>
    <d v="2016-03-16T18:22:00"/>
    <x v="7"/>
    <x v="1"/>
    <x v="22"/>
    <n v="8"/>
    <m/>
    <n v="156.4"/>
    <n v="27.600000000000005"/>
  </r>
  <r>
    <s v="SBG - Desktop"/>
    <x v="0"/>
    <s v="Improvement"/>
    <s v="DESK-7598"/>
    <s v="Desktop CN checkout page Improvement"/>
    <s v="Improvement"/>
    <x v="0"/>
    <d v="2016-03-21T09:30:00"/>
    <x v="7"/>
    <x v="1"/>
    <x v="19"/>
    <n v="4"/>
    <m/>
    <n v="92"/>
    <n v="92"/>
  </r>
  <r>
    <s v="SBG - Desktop"/>
    <x v="1"/>
    <s v="Improvement"/>
    <s v="DESK-7598"/>
    <s v="Desktop CN checkout page Improvement"/>
    <s v="Improvement"/>
    <x v="0"/>
    <d v="2016-03-21T20:08:00"/>
    <x v="7"/>
    <x v="1"/>
    <x v="1"/>
    <n v="8"/>
    <m/>
    <n v="156.4"/>
    <n v="27.600000000000005"/>
  </r>
  <r>
    <s v="SBG - Desktop"/>
    <x v="1"/>
    <s v="Improvement"/>
    <s v="DESK-7598"/>
    <s v="Desktop CN checkout page Improvement"/>
    <s v="Improvement"/>
    <x v="0"/>
    <d v="2016-03-22T20:08:00"/>
    <x v="7"/>
    <x v="1"/>
    <x v="1"/>
    <n v="8"/>
    <m/>
    <n v="156.4"/>
    <n v="27.600000000000005"/>
  </r>
  <r>
    <s v="SBG - Desktop"/>
    <x v="1"/>
    <s v="Improvement"/>
    <s v="DESK-7598"/>
    <s v="Desktop CN checkout page Improvement"/>
    <s v="Improvement"/>
    <x v="0"/>
    <d v="2016-03-23T20:08:00"/>
    <x v="7"/>
    <x v="1"/>
    <x v="1"/>
    <n v="8"/>
    <m/>
    <n v="156.4"/>
    <n v="27.600000000000005"/>
  </r>
  <r>
    <s v="SBG - Desktop"/>
    <x v="1"/>
    <s v="Improvement"/>
    <s v="DESK-7598"/>
    <s v="Desktop CN checkout page Improvement"/>
    <s v="Improvement"/>
    <x v="0"/>
    <d v="2016-03-24T12:42:00"/>
    <x v="7"/>
    <x v="1"/>
    <x v="1"/>
    <n v="4"/>
    <m/>
    <n v="156.4"/>
    <n v="27.600000000000005"/>
  </r>
  <r>
    <s v="SBG - Desktop"/>
    <x v="1"/>
    <s v="Task"/>
    <s v="DESK-7600"/>
    <s v="Add conversion tracking in baidu analytic"/>
    <s v="Task"/>
    <x v="0"/>
    <d v="2016-02-06T14:59:00"/>
    <x v="11"/>
    <x v="1"/>
    <x v="1"/>
    <n v="1"/>
    <m/>
    <n v="127.5"/>
    <n v="22.500000000000004"/>
  </r>
  <r>
    <s v="SBG - Desktop"/>
    <x v="1"/>
    <s v="Task"/>
    <s v="DESK-7600"/>
    <s v="Add conversion tracking in baidu analytic"/>
    <s v="Task"/>
    <x v="0"/>
    <d v="2016-02-08T20:02:00"/>
    <x v="11"/>
    <x v="1"/>
    <x v="1"/>
    <n v="8"/>
    <m/>
    <n v="127.5"/>
    <n v="22.500000000000004"/>
  </r>
  <r>
    <s v="SBG - Desktop"/>
    <x v="1"/>
    <s v="Task"/>
    <s v="DESK-7608"/>
    <s v="网宿CDN solution research on desktop"/>
    <s v="Task"/>
    <x v="0"/>
    <d v="2016-02-25T19:40:00"/>
    <x v="11"/>
    <x v="1"/>
    <x v="1"/>
    <n v="2"/>
    <m/>
    <n v="127.5"/>
    <n v="22.500000000000004"/>
  </r>
  <r>
    <s v="SBG - Desktop"/>
    <x v="1"/>
    <s v="Task"/>
    <s v="DESK-7608"/>
    <s v="网宿CDN solution research on desktop"/>
    <s v="Task"/>
    <x v="0"/>
    <d v="2016-02-26T19:40:00"/>
    <x v="11"/>
    <x v="1"/>
    <x v="1"/>
    <n v="2"/>
    <m/>
    <n v="127.5"/>
    <n v="22.500000000000004"/>
  </r>
  <r>
    <s v="SBG - Desktop"/>
    <x v="1"/>
    <s v="Task"/>
    <s v="DESK-7608"/>
    <s v="网宿CDN solution research on desktop"/>
    <s v="Task"/>
    <x v="0"/>
    <d v="2016-03-02T19:30:00"/>
    <x v="7"/>
    <x v="1"/>
    <x v="1"/>
    <n v="2"/>
    <m/>
    <n v="156.4"/>
    <n v="27.600000000000005"/>
  </r>
  <r>
    <s v="SBG - Desktop"/>
    <x v="1"/>
    <s v="Task"/>
    <s v="DESK-7608"/>
    <s v="网宿CDN solution research on desktop"/>
    <s v="Task"/>
    <x v="0"/>
    <d v="2016-03-03T19:03:00"/>
    <x v="7"/>
    <x v="1"/>
    <x v="1"/>
    <n v="3"/>
    <m/>
    <n v="156.4"/>
    <n v="27.600000000000005"/>
  </r>
  <r>
    <s v="SBG - Desktop"/>
    <x v="1"/>
    <s v="Task"/>
    <s v="DESK-7608"/>
    <s v="网宿CDN solution research on desktop"/>
    <s v="Task"/>
    <x v="0"/>
    <d v="2016-03-07T18:54:00"/>
    <x v="7"/>
    <x v="1"/>
    <x v="1"/>
    <n v="1"/>
    <m/>
    <n v="156.4"/>
    <n v="27.600000000000005"/>
  </r>
  <r>
    <s v="SBG - Desktop"/>
    <x v="1"/>
    <s v="Bug"/>
    <s v="DESK-7611"/>
    <s v="When use Referral voucher, payment log be inserted twice"/>
    <s v="Bug"/>
    <x v="1"/>
    <d v="2016-02-24T11:17:00"/>
    <x v="11"/>
    <x v="1"/>
    <x v="1"/>
    <n v="2"/>
    <m/>
    <n v="127.5"/>
    <n v="22.500000000000004"/>
  </r>
  <r>
    <s v="SBG - Desktop"/>
    <x v="1"/>
    <s v="Bug"/>
    <s v="DESK-7611"/>
    <s v="When use Referral voucher, payment log be inserted twice"/>
    <s v="Bug"/>
    <x v="1"/>
    <d v="2016-02-25T19:39:00"/>
    <x v="11"/>
    <x v="1"/>
    <x v="1"/>
    <n v="2"/>
    <m/>
    <n v="127.5"/>
    <n v="22.500000000000004"/>
  </r>
  <r>
    <s v="SBG - Desktop"/>
    <x v="2"/>
    <s v="Bug"/>
    <s v="DESK-7611"/>
    <s v="When use Referral voucher, payment log be inserted twice"/>
    <s v="Bug"/>
    <x v="1"/>
    <d v="2016-03-01T12:16:00"/>
    <x v="7"/>
    <x v="1"/>
    <x v="22"/>
    <n v="4"/>
    <m/>
    <n v="156.4"/>
    <n v="27.600000000000005"/>
  </r>
  <r>
    <s v="SBG - Desktop"/>
    <x v="2"/>
    <s v="Bug"/>
    <s v="DESK-7611"/>
    <s v="When use Referral voucher, payment log be inserted twice"/>
    <s v="Bug"/>
    <x v="1"/>
    <d v="2016-03-02T12:16:00"/>
    <x v="7"/>
    <x v="1"/>
    <x v="22"/>
    <n v="6"/>
    <m/>
    <n v="156.4"/>
    <n v="27.600000000000005"/>
  </r>
  <r>
    <s v="SBG - Desktop"/>
    <x v="2"/>
    <s v="Bug"/>
    <s v="DESK-7611"/>
    <s v="When use Referral voucher, payment log be inserted twice"/>
    <s v="Bug"/>
    <x v="1"/>
    <d v="2016-03-02T14:48:00"/>
    <x v="7"/>
    <x v="1"/>
    <x v="22"/>
    <n v="4"/>
    <m/>
    <n v="156.4"/>
    <n v="27.600000000000005"/>
  </r>
  <r>
    <s v="SBG - Desktop"/>
    <x v="1"/>
    <s v="Bug"/>
    <s v="DESK-7611"/>
    <s v="When use Referral voucher, payment log be inserted twice"/>
    <s v="Bug"/>
    <x v="1"/>
    <d v="2016-03-02T19:30:00"/>
    <x v="7"/>
    <x v="1"/>
    <x v="1"/>
    <n v="2"/>
    <m/>
    <n v="156.4"/>
    <n v="27.600000000000005"/>
  </r>
  <r>
    <s v="SBG - Desktop"/>
    <x v="1"/>
    <s v="Bug"/>
    <s v="DESK-7611"/>
    <s v="When use Referral voucher, payment log be inserted twice"/>
    <s v="Bug"/>
    <x v="1"/>
    <d v="2016-03-07T18:55:00"/>
    <x v="7"/>
    <x v="1"/>
    <x v="1"/>
    <n v="1"/>
    <m/>
    <n v="156.4"/>
    <n v="27.600000000000005"/>
  </r>
  <r>
    <s v="SBG - Desktop"/>
    <x v="1"/>
    <s v="Bug"/>
    <s v="DESK-7611"/>
    <s v="When use Referral voucher, payment log be inserted twice"/>
    <s v="Bug"/>
    <x v="1"/>
    <d v="2016-03-08T18:21:00"/>
    <x v="7"/>
    <x v="1"/>
    <x v="1"/>
    <n v="1"/>
    <m/>
    <n v="156.4"/>
    <n v="27.600000000000005"/>
  </r>
  <r>
    <s v="SBG - Desktop"/>
    <x v="1"/>
    <s v="Bug"/>
    <s v="DESK-7611"/>
    <s v="When use Referral voucher, payment log be inserted twice"/>
    <s v="Bug"/>
    <x v="1"/>
    <d v="2016-03-09T16:45:00"/>
    <x v="7"/>
    <x v="1"/>
    <x v="1"/>
    <n v="1"/>
    <m/>
    <n v="156.4"/>
    <n v="27.600000000000005"/>
  </r>
  <r>
    <s v="SBG - Desktop"/>
    <x v="1"/>
    <s v="Improvement"/>
    <s v="DESK-7613"/>
    <s v="Cart Page Optimization on CN"/>
    <s v="Improvement"/>
    <x v="0"/>
    <d v="2016-02-05T16:31:00"/>
    <x v="11"/>
    <x v="1"/>
    <x v="1"/>
    <n v="4"/>
    <m/>
    <n v="127.5"/>
    <n v="22.500000000000004"/>
  </r>
  <r>
    <s v="SBG - Desktop"/>
    <x v="1"/>
    <s v="Improvement"/>
    <s v="DESK-7613"/>
    <s v="Cart Page Optimization on CN"/>
    <s v="Improvement"/>
    <x v="0"/>
    <d v="2016-02-06T16:23:00"/>
    <x v="11"/>
    <x v="1"/>
    <x v="1"/>
    <n v="5"/>
    <m/>
    <n v="127.5"/>
    <n v="22.500000000000004"/>
  </r>
  <r>
    <s v="SBG - Desktop"/>
    <x v="1"/>
    <s v="Improvement"/>
    <s v="DESK-7613"/>
    <s v="Cart Page Optimization on CN"/>
    <s v="Improvement"/>
    <x v="0"/>
    <d v="2016-02-17T18:52:00"/>
    <x v="11"/>
    <x v="1"/>
    <x v="1"/>
    <n v="2"/>
    <m/>
    <n v="127.5"/>
    <n v="22.500000000000004"/>
  </r>
  <r>
    <s v="SBG - Desktop"/>
    <x v="1"/>
    <s v="Task"/>
    <s v="DESK-7626"/>
    <s v="Check all image status using Jmeter"/>
    <s v="Task"/>
    <x v="0"/>
    <d v="2016-02-16T19:03:00"/>
    <x v="11"/>
    <x v="1"/>
    <x v="1"/>
    <n v="4"/>
    <m/>
    <n v="127.5"/>
    <n v="22.500000000000004"/>
  </r>
  <r>
    <s v="SBG - Desktop"/>
    <x v="1"/>
    <s v="Task"/>
    <s v="DESK-7626"/>
    <s v="Check all image status using Jmeter"/>
    <s v="Task"/>
    <x v="0"/>
    <d v="2016-02-17T18:40:00"/>
    <x v="11"/>
    <x v="1"/>
    <x v="1"/>
    <n v="2"/>
    <m/>
    <n v="127.5"/>
    <n v="22.500000000000004"/>
  </r>
  <r>
    <s v="SBG - Desktop"/>
    <x v="0"/>
    <s v="Improvement"/>
    <s v="DESK-7642"/>
    <s v="Desktop CN Cart page Improvement"/>
    <s v="Improvement"/>
    <x v="0"/>
    <d v="2016-02-17T12:19:00"/>
    <x v="11"/>
    <x v="1"/>
    <x v="24"/>
    <n v="2"/>
    <m/>
    <n v="75"/>
    <n v="75"/>
  </r>
  <r>
    <s v="SBG - Desktop"/>
    <x v="1"/>
    <s v="Improvement"/>
    <s v="DESK-7642"/>
    <s v="Desktop CN Cart page Improvement"/>
    <s v="Improvement"/>
    <x v="0"/>
    <d v="2016-02-19T19:00:00"/>
    <x v="11"/>
    <x v="1"/>
    <x v="1"/>
    <n v="2"/>
    <m/>
    <n v="127.5"/>
    <n v="22.500000000000004"/>
  </r>
  <r>
    <s v="SBG - Desktop"/>
    <x v="0"/>
    <s v="Improvement"/>
    <s v="DESK-7642"/>
    <s v="Desktop CN Cart page Improvement"/>
    <s v="Improvement"/>
    <x v="0"/>
    <d v="2016-02-24T10:36:00"/>
    <x v="11"/>
    <x v="1"/>
    <x v="24"/>
    <n v="4"/>
    <m/>
    <n v="75"/>
    <n v="75"/>
  </r>
  <r>
    <s v="SBG - Desktop"/>
    <x v="0"/>
    <s v="Improvement"/>
    <s v="DESK-7642"/>
    <s v="Desktop CN Cart page Improvement"/>
    <s v="Improvement"/>
    <x v="0"/>
    <d v="2016-02-25T10:58:00"/>
    <x v="11"/>
    <x v="1"/>
    <x v="24"/>
    <n v="6"/>
    <m/>
    <n v="75"/>
    <n v="75"/>
  </r>
  <r>
    <s v="SBG - Desktop"/>
    <x v="0"/>
    <s v="Improvement"/>
    <s v="DESK-7642"/>
    <s v="Desktop CN Cart page Improvement"/>
    <s v="Improvement"/>
    <x v="0"/>
    <d v="2016-02-26T18:44:00"/>
    <x v="11"/>
    <x v="1"/>
    <x v="7"/>
    <n v="8"/>
    <s v="html"/>
    <n v="75"/>
    <n v="75"/>
  </r>
  <r>
    <s v="SBG - Desktop"/>
    <x v="0"/>
    <s v="Improvement"/>
    <s v="DESK-7642"/>
    <s v="Desktop CN Cart page Improvement"/>
    <s v="Improvement"/>
    <x v="0"/>
    <d v="2016-03-01T01:25:00"/>
    <x v="7"/>
    <x v="1"/>
    <x v="24"/>
    <n v="3"/>
    <m/>
    <n v="92"/>
    <n v="92"/>
  </r>
  <r>
    <s v="SBG - Desktop"/>
    <x v="0"/>
    <s v="Improvement"/>
    <s v="DESK-7642"/>
    <s v="Desktop CN Cart page Improvement"/>
    <s v="Improvement"/>
    <x v="0"/>
    <d v="2016-03-02T20:23:00"/>
    <x v="7"/>
    <x v="1"/>
    <x v="24"/>
    <n v="4"/>
    <m/>
    <n v="92"/>
    <n v="92"/>
  </r>
  <r>
    <s v="SBG - Desktop"/>
    <x v="0"/>
    <s v="Improvement"/>
    <s v="DESK-7642"/>
    <s v="Desktop CN Cart page Improvement"/>
    <s v="Improvement"/>
    <x v="0"/>
    <d v="2016-03-08T16:49:00"/>
    <x v="7"/>
    <x v="1"/>
    <x v="24"/>
    <n v="4"/>
    <m/>
    <n v="92"/>
    <n v="92"/>
  </r>
  <r>
    <s v="SBG - Desktop"/>
    <x v="0"/>
    <s v="Improvement"/>
    <s v="DESK-7642"/>
    <s v="Desktop CN Cart page Improvement"/>
    <s v="Improvement"/>
    <x v="0"/>
    <d v="2016-03-23T18:39:00"/>
    <x v="7"/>
    <x v="1"/>
    <x v="7"/>
    <n v="7"/>
    <m/>
    <n v="92"/>
    <n v="92"/>
  </r>
  <r>
    <s v="SBG - Desktop"/>
    <x v="1"/>
    <s v="Improvement"/>
    <s v="DESK-7642"/>
    <s v="Desktop CN Cart page Improvement"/>
    <s v="Improvement"/>
    <x v="0"/>
    <d v="2016-03-24T18:39:00"/>
    <x v="7"/>
    <x v="1"/>
    <x v="1"/>
    <n v="4"/>
    <m/>
    <n v="156.4"/>
    <n v="27.600000000000005"/>
  </r>
  <r>
    <s v="SBG - Desktop"/>
    <x v="0"/>
    <s v="Improvement"/>
    <s v="DESK-7642"/>
    <s v="Desktop CN Cart page Improvement"/>
    <s v="Improvement"/>
    <x v="0"/>
    <d v="2016-03-24T19:00:00"/>
    <x v="7"/>
    <x v="1"/>
    <x v="7"/>
    <n v="5"/>
    <m/>
    <n v="92"/>
    <n v="92"/>
  </r>
  <r>
    <s v="SBG - Desktop"/>
    <x v="0"/>
    <s v="Improvement"/>
    <s v="DESK-7642"/>
    <s v="Desktop CN Cart page Improvement"/>
    <s v="Improvement"/>
    <x v="0"/>
    <d v="2016-03-25T18:31:00"/>
    <x v="7"/>
    <x v="1"/>
    <x v="7"/>
    <n v="2"/>
    <m/>
    <n v="92"/>
    <n v="92"/>
  </r>
  <r>
    <s v="SBG - Desktop"/>
    <x v="1"/>
    <s v="Improvement"/>
    <s v="DESK-7642"/>
    <s v="Desktop CN Cart page Improvement"/>
    <s v="Improvement"/>
    <x v="0"/>
    <d v="2016-03-25T18:39:00"/>
    <x v="7"/>
    <x v="1"/>
    <x v="1"/>
    <n v="8"/>
    <m/>
    <n v="156.4"/>
    <n v="27.600000000000005"/>
  </r>
  <r>
    <s v="SBG - Desktop"/>
    <x v="0"/>
    <s v="Task"/>
    <s v="DESK-7673"/>
    <s v="Add and change hreflang tags on UK, US, CA, AU domains"/>
    <s v="Task"/>
    <x v="0"/>
    <d v="2016-03-01T01:25:00"/>
    <x v="7"/>
    <x v="1"/>
    <x v="24"/>
    <n v="2"/>
    <m/>
    <n v="92"/>
    <n v="92"/>
  </r>
  <r>
    <s v="SBG - Desktop"/>
    <x v="2"/>
    <s v="Task"/>
    <s v="DESK-7673"/>
    <s v="Add and change hreflang tags on UK, US, CA, AU domains"/>
    <s v="Task"/>
    <x v="0"/>
    <d v="2016-03-01T16:00:00"/>
    <x v="7"/>
    <x v="1"/>
    <x v="29"/>
    <n v="1"/>
    <m/>
    <n v="156.4"/>
    <n v="27.600000000000005"/>
  </r>
  <r>
    <s v="SBG - Desktop"/>
    <x v="1"/>
    <s v="Task"/>
    <s v="DESK-7673"/>
    <s v="Add and change hreflang tags on UK, US, CA, AU domains"/>
    <s v="Task"/>
    <x v="0"/>
    <d v="2016-03-17T12:18:00"/>
    <x v="7"/>
    <x v="1"/>
    <x v="23"/>
    <n v="3"/>
    <m/>
    <n v="156.4"/>
    <n v="27.600000000000005"/>
  </r>
  <r>
    <s v="SBG - Desktop"/>
    <x v="2"/>
    <s v="Task"/>
    <s v="DESK-7700"/>
    <s v="Header and Footer Improvement"/>
    <s v="Task"/>
    <x v="0"/>
    <d v="2016-02-15T11:15:00"/>
    <x v="11"/>
    <x v="1"/>
    <x v="18"/>
    <n v="8"/>
    <m/>
    <n v="127.5"/>
    <n v="22.500000000000004"/>
  </r>
  <r>
    <s v="SBG - Desktop"/>
    <x v="2"/>
    <s v="Task"/>
    <s v="DESK-7700"/>
    <s v="Header and Footer Improvement"/>
    <s v="Task"/>
    <x v="0"/>
    <d v="2016-02-18T16:14:00"/>
    <x v="11"/>
    <x v="1"/>
    <x v="18"/>
    <n v="7"/>
    <m/>
    <n v="127.5"/>
    <n v="22.500000000000004"/>
  </r>
  <r>
    <s v="SBG - Desktop"/>
    <x v="1"/>
    <s v="Task"/>
    <s v="DESK-7700"/>
    <s v="Header and Footer Improvement"/>
    <s v="Task"/>
    <x v="0"/>
    <d v="2016-02-19T18:38:00"/>
    <x v="11"/>
    <x v="1"/>
    <x v="21"/>
    <n v="2"/>
    <m/>
    <n v="127.5"/>
    <n v="22.500000000000004"/>
  </r>
  <r>
    <s v="SBG - Desktop"/>
    <x v="0"/>
    <s v="Task"/>
    <s v="DESK-7700"/>
    <s v="Header and Footer Improvement"/>
    <s v="Task"/>
    <x v="0"/>
    <d v="2016-02-23T09:26:00"/>
    <x v="11"/>
    <x v="1"/>
    <x v="19"/>
    <n v="8"/>
    <m/>
    <n v="75"/>
    <n v="75"/>
  </r>
  <r>
    <s v="SBG - Desktop"/>
    <x v="1"/>
    <s v="Task"/>
    <s v="DESK-7700"/>
    <s v="Header and Footer Improvement"/>
    <s v="Task"/>
    <x v="0"/>
    <d v="2016-02-23T15:45:00"/>
    <x v="11"/>
    <x v="1"/>
    <x v="21"/>
    <n v="3"/>
    <m/>
    <n v="127.5"/>
    <n v="22.500000000000004"/>
  </r>
  <r>
    <s v="SBG - Desktop"/>
    <x v="0"/>
    <s v="Task"/>
    <s v="DESK-7700"/>
    <s v="Header and Footer Improvement"/>
    <s v="Task"/>
    <x v="0"/>
    <d v="2016-02-29T11:28:00"/>
    <x v="11"/>
    <x v="1"/>
    <x v="19"/>
    <n v="6"/>
    <m/>
    <n v="75"/>
    <n v="75"/>
  </r>
  <r>
    <s v="SBG - Desktop"/>
    <x v="0"/>
    <s v="Task"/>
    <s v="DESK-7718"/>
    <s v="Adding CA, UK and US Optical Center sitemaps to main robots.txt files"/>
    <s v="Task"/>
    <x v="0"/>
    <d v="2016-02-16T12:16:00"/>
    <x v="11"/>
    <x v="1"/>
    <x v="24"/>
    <n v="1"/>
    <m/>
    <n v="75"/>
    <n v="75"/>
  </r>
  <r>
    <s v="SBG - Desktop"/>
    <x v="2"/>
    <s v="Task"/>
    <s v="DESK-7718"/>
    <s v="Adding CA, UK and US Optical Center sitemaps to main robots.txt files"/>
    <s v="Task"/>
    <x v="0"/>
    <d v="2016-02-17T11:52:00"/>
    <x v="11"/>
    <x v="1"/>
    <x v="29"/>
    <n v="3"/>
    <m/>
    <n v="127.5"/>
    <n v="22.500000000000004"/>
  </r>
  <r>
    <s v="SBG - Desktop"/>
    <x v="1"/>
    <s v="Task"/>
    <s v="DESK-7718"/>
    <s v="Adding CA, UK and US Optical Center sitemaps to main robots.txt files"/>
    <s v="Task"/>
    <x v="0"/>
    <d v="2016-02-18T10:18:00"/>
    <x v="11"/>
    <x v="1"/>
    <x v="21"/>
    <n v="3"/>
    <m/>
    <n v="127.5"/>
    <n v="22.500000000000004"/>
  </r>
  <r>
    <s v="SBG - Desktop"/>
    <x v="1"/>
    <s v="Task"/>
    <s v="DESK-7718"/>
    <s v="Adding CA, UK and US Optical Center sitemaps to main robots.txt files"/>
    <s v="Task"/>
    <x v="0"/>
    <d v="2016-02-18T12:38:00"/>
    <x v="11"/>
    <x v="1"/>
    <x v="21"/>
    <n v="2"/>
    <m/>
    <n v="127.5"/>
    <n v="22.500000000000004"/>
  </r>
  <r>
    <s v="SBG - Desktop"/>
    <x v="1"/>
    <s v="Task"/>
    <s v="DESK-7718"/>
    <s v="Adding CA, UK and US Optical Center sitemaps to main robots.txt files"/>
    <s v="Task"/>
    <x v="0"/>
    <d v="2016-02-22T17:19:00"/>
    <x v="11"/>
    <x v="1"/>
    <x v="21"/>
    <n v="2"/>
    <m/>
    <n v="127.5"/>
    <n v="22.500000000000004"/>
  </r>
  <r>
    <s v="SBG - Desktop"/>
    <x v="0"/>
    <s v="Task"/>
    <s v="DESK-7722"/>
    <s v="Phase 2 Module Development"/>
    <s v="Task"/>
    <x v="0"/>
    <d v="2016-02-01T11:30:00"/>
    <x v="11"/>
    <x v="1"/>
    <x v="24"/>
    <n v="7"/>
    <m/>
    <n v="75"/>
    <n v="75"/>
  </r>
  <r>
    <s v="SBG - Desktop"/>
    <x v="0"/>
    <s v="Task"/>
    <s v="DESK-7722"/>
    <s v="Phase 2 Module Development"/>
    <s v="Task"/>
    <x v="0"/>
    <d v="2016-02-02T17:31:00"/>
    <x v="11"/>
    <x v="1"/>
    <x v="24"/>
    <n v="8"/>
    <m/>
    <n v="75"/>
    <n v="75"/>
  </r>
  <r>
    <s v="SBG - Desktop"/>
    <x v="0"/>
    <s v="Task"/>
    <s v="DESK-7722"/>
    <s v="Phase 2 Module Development"/>
    <s v="Task"/>
    <x v="0"/>
    <d v="2016-02-16T16:51:00"/>
    <x v="11"/>
    <x v="1"/>
    <x v="24"/>
    <n v="1"/>
    <m/>
    <n v="75"/>
    <n v="75"/>
  </r>
  <r>
    <s v="SBG - Desktop"/>
    <x v="0"/>
    <s v="Task"/>
    <s v="DESK-7722"/>
    <s v="Phase 2 Module Development"/>
    <s v="Task"/>
    <x v="0"/>
    <d v="2016-02-17T12:19:00"/>
    <x v="11"/>
    <x v="1"/>
    <x v="24"/>
    <n v="2"/>
    <m/>
    <n v="75"/>
    <n v="75"/>
  </r>
  <r>
    <s v="SBG - Desktop"/>
    <x v="0"/>
    <s v="Task"/>
    <s v="DESK-7722"/>
    <s v="Phase 2 Module Development"/>
    <s v="Task"/>
    <x v="0"/>
    <d v="2016-02-23T10:18:00"/>
    <x v="11"/>
    <x v="1"/>
    <x v="24"/>
    <n v="4"/>
    <m/>
    <n v="75"/>
    <n v="75"/>
  </r>
  <r>
    <s v="SBG - Desktop"/>
    <x v="0"/>
    <s v="Task"/>
    <s v="DESK-7722"/>
    <s v="Phase 2 Module Development"/>
    <s v="Task"/>
    <x v="0"/>
    <d v="2016-02-23T15:31:00"/>
    <x v="11"/>
    <x v="1"/>
    <x v="24"/>
    <n v="4"/>
    <m/>
    <n v="75"/>
    <n v="75"/>
  </r>
  <r>
    <s v="SBG - Desktop"/>
    <x v="0"/>
    <s v="Task"/>
    <s v="DESK-7722"/>
    <s v="Phase 2 Module Development"/>
    <s v="Task"/>
    <x v="0"/>
    <d v="2016-02-24T10:35:00"/>
    <x v="11"/>
    <x v="1"/>
    <x v="24"/>
    <n v="4"/>
    <m/>
    <n v="75"/>
    <n v="75"/>
  </r>
  <r>
    <s v="SBG - Desktop"/>
    <x v="0"/>
    <s v="Task"/>
    <s v="DESK-7722"/>
    <s v="Phase 2 Module Development"/>
    <s v="Task"/>
    <x v="0"/>
    <d v="2016-02-25T11:09:00"/>
    <x v="11"/>
    <x v="1"/>
    <x v="24"/>
    <n v="5"/>
    <m/>
    <n v="75"/>
    <n v="75"/>
  </r>
  <r>
    <s v="SBG - Desktop"/>
    <x v="0"/>
    <s v="Task"/>
    <s v="DESK-7722"/>
    <s v="Phase 2 Module Development"/>
    <s v="Task"/>
    <x v="0"/>
    <d v="2016-02-26T10:30:00"/>
    <x v="11"/>
    <x v="1"/>
    <x v="24"/>
    <n v="5"/>
    <m/>
    <n v="75"/>
    <n v="75"/>
  </r>
  <r>
    <s v="SBG - Desktop"/>
    <x v="0"/>
    <s v="Task"/>
    <s v="DESK-7722"/>
    <s v="Phase 2 Module Development"/>
    <s v="Task"/>
    <x v="0"/>
    <d v="2016-02-29T21:44:00"/>
    <x v="11"/>
    <x v="1"/>
    <x v="24"/>
    <n v="5"/>
    <m/>
    <n v="75"/>
    <n v="75"/>
  </r>
  <r>
    <s v="SBG - Desktop"/>
    <x v="0"/>
    <s v="Task"/>
    <s v="DESK-7722"/>
    <s v="Phase 2 Module Development"/>
    <s v="Task"/>
    <x v="0"/>
    <d v="2016-03-01T01:25:00"/>
    <x v="7"/>
    <x v="1"/>
    <x v="24"/>
    <n v="5"/>
    <m/>
    <n v="92"/>
    <n v="92"/>
  </r>
  <r>
    <s v="SBG - Desktop"/>
    <x v="0"/>
    <s v="Task"/>
    <s v="DESK-7722"/>
    <s v="Phase 2 Module Development"/>
    <s v="Task"/>
    <x v="0"/>
    <d v="2016-03-02T20:22:00"/>
    <x v="7"/>
    <x v="1"/>
    <x v="24"/>
    <n v="4"/>
    <m/>
    <n v="92"/>
    <n v="92"/>
  </r>
  <r>
    <s v="SBG - Desktop"/>
    <x v="0"/>
    <s v="Task"/>
    <s v="DESK-7722"/>
    <s v="Phase 2 Module Development"/>
    <s v="Task"/>
    <x v="0"/>
    <d v="2016-03-03T20:23:00"/>
    <x v="7"/>
    <x v="1"/>
    <x v="24"/>
    <n v="4"/>
    <m/>
    <n v="92"/>
    <n v="92"/>
  </r>
  <r>
    <s v="SBG - Desktop"/>
    <x v="0"/>
    <s v="Task"/>
    <s v="DESK-7722"/>
    <s v="Phase 2 Module Development"/>
    <s v="Task"/>
    <x v="0"/>
    <d v="2016-03-07T16:49:00"/>
    <x v="7"/>
    <x v="1"/>
    <x v="24"/>
    <n v="4"/>
    <m/>
    <n v="92"/>
    <n v="92"/>
  </r>
  <r>
    <s v="SBG - Desktop"/>
    <x v="0"/>
    <s v="Task"/>
    <s v="DESK-7722"/>
    <s v="Phase 2 Module Development"/>
    <s v="Task"/>
    <x v="0"/>
    <d v="2016-03-10T10:35:00"/>
    <x v="7"/>
    <x v="1"/>
    <x v="24"/>
    <n v="4"/>
    <m/>
    <n v="92"/>
    <n v="92"/>
  </r>
  <r>
    <s v="SBG - Desktop"/>
    <x v="0"/>
    <s v="Task"/>
    <s v="DESK-7722"/>
    <s v="Phase 2 Module Development"/>
    <s v="Task"/>
    <x v="0"/>
    <d v="2016-03-16T15:54:00"/>
    <x v="7"/>
    <x v="1"/>
    <x v="24"/>
    <n v="7"/>
    <m/>
    <n v="92"/>
    <n v="92"/>
  </r>
  <r>
    <s v="SBG - Desktop"/>
    <x v="0"/>
    <s v="Task"/>
    <s v="DESK-7722"/>
    <s v="Phase 2 Module Development"/>
    <s v="Task"/>
    <x v="0"/>
    <d v="2016-03-17T16:41:00"/>
    <x v="7"/>
    <x v="1"/>
    <x v="24"/>
    <n v="6"/>
    <m/>
    <n v="92"/>
    <n v="92"/>
  </r>
  <r>
    <s v="SBG - Desktop"/>
    <x v="0"/>
    <s v="Task"/>
    <s v="DESK-7722"/>
    <s v="Phase 2 Module Development"/>
    <s v="Task"/>
    <x v="0"/>
    <d v="2016-03-18T19:10:00"/>
    <x v="7"/>
    <x v="1"/>
    <x v="24"/>
    <n v="6"/>
    <m/>
    <n v="92"/>
    <n v="92"/>
  </r>
  <r>
    <s v="SBG - Desktop"/>
    <x v="0"/>
    <s v="Task"/>
    <s v="DESK-7722"/>
    <s v="Phase 2 Module Development"/>
    <s v="Task"/>
    <x v="0"/>
    <d v="2016-03-21T09:50:00"/>
    <x v="7"/>
    <x v="1"/>
    <x v="24"/>
    <n v="4"/>
    <m/>
    <n v="92"/>
    <n v="92"/>
  </r>
  <r>
    <s v="SBG - Desktop"/>
    <x v="0"/>
    <s v="Task"/>
    <s v="DESK-7722"/>
    <s v="Phase 2 Module Development"/>
    <s v="Task"/>
    <x v="0"/>
    <d v="2016-03-22T09:50:00"/>
    <x v="7"/>
    <x v="1"/>
    <x v="24"/>
    <n v="4"/>
    <m/>
    <n v="92"/>
    <n v="92"/>
  </r>
  <r>
    <s v="SBG - Desktop"/>
    <x v="0"/>
    <s v="Task"/>
    <s v="DESK-7722"/>
    <s v="Phase 2 Module Development"/>
    <s v="Task"/>
    <x v="0"/>
    <d v="2016-03-23T09:50:00"/>
    <x v="7"/>
    <x v="1"/>
    <x v="24"/>
    <n v="4"/>
    <m/>
    <n v="92"/>
    <n v="92"/>
  </r>
  <r>
    <s v="SBG - Desktop"/>
    <x v="0"/>
    <s v="Task"/>
    <s v="DESK-7722"/>
    <s v="Phase 2 Module Development"/>
    <s v="Task"/>
    <x v="0"/>
    <d v="2016-03-24T09:50:00"/>
    <x v="7"/>
    <x v="1"/>
    <x v="24"/>
    <n v="4"/>
    <m/>
    <n v="92"/>
    <n v="92"/>
  </r>
  <r>
    <s v="SBG - Desktop"/>
    <x v="0"/>
    <s v="Task"/>
    <s v="DESK-7722"/>
    <s v="Phase 2 Module Development"/>
    <s v="Task"/>
    <x v="0"/>
    <d v="2016-03-25T09:51:00"/>
    <x v="7"/>
    <x v="1"/>
    <x v="24"/>
    <n v="4"/>
    <m/>
    <n v="92"/>
    <n v="92"/>
  </r>
  <r>
    <s v="SBG - Desktop"/>
    <x v="0"/>
    <s v="Task"/>
    <s v="DESK-7722"/>
    <s v="Phase 2 Module Development"/>
    <s v="Task"/>
    <x v="0"/>
    <d v="2016-03-28T15:30:00"/>
    <x v="7"/>
    <x v="1"/>
    <x v="24"/>
    <n v="4"/>
    <m/>
    <n v="92"/>
    <n v="92"/>
  </r>
  <r>
    <s v="SBG - Desktop"/>
    <x v="0"/>
    <s v="Task"/>
    <s v="DESK-7722"/>
    <s v="Phase 2 Module Development"/>
    <s v="Task"/>
    <x v="0"/>
    <d v="2016-03-29T15:30:00"/>
    <x v="7"/>
    <x v="1"/>
    <x v="24"/>
    <n v="6"/>
    <m/>
    <n v="92"/>
    <n v="92"/>
  </r>
  <r>
    <s v="SBG - Desktop"/>
    <x v="0"/>
    <s v="Task"/>
    <s v="DESK-7722"/>
    <s v="Phase 2 Module Development"/>
    <s v="Task"/>
    <x v="0"/>
    <d v="2016-03-30T15:30:00"/>
    <x v="7"/>
    <x v="1"/>
    <x v="24"/>
    <n v="5"/>
    <m/>
    <n v="92"/>
    <n v="92"/>
  </r>
  <r>
    <s v="SBG - Desktop"/>
    <x v="1"/>
    <s v="Bug"/>
    <s v="DESK-7746"/>
    <s v="on search page, results didn't hide FREE SHIPPING"/>
    <s v="Bug"/>
    <x v="1"/>
    <d v="2016-03-14T16:58:00"/>
    <x v="7"/>
    <x v="1"/>
    <x v="8"/>
    <n v="1.5"/>
    <m/>
    <n v="156.4"/>
    <n v="27.600000000000005"/>
  </r>
  <r>
    <s v="SBG - Desktop"/>
    <x v="2"/>
    <s v="Task"/>
    <s v="DESK-7750"/>
    <s v="Change default string in Algolia search box"/>
    <s v="Task"/>
    <x v="0"/>
    <d v="2016-02-25T08:36:00"/>
    <x v="11"/>
    <x v="1"/>
    <x v="10"/>
    <n v="2"/>
    <m/>
    <n v="127.5"/>
    <n v="22.500000000000004"/>
  </r>
  <r>
    <s v="SBG - Desktop"/>
    <x v="1"/>
    <s v="Task"/>
    <s v="DESK-7750"/>
    <s v="Change default string in Algolia search box"/>
    <s v="Task"/>
    <x v="0"/>
    <d v="2016-02-26T19:11:00"/>
    <x v="11"/>
    <x v="1"/>
    <x v="1"/>
    <n v="1"/>
    <m/>
    <n v="127.5"/>
    <n v="22.500000000000004"/>
  </r>
  <r>
    <s v="SBG - Desktop"/>
    <x v="2"/>
    <s v="Task"/>
    <s v="DESK-7750"/>
    <s v="Change default string in Algolia search box"/>
    <s v="Task"/>
    <x v="0"/>
    <d v="2016-02-29T16:22:00"/>
    <x v="11"/>
    <x v="1"/>
    <x v="10"/>
    <n v="1"/>
    <m/>
    <n v="127.5"/>
    <n v="22.500000000000004"/>
  </r>
  <r>
    <s v="SBG - Desktop"/>
    <x v="1"/>
    <s v="Task"/>
    <s v="DESK-7750"/>
    <s v="Change default string in Algolia search box"/>
    <s v="Task"/>
    <x v="0"/>
    <d v="2016-02-29T19:43:00"/>
    <x v="11"/>
    <x v="1"/>
    <x v="1"/>
    <n v="1"/>
    <m/>
    <n v="127.5"/>
    <n v="22.500000000000004"/>
  </r>
  <r>
    <s v="SBG - Desktop"/>
    <x v="1"/>
    <s v="Task"/>
    <s v="DESK-7750"/>
    <s v="Change default string in Algolia search box"/>
    <s v="Task"/>
    <x v="0"/>
    <d v="2016-03-01T16:21:00"/>
    <x v="7"/>
    <x v="1"/>
    <x v="1"/>
    <n v="1"/>
    <m/>
    <n v="156.4"/>
    <n v="27.600000000000005"/>
  </r>
  <r>
    <s v="SBG - Desktop"/>
    <x v="2"/>
    <s v="Task"/>
    <s v="DESK-7750"/>
    <s v="Change default string in Algolia search box"/>
    <s v="Task"/>
    <x v="0"/>
    <d v="2016-03-01T16:23:00"/>
    <x v="7"/>
    <x v="1"/>
    <x v="10"/>
    <n v="1"/>
    <m/>
    <n v="156.4"/>
    <n v="27.600000000000005"/>
  </r>
  <r>
    <s v="SBG - Desktop"/>
    <x v="1"/>
    <s v="Task"/>
    <s v="DESK-7752"/>
    <s v="Banner for CN site Alipay"/>
    <s v="Task"/>
    <x v="0"/>
    <d v="2016-02-29T19:44:00"/>
    <x v="11"/>
    <x v="1"/>
    <x v="1"/>
    <n v="2"/>
    <m/>
    <n v="127.5"/>
    <n v="22.500000000000004"/>
  </r>
  <r>
    <s v="SBG - Desktop"/>
    <x v="0"/>
    <s v="Task"/>
    <s v="DESK-7754"/>
    <s v="New website Logo Design for CN domain"/>
    <s v="Task"/>
    <x v="0"/>
    <d v="2016-02-26T10:34:00"/>
    <x v="11"/>
    <x v="1"/>
    <x v="24"/>
    <n v="2"/>
    <m/>
    <n v="75"/>
    <n v="75"/>
  </r>
  <r>
    <s v="SBG - Desktop"/>
    <x v="0"/>
    <s v="Task"/>
    <s v="DESK-7754"/>
    <s v="New website Logo Design for CN domain"/>
    <s v="Task"/>
    <x v="0"/>
    <d v="2016-02-29T21:45:00"/>
    <x v="11"/>
    <x v="1"/>
    <x v="24"/>
    <n v="3"/>
    <m/>
    <n v="75"/>
    <n v="75"/>
  </r>
  <r>
    <s v="SBG - Desktop"/>
    <x v="0"/>
    <s v="Task"/>
    <s v="DESK-7754"/>
    <s v="New website Logo Design for CN domain"/>
    <s v="Task"/>
    <x v="0"/>
    <d v="2016-02-29T21:45:00"/>
    <x v="11"/>
    <x v="1"/>
    <x v="24"/>
    <n v="3"/>
    <m/>
    <n v="75"/>
    <n v="75"/>
  </r>
  <r>
    <s v="SBG - Desktop"/>
    <x v="0"/>
    <s v="Task"/>
    <s v="DESK-7754"/>
    <s v="New website Logo Design for CN domain"/>
    <s v="Task"/>
    <x v="0"/>
    <d v="2016-03-01T01:26:00"/>
    <x v="7"/>
    <x v="1"/>
    <x v="24"/>
    <n v="5"/>
    <m/>
    <n v="92"/>
    <n v="92"/>
  </r>
  <r>
    <s v="SBG - Desktop"/>
    <x v="0"/>
    <s v="Task"/>
    <s v="DESK-7754"/>
    <s v="New website Logo Design for CN domain"/>
    <s v="Task"/>
    <x v="0"/>
    <d v="2016-03-02T20:22:00"/>
    <x v="7"/>
    <x v="1"/>
    <x v="24"/>
    <n v="4"/>
    <m/>
    <n v="92"/>
    <n v="92"/>
  </r>
  <r>
    <s v="SBG - Desktop"/>
    <x v="0"/>
    <s v="Task"/>
    <s v="DESK-7754"/>
    <s v="New website Logo Design for CN domain"/>
    <s v="Task"/>
    <x v="0"/>
    <d v="2016-03-03T20:23:00"/>
    <x v="7"/>
    <x v="1"/>
    <x v="24"/>
    <n v="4"/>
    <m/>
    <n v="92"/>
    <n v="92"/>
  </r>
  <r>
    <s v="SBG - Desktop"/>
    <x v="0"/>
    <s v="Task"/>
    <s v="DESK-7754"/>
    <s v="New website Logo Design for CN domain"/>
    <s v="Task"/>
    <x v="0"/>
    <d v="2016-03-07T16:49:00"/>
    <x v="7"/>
    <x v="1"/>
    <x v="24"/>
    <n v="8"/>
    <m/>
    <n v="92"/>
    <n v="92"/>
  </r>
  <r>
    <s v="SBG - Desktop"/>
    <x v="2"/>
    <s v="Improvement"/>
    <s v="DESK-7755"/>
    <s v="ADD SSL to membership/login page"/>
    <s v="Improvement"/>
    <x v="0"/>
    <d v="2016-02-16T14:15:00"/>
    <x v="11"/>
    <x v="1"/>
    <x v="18"/>
    <n v="5"/>
    <m/>
    <n v="127.5"/>
    <n v="22.500000000000004"/>
  </r>
  <r>
    <s v="SBG - Desktop"/>
    <x v="2"/>
    <s v="Improvement"/>
    <s v="DESK-7755"/>
    <s v="ADD SSL to membership/login page"/>
    <s v="Improvement"/>
    <x v="0"/>
    <d v="2016-02-29T13:57:00"/>
    <x v="11"/>
    <x v="1"/>
    <x v="18"/>
    <n v="4"/>
    <m/>
    <n v="127.5"/>
    <n v="22.500000000000004"/>
  </r>
  <r>
    <s v="SBG - Desktop"/>
    <x v="1"/>
    <s v="Improvement"/>
    <s v="DESK-7755"/>
    <s v="ADD SSL to membership/login page"/>
    <s v="Improvement"/>
    <x v="0"/>
    <d v="2016-03-02T18:11:00"/>
    <x v="7"/>
    <x v="1"/>
    <x v="23"/>
    <n v="2"/>
    <m/>
    <n v="156.4"/>
    <n v="27.600000000000005"/>
  </r>
  <r>
    <s v="SBG - Desktop"/>
    <x v="1"/>
    <s v="Improvement"/>
    <s v="DESK-7755"/>
    <s v="ADD SSL to membership/login page"/>
    <s v="Improvement"/>
    <x v="0"/>
    <d v="2016-03-07T09:51:00"/>
    <x v="7"/>
    <x v="1"/>
    <x v="23"/>
    <n v="1"/>
    <m/>
    <n v="156.4"/>
    <n v="27.600000000000005"/>
  </r>
  <r>
    <s v="SBG - Desktop"/>
    <x v="0"/>
    <s v="Bugs"/>
    <s v="DESK-7756"/>
    <s v="DESK-3017&gt; font size on top bar"/>
    <s v="Bugs"/>
    <x v="1"/>
    <d v="2016-02-29T15:45:00"/>
    <x v="11"/>
    <x v="1"/>
    <x v="19"/>
    <n v="1"/>
    <m/>
    <n v="75"/>
    <n v="75"/>
  </r>
  <r>
    <s v="SBG - Desktop"/>
    <x v="2"/>
    <s v="Task"/>
    <s v="DESK-7760"/>
    <s v="Contact lens reorder"/>
    <s v="Task"/>
    <x v="0"/>
    <d v="2016-02-02T11:14:00"/>
    <x v="11"/>
    <x v="1"/>
    <x v="18"/>
    <n v="8"/>
    <m/>
    <n v="127.5"/>
    <n v="22.500000000000004"/>
  </r>
  <r>
    <s v="SBG - Desktop"/>
    <x v="2"/>
    <s v="Task"/>
    <s v="DESK-7760"/>
    <s v="Contact lens reorder"/>
    <s v="Task"/>
    <x v="0"/>
    <d v="2016-02-12T11:14:00"/>
    <x v="11"/>
    <x v="1"/>
    <x v="18"/>
    <n v="8"/>
    <m/>
    <n v="127.5"/>
    <n v="22.500000000000004"/>
  </r>
  <r>
    <s v="SBG - Desktop"/>
    <x v="2"/>
    <s v="Task"/>
    <s v="DESK-7760"/>
    <s v="Contact lens reorder"/>
    <s v="Task"/>
    <x v="0"/>
    <d v="2016-03-02T14:07:00"/>
    <x v="7"/>
    <x v="1"/>
    <x v="18"/>
    <n v="8"/>
    <m/>
    <n v="156.4"/>
    <n v="27.600000000000005"/>
  </r>
  <r>
    <s v="SBG - Desktop"/>
    <x v="2"/>
    <s v="Task"/>
    <s v="DESK-7760"/>
    <s v="Contact lens reorder"/>
    <s v="Task"/>
    <x v="0"/>
    <d v="2016-03-10T14:06:00"/>
    <x v="7"/>
    <x v="1"/>
    <x v="33"/>
    <n v="0.5"/>
    <m/>
    <n v="156.4"/>
    <n v="27.600000000000005"/>
  </r>
  <r>
    <s v="SBG - Desktop"/>
    <x v="2"/>
    <s v="Task"/>
    <s v="DESK-7760"/>
    <s v="Contact lens reorder"/>
    <s v="Task"/>
    <x v="0"/>
    <d v="2016-03-10T18:31:00"/>
    <x v="7"/>
    <x v="1"/>
    <x v="18"/>
    <n v="8"/>
    <m/>
    <n v="156.4"/>
    <n v="27.600000000000005"/>
  </r>
  <r>
    <s v="SBG - Desktop"/>
    <x v="1"/>
    <s v="Task"/>
    <s v="DESK-7760"/>
    <s v="Contact lens reorder"/>
    <s v="Task"/>
    <x v="0"/>
    <d v="2016-03-17T09:50:00"/>
    <x v="7"/>
    <x v="1"/>
    <x v="21"/>
    <n v="2"/>
    <m/>
    <n v="156.4"/>
    <n v="27.600000000000005"/>
  </r>
  <r>
    <s v="SBG - Desktop"/>
    <x v="1"/>
    <s v="Task"/>
    <s v="DESK-7760"/>
    <s v="Contact lens reorder"/>
    <s v="Task"/>
    <x v="0"/>
    <d v="2016-03-30T18:27:00"/>
    <x v="7"/>
    <x v="1"/>
    <x v="21"/>
    <n v="2"/>
    <m/>
    <n v="156.4"/>
    <n v="27.600000000000005"/>
  </r>
  <r>
    <s v="SBG - Desktop"/>
    <x v="1"/>
    <s v="Task"/>
    <s v="DESK-7760"/>
    <s v="Contact lens reorder"/>
    <s v="Task"/>
    <x v="0"/>
    <d v="2016-03-31T12:23:00"/>
    <x v="7"/>
    <x v="1"/>
    <x v="21"/>
    <n v="6"/>
    <m/>
    <n v="156.4"/>
    <n v="27.600000000000005"/>
  </r>
  <r>
    <s v="SBG - Desktop"/>
    <x v="2"/>
    <s v="Bug"/>
    <s v="DESK-7761"/>
    <s v="Out of stock item still show Fast Shipping"/>
    <s v="Bug"/>
    <x v="1"/>
    <d v="2016-03-04T14:00:00"/>
    <x v="7"/>
    <x v="1"/>
    <x v="11"/>
    <n v="4"/>
    <m/>
    <n v="156.4"/>
    <n v="27.600000000000005"/>
  </r>
  <r>
    <s v="SBG - Desktop"/>
    <x v="2"/>
    <s v="Bug"/>
    <s v="DESK-7762"/>
    <s v="Fast Shipping, but none in OM"/>
    <s v="Bug"/>
    <x v="1"/>
    <d v="2016-03-24T14:00:00"/>
    <x v="7"/>
    <x v="1"/>
    <x v="11"/>
    <n v="2"/>
    <m/>
    <n v="156.4"/>
    <n v="27.600000000000005"/>
  </r>
  <r>
    <s v="SBG - Desktop"/>
    <x v="2"/>
    <s v="Bug"/>
    <s v="DESK-7763"/>
    <s v="Gather all FS issue for Discontinued items."/>
    <s v="Bug"/>
    <x v="1"/>
    <d v="2016-03-17T16:04:00"/>
    <x v="7"/>
    <x v="1"/>
    <x v="11"/>
    <n v="3"/>
    <m/>
    <n v="156.4"/>
    <n v="27.600000000000005"/>
  </r>
  <r>
    <s v="SBG - Desktop"/>
    <x v="2"/>
    <s v="Bug"/>
    <s v="DESK-7765"/>
    <s v="Algolia search doesn't work"/>
    <s v="Bug"/>
    <x v="1"/>
    <d v="2016-03-01T16:37:00"/>
    <x v="7"/>
    <x v="1"/>
    <x v="2"/>
    <n v="8"/>
    <m/>
    <n v="156.4"/>
    <n v="27.600000000000005"/>
  </r>
  <r>
    <s v="SBG - Desktop"/>
    <x v="2"/>
    <s v="Bug"/>
    <s v="DESK-7765"/>
    <s v="Algolia search doesn't work"/>
    <s v="Bug"/>
    <x v="1"/>
    <d v="2016-03-02T16:38:00"/>
    <x v="7"/>
    <x v="1"/>
    <x v="2"/>
    <n v="4"/>
    <m/>
    <n v="156.4"/>
    <n v="27.600000000000005"/>
  </r>
  <r>
    <s v="SBG - Desktop"/>
    <x v="1"/>
    <s v="Bug"/>
    <s v="DESK-7765"/>
    <s v="Algolia search doesn't work"/>
    <s v="Bug"/>
    <x v="1"/>
    <d v="2016-03-02T19:30:00"/>
    <x v="7"/>
    <x v="1"/>
    <x v="1"/>
    <n v="3"/>
    <m/>
    <n v="156.4"/>
    <n v="27.600000000000005"/>
  </r>
  <r>
    <s v="SBG - Desktop"/>
    <x v="2"/>
    <s v="Bug"/>
    <s v="DESK-7765"/>
    <s v="Algolia search doesn't work"/>
    <s v="Bug"/>
    <x v="1"/>
    <d v="2016-03-03T11:44:00"/>
    <x v="7"/>
    <x v="1"/>
    <x v="2"/>
    <n v="3"/>
    <m/>
    <n v="156.4"/>
    <n v="27.600000000000005"/>
  </r>
  <r>
    <s v="SBG - Desktop"/>
    <x v="1"/>
    <s v="Bug"/>
    <s v="DESK-7765"/>
    <s v="Algolia search doesn't work"/>
    <s v="Bug"/>
    <x v="1"/>
    <d v="2016-03-03T19:03:00"/>
    <x v="7"/>
    <x v="1"/>
    <x v="1"/>
    <n v="3"/>
    <m/>
    <n v="156.4"/>
    <n v="27.600000000000005"/>
  </r>
  <r>
    <s v="SBG - Desktop"/>
    <x v="1"/>
    <s v="Bug"/>
    <s v="DESK-7765"/>
    <s v="Algolia search doesn't work"/>
    <s v="Bug"/>
    <x v="1"/>
    <d v="2016-03-04T16:32:00"/>
    <x v="7"/>
    <x v="1"/>
    <x v="1"/>
    <n v="2"/>
    <m/>
    <n v="156.4"/>
    <n v="27.600000000000005"/>
  </r>
  <r>
    <s v="SBG - Desktop"/>
    <x v="1"/>
    <s v="Bug"/>
    <s v="DESK-7765"/>
    <s v="Algolia search doesn't work"/>
    <s v="Bug"/>
    <x v="1"/>
    <d v="2016-03-07T18:54:00"/>
    <x v="7"/>
    <x v="1"/>
    <x v="1"/>
    <n v="2"/>
    <m/>
    <n v="156.4"/>
    <n v="27.600000000000005"/>
  </r>
  <r>
    <s v="SBG - Desktop"/>
    <x v="1"/>
    <s v="Task"/>
    <s v="DESK-7766"/>
    <s v="To find out all error pages from code on CN website"/>
    <s v="Task"/>
    <x v="0"/>
    <d v="2016-03-02T19:30:00"/>
    <x v="7"/>
    <x v="1"/>
    <x v="1"/>
    <n v="1"/>
    <m/>
    <n v="156.4"/>
    <n v="27.600000000000005"/>
  </r>
  <r>
    <s v="SBG - Desktop"/>
    <x v="1"/>
    <s v="Task"/>
    <s v="DESK-7766"/>
    <s v="To find out all error pages from code on CN website"/>
    <s v="Task"/>
    <x v="0"/>
    <d v="2016-03-09T19:26:00"/>
    <x v="7"/>
    <x v="1"/>
    <x v="1"/>
    <n v="1"/>
    <m/>
    <n v="156.4"/>
    <n v="27.600000000000005"/>
  </r>
  <r>
    <s v="SBG - Desktop"/>
    <x v="1"/>
    <s v="Task"/>
    <s v="DESK-7766"/>
    <s v="To find out all error pages from code on CN website"/>
    <s v="Task"/>
    <x v="0"/>
    <d v="2016-03-14T20:07:00"/>
    <x v="7"/>
    <x v="1"/>
    <x v="1"/>
    <n v="1"/>
    <m/>
    <n v="156.4"/>
    <n v="27.600000000000005"/>
  </r>
  <r>
    <s v="SBG - Desktop"/>
    <x v="2"/>
    <s v="Task"/>
    <s v="DESK-7773"/>
    <s v="Remove Free Lens Kit on BR domain"/>
    <s v="Task"/>
    <x v="0"/>
    <d v="2016-02-10T11:14:00"/>
    <x v="11"/>
    <x v="1"/>
    <x v="18"/>
    <n v="8"/>
    <m/>
    <n v="127.5"/>
    <n v="22.500000000000004"/>
  </r>
  <r>
    <s v="SBG - Desktop"/>
    <x v="2"/>
    <s v="Task"/>
    <s v="DESK-7773"/>
    <s v="Remove Free Lens Kit on BR domain"/>
    <s v="Task"/>
    <x v="0"/>
    <d v="2016-02-11T11:14:00"/>
    <x v="11"/>
    <x v="1"/>
    <x v="18"/>
    <n v="8"/>
    <m/>
    <n v="127.5"/>
    <n v="22.500000000000004"/>
  </r>
  <r>
    <s v="SBG - Desktop"/>
    <x v="2"/>
    <s v="Task"/>
    <s v="DESK-7773"/>
    <s v="Remove Free Lens Kit on BR domain"/>
    <s v="Task"/>
    <x v="0"/>
    <d v="2016-03-08T12:11:00"/>
    <x v="7"/>
    <x v="1"/>
    <x v="18"/>
    <n v="4"/>
    <m/>
    <n v="156.4"/>
    <n v="27.600000000000005"/>
  </r>
  <r>
    <s v="SBG - Desktop"/>
    <x v="1"/>
    <s v="Task"/>
    <s v="DESK-7773"/>
    <s v="Remove Free Lens Kit on BR domain"/>
    <s v="Task"/>
    <x v="0"/>
    <d v="2016-03-09T18:28:00"/>
    <x v="7"/>
    <x v="1"/>
    <x v="23"/>
    <n v="1"/>
    <m/>
    <n v="156.4"/>
    <n v="27.600000000000005"/>
  </r>
  <r>
    <s v="SBG - Desktop"/>
    <x v="1"/>
    <s v="Task"/>
    <s v="DESK-7773"/>
    <s v="Remove Free Lens Kit on BR domain"/>
    <s v="Task"/>
    <x v="0"/>
    <d v="2016-03-11T18:35:00"/>
    <x v="7"/>
    <x v="1"/>
    <x v="23"/>
    <n v="3"/>
    <m/>
    <n v="156.4"/>
    <n v="27.600000000000005"/>
  </r>
  <r>
    <s v="SBG - Desktop"/>
    <x v="1"/>
    <s v="Task"/>
    <s v="DESK-7773"/>
    <s v="Remove Free Lens Kit on BR domain"/>
    <s v="Task"/>
    <x v="0"/>
    <d v="2016-03-14T16:47:00"/>
    <x v="7"/>
    <x v="1"/>
    <x v="23"/>
    <n v="1"/>
    <m/>
    <n v="156.4"/>
    <n v="27.600000000000005"/>
  </r>
  <r>
    <s v="SBG - Desktop"/>
    <x v="2"/>
    <s v="Sub-task"/>
    <s v="DESK-7774"/>
    <s v="DESK-3017&gt; Default Value Rounding"/>
    <s v="Sub-task"/>
    <x v="0"/>
    <d v="2016-03-01T08:35:00"/>
    <x v="7"/>
    <x v="1"/>
    <x v="10"/>
    <n v="2"/>
    <m/>
    <n v="156.4"/>
    <n v="27.600000000000005"/>
  </r>
  <r>
    <s v="SBG - Desktop"/>
    <x v="2"/>
    <s v="Sub-task"/>
    <s v="DESK-7774"/>
    <s v="DESK-3017&gt; Default Value Rounding"/>
    <s v="Sub-task"/>
    <x v="0"/>
    <d v="2016-03-03T18:03:00"/>
    <x v="7"/>
    <x v="1"/>
    <x v="10"/>
    <n v="4"/>
    <m/>
    <n v="156.4"/>
    <n v="27.600000000000005"/>
  </r>
  <r>
    <s v="SBG - Desktop"/>
    <x v="2"/>
    <s v="Bug"/>
    <s v="DESK-7777"/>
    <s v="When upgrade Redis on 219, cannot generate sitemap xml files"/>
    <s v="Bug"/>
    <x v="1"/>
    <d v="2016-03-04T09:30:00"/>
    <x v="7"/>
    <x v="1"/>
    <x v="11"/>
    <n v="4"/>
    <m/>
    <n v="156.4"/>
    <n v="27.600000000000005"/>
  </r>
  <r>
    <s v="SBG - Desktop"/>
    <x v="2"/>
    <s v="Sub-task"/>
    <s v="DESK-7779"/>
    <s v="DESK-3017&gt; &quot;Free Shipping&quot; wording on bar"/>
    <s v="Sub-task"/>
    <x v="0"/>
    <d v="2016-03-07T08:32:00"/>
    <x v="7"/>
    <x v="1"/>
    <x v="10"/>
    <n v="2"/>
    <m/>
    <n v="156.4"/>
    <n v="27.600000000000005"/>
  </r>
  <r>
    <s v="SBG - Desktop"/>
    <x v="4"/>
    <s v="New Feature"/>
    <s v="DESK-7781"/>
    <s v="Newsletter Subscription Pop up"/>
    <s v="New Feature"/>
    <x v="0"/>
    <d v="2016-03-31T14:41:00"/>
    <x v="7"/>
    <x v="1"/>
    <x v="13"/>
    <n v="2"/>
    <m/>
    <n v="156.4"/>
    <n v="27.600000000000005"/>
  </r>
  <r>
    <s v="SBG - Desktop"/>
    <x v="2"/>
    <s v="Improvement"/>
    <s v="DESK-7783"/>
    <s v="Change RMB to ¥"/>
    <s v="Improvement"/>
    <x v="0"/>
    <d v="2016-03-04T11:08:00"/>
    <x v="7"/>
    <x v="1"/>
    <x v="22"/>
    <n v="1"/>
    <m/>
    <n v="156.4"/>
    <n v="27.600000000000005"/>
  </r>
  <r>
    <s v="SBG - Desktop"/>
    <x v="2"/>
    <s v="Improvement"/>
    <s v="DESK-7783"/>
    <s v="Change RMB to ¥"/>
    <s v="Improvement"/>
    <x v="0"/>
    <d v="2016-03-04T14:47:00"/>
    <x v="7"/>
    <x v="1"/>
    <x v="22"/>
    <n v="4"/>
    <m/>
    <n v="156.4"/>
    <n v="27.600000000000005"/>
  </r>
  <r>
    <s v="SBG - Desktop"/>
    <x v="1"/>
    <s v="Improvement"/>
    <s v="DESK-7783"/>
    <s v="Change RMB to ¥"/>
    <s v="Improvement"/>
    <x v="0"/>
    <d v="2016-03-07T18:54:00"/>
    <x v="7"/>
    <x v="1"/>
    <x v="1"/>
    <n v="1"/>
    <m/>
    <n v="156.4"/>
    <n v="27.600000000000005"/>
  </r>
  <r>
    <s v="SBG - Desktop"/>
    <x v="0"/>
    <s v="Task"/>
    <s v="DESK-7784"/>
    <s v="Women's Day's banner for CN website."/>
    <s v="Task"/>
    <x v="0"/>
    <d v="2016-03-04T16:17:00"/>
    <x v="7"/>
    <x v="1"/>
    <x v="7"/>
    <n v="2"/>
    <m/>
    <n v="92"/>
    <n v="92"/>
  </r>
  <r>
    <s v="SBG - Desktop"/>
    <x v="1"/>
    <s v="Task"/>
    <s v="DESK-7784"/>
    <s v="Women's Day's banner for CN website."/>
    <s v="Task"/>
    <x v="0"/>
    <d v="2016-03-07T18:54:00"/>
    <x v="7"/>
    <x v="1"/>
    <x v="1"/>
    <n v="1"/>
    <m/>
    <n v="156.4"/>
    <n v="27.600000000000005"/>
  </r>
  <r>
    <s v="SBG - Desktop"/>
    <x v="2"/>
    <s v="Sub-task"/>
    <s v="DESK-7785"/>
    <s v="DESK-7826&gt; Optical Centre Launch - DE"/>
    <s v="Sub-task"/>
    <x v="0"/>
    <d v="2016-03-07T12:00:00"/>
    <x v="7"/>
    <x v="1"/>
    <x v="11"/>
    <n v="6"/>
    <m/>
    <n v="156.4"/>
    <n v="27.600000000000005"/>
  </r>
  <r>
    <s v="SBG - Desktop"/>
    <x v="2"/>
    <s v="Sub-task"/>
    <s v="DESK-7785"/>
    <s v="DESK-7826&gt; Optical Centre Launch - DE"/>
    <s v="Sub-task"/>
    <x v="0"/>
    <d v="2016-03-08T08:29:00"/>
    <x v="7"/>
    <x v="1"/>
    <x v="11"/>
    <n v="8"/>
    <m/>
    <n v="156.4"/>
    <n v="27.600000000000005"/>
  </r>
  <r>
    <s v="SBG - Desktop"/>
    <x v="1"/>
    <s v="Sub-task"/>
    <s v="DESK-7785"/>
    <s v="DESK-7826&gt; Optical Centre Launch - DE"/>
    <s v="Sub-task"/>
    <x v="0"/>
    <d v="2016-03-10T17:30:00"/>
    <x v="7"/>
    <x v="1"/>
    <x v="30"/>
    <n v="2"/>
    <m/>
    <n v="156.4"/>
    <n v="27.600000000000005"/>
  </r>
  <r>
    <s v="SBG - Desktop"/>
    <x v="2"/>
    <s v="Sub-task"/>
    <s v="DESK-7785"/>
    <s v="DESK-7826&gt; Optical Centre Launch - DE"/>
    <s v="Sub-task"/>
    <x v="0"/>
    <d v="2016-03-18T09:41:00"/>
    <x v="7"/>
    <x v="1"/>
    <x v="10"/>
    <n v="4"/>
    <m/>
    <n v="156.4"/>
    <n v="27.600000000000005"/>
  </r>
  <r>
    <s v="SBG - Desktop"/>
    <x v="1"/>
    <s v="Sub-task"/>
    <s v="DESK-7785"/>
    <s v="DESK-7826&gt; Optical Centre Launch - DE"/>
    <s v="Sub-task"/>
    <x v="0"/>
    <d v="2016-03-28T18:47:00"/>
    <x v="7"/>
    <x v="1"/>
    <x v="21"/>
    <n v="4"/>
    <m/>
    <n v="156.4"/>
    <n v="27.600000000000005"/>
  </r>
  <r>
    <s v="SBG - Desktop"/>
    <x v="1"/>
    <s v="Sub-task"/>
    <s v="DESK-7785"/>
    <s v="DESK-7826&gt; Optical Centre Launch - DE"/>
    <s v="Sub-task"/>
    <x v="0"/>
    <d v="2016-03-29T17:14:00"/>
    <x v="7"/>
    <x v="1"/>
    <x v="21"/>
    <n v="4"/>
    <m/>
    <n v="156.4"/>
    <n v="27.600000000000005"/>
  </r>
  <r>
    <s v="SBG - Desktop"/>
    <x v="2"/>
    <s v="Task"/>
    <s v="DESK-7787"/>
    <s v="SightSaver's Campaign Pimcore Feature Launch"/>
    <s v="Task"/>
    <x v="0"/>
    <d v="2016-03-15T09:39:00"/>
    <x v="7"/>
    <x v="1"/>
    <x v="10"/>
    <n v="8"/>
    <m/>
    <n v="156.4"/>
    <n v="27.600000000000005"/>
  </r>
  <r>
    <s v="SBG - Desktop"/>
    <x v="1"/>
    <s v="Task"/>
    <s v="DESK-7787"/>
    <s v="SightSaver's Campaign Pimcore Feature Launch"/>
    <s v="Task"/>
    <x v="0"/>
    <d v="2016-03-17T18:16:00"/>
    <x v="7"/>
    <x v="1"/>
    <x v="23"/>
    <n v="2"/>
    <m/>
    <n v="156.4"/>
    <n v="27.600000000000005"/>
  </r>
  <r>
    <s v="SBG - Desktop"/>
    <x v="1"/>
    <s v="Task"/>
    <s v="DESK-7787"/>
    <s v="SightSaver's Campaign Pimcore Feature Launch"/>
    <s v="Task"/>
    <x v="0"/>
    <d v="2016-03-21T15:32:00"/>
    <x v="7"/>
    <x v="1"/>
    <x v="23"/>
    <n v="3"/>
    <m/>
    <n v="156.4"/>
    <n v="27.600000000000005"/>
  </r>
  <r>
    <s v="SBG - Desktop"/>
    <x v="1"/>
    <s v="Task"/>
    <s v="DESK-7787"/>
    <s v="SightSaver's Campaign Pimcore Feature Launch"/>
    <s v="Task"/>
    <x v="0"/>
    <d v="2016-03-22T15:32:00"/>
    <x v="7"/>
    <x v="1"/>
    <x v="23"/>
    <n v="3"/>
    <m/>
    <n v="156.4"/>
    <n v="27.600000000000005"/>
  </r>
  <r>
    <s v="SBG - Desktop"/>
    <x v="1"/>
    <s v="Task"/>
    <s v="DESK-7787"/>
    <s v="SightSaver's Campaign Pimcore Feature Launch"/>
    <s v="Task"/>
    <x v="0"/>
    <d v="2016-03-29T16:02:00"/>
    <x v="7"/>
    <x v="1"/>
    <x v="23"/>
    <n v="2"/>
    <m/>
    <n v="156.4"/>
    <n v="27.600000000000005"/>
  </r>
  <r>
    <s v="SBG - Desktop"/>
    <x v="2"/>
    <s v="Sub-task"/>
    <s v="DESK-7790"/>
    <s v="DESK-3017&gt; Remove decimal points when displaying min. order value"/>
    <s v="Sub-task"/>
    <x v="0"/>
    <d v="2016-03-07T17:51:00"/>
    <x v="7"/>
    <x v="1"/>
    <x v="10"/>
    <n v="2"/>
    <m/>
    <n v="156.4"/>
    <n v="27.600000000000005"/>
  </r>
  <r>
    <s v="SBG - Desktop"/>
    <x v="1"/>
    <s v="Sub-task"/>
    <s v="DESK-7790"/>
    <s v="DESK-3017&gt; Remove decimal points when displaying min. order value"/>
    <s v="Sub-task"/>
    <x v="0"/>
    <d v="2016-03-07T19:16:00"/>
    <x v="7"/>
    <x v="1"/>
    <x v="8"/>
    <n v="1"/>
    <m/>
    <n v="156.4"/>
    <n v="27.600000000000005"/>
  </r>
  <r>
    <s v="SBG - Desktop"/>
    <x v="2"/>
    <s v="Task"/>
    <s v="DESK-7793"/>
    <s v="Add Social Media Sharing Buttons to Pimcore Phase 2"/>
    <s v="Task"/>
    <x v="0"/>
    <d v="2016-03-17T09:35:00"/>
    <x v="7"/>
    <x v="1"/>
    <x v="10"/>
    <n v="8"/>
    <m/>
    <n v="156.4"/>
    <n v="27.600000000000005"/>
  </r>
  <r>
    <s v="SBG - Desktop"/>
    <x v="1"/>
    <s v="Task"/>
    <s v="DESK-7793"/>
    <s v="Add Social Media Sharing Buttons to Pimcore Phase 2"/>
    <s v="Task"/>
    <x v="0"/>
    <d v="2016-03-17T18:16:00"/>
    <x v="7"/>
    <x v="1"/>
    <x v="23"/>
    <n v="3"/>
    <m/>
    <n v="156.4"/>
    <n v="27.600000000000005"/>
  </r>
  <r>
    <s v="SBG - Desktop"/>
    <x v="2"/>
    <s v="Task"/>
    <s v="DESK-7793"/>
    <s v="Add Social Media Sharing Buttons to Pimcore Phase 2"/>
    <s v="Task"/>
    <x v="0"/>
    <d v="2016-03-18T09:35:00"/>
    <x v="7"/>
    <x v="1"/>
    <x v="10"/>
    <n v="4"/>
    <m/>
    <n v="156.4"/>
    <n v="27.600000000000005"/>
  </r>
  <r>
    <s v="SBG - Desktop"/>
    <x v="1"/>
    <s v="Task"/>
    <s v="DESK-7793"/>
    <s v="Add Social Media Sharing Buttons to Pimcore Phase 2"/>
    <s v="Task"/>
    <x v="0"/>
    <d v="2016-03-18T16:31:00"/>
    <x v="7"/>
    <x v="1"/>
    <x v="23"/>
    <n v="2"/>
    <m/>
    <n v="156.4"/>
    <n v="27.600000000000005"/>
  </r>
  <r>
    <s v="SBG - Desktop"/>
    <x v="1"/>
    <s v="Task"/>
    <s v="DESK-7793"/>
    <s v="Add Social Media Sharing Buttons to Pimcore Phase 2"/>
    <s v="Task"/>
    <x v="0"/>
    <d v="2016-03-21T15:32:00"/>
    <x v="7"/>
    <x v="1"/>
    <x v="23"/>
    <n v="3"/>
    <m/>
    <n v="156.4"/>
    <n v="27.600000000000005"/>
  </r>
  <r>
    <s v="SBG - Desktop"/>
    <x v="1"/>
    <s v="Task"/>
    <s v="DESK-7793"/>
    <s v="Add Social Media Sharing Buttons to Pimcore Phase 2"/>
    <s v="Task"/>
    <x v="0"/>
    <d v="2016-03-22T15:32:00"/>
    <x v="7"/>
    <x v="1"/>
    <x v="23"/>
    <n v="3"/>
    <m/>
    <n v="156.4"/>
    <n v="27.600000000000005"/>
  </r>
  <r>
    <s v="SBG - Desktop"/>
    <x v="2"/>
    <s v="Improvement"/>
    <s v="DESK-7795"/>
    <s v="UA US tweek"/>
    <s v="Improvement"/>
    <x v="0"/>
    <d v="2016-03-08T17:48:00"/>
    <x v="7"/>
    <x v="1"/>
    <x v="10"/>
    <n v="4"/>
    <m/>
    <n v="156.4"/>
    <n v="27.600000000000005"/>
  </r>
  <r>
    <s v="SBG - Desktop"/>
    <x v="2"/>
    <s v="Improvement"/>
    <s v="DESK-7795"/>
    <s v="UA US tweek"/>
    <s v="Improvement"/>
    <x v="0"/>
    <d v="2016-03-09T17:47:00"/>
    <x v="7"/>
    <x v="1"/>
    <x v="10"/>
    <n v="4"/>
    <m/>
    <n v="156.4"/>
    <n v="27.600000000000005"/>
  </r>
  <r>
    <s v="SBG - Desktop"/>
    <x v="2"/>
    <s v="Improvement"/>
    <s v="DESK-7795"/>
    <s v="UA US tweek"/>
    <s v="Improvement"/>
    <x v="0"/>
    <d v="2016-03-10T09:32:00"/>
    <x v="7"/>
    <x v="1"/>
    <x v="10"/>
    <n v="8"/>
    <m/>
    <n v="156.4"/>
    <n v="27.600000000000005"/>
  </r>
  <r>
    <s v="SBG - Desktop"/>
    <x v="2"/>
    <s v="Improvement"/>
    <s v="DESK-7795"/>
    <s v="UA US tweek"/>
    <s v="Improvement"/>
    <x v="0"/>
    <d v="2016-03-14T09:40:00"/>
    <x v="7"/>
    <x v="1"/>
    <x v="10"/>
    <n v="8"/>
    <m/>
    <n v="156.4"/>
    <n v="27.600000000000005"/>
  </r>
  <r>
    <s v="SBG - Desktop"/>
    <x v="2"/>
    <s v="Bug"/>
    <s v="DESK-7796"/>
    <s v="cl search on algolia isn't working"/>
    <s v="Bug"/>
    <x v="1"/>
    <d v="2016-03-08T17:28:00"/>
    <x v="7"/>
    <x v="1"/>
    <x v="2"/>
    <n v="8"/>
    <s v="Urgent For missing order , there is not jira for it"/>
    <n v="156.4"/>
    <n v="27.600000000000005"/>
  </r>
  <r>
    <s v="SBG - Desktop"/>
    <x v="2"/>
    <s v="Bug"/>
    <s v="DESK-7796"/>
    <s v="cl search on algolia isn't working"/>
    <s v="Bug"/>
    <x v="1"/>
    <d v="2016-03-09T16:01:00"/>
    <x v="7"/>
    <x v="1"/>
    <x v="2"/>
    <n v="4"/>
    <m/>
    <n v="156.4"/>
    <n v="27.600000000000005"/>
  </r>
  <r>
    <s v="SBG - Desktop"/>
    <x v="1"/>
    <s v="Bug"/>
    <s v="DESK-7796"/>
    <s v="cl search on algolia isn't working"/>
    <s v="Bug"/>
    <x v="1"/>
    <d v="2016-03-15T15:37:00"/>
    <x v="7"/>
    <x v="1"/>
    <x v="23"/>
    <n v="2"/>
    <m/>
    <n v="156.4"/>
    <n v="27.600000000000005"/>
  </r>
  <r>
    <s v="SBG - Desktop"/>
    <x v="2"/>
    <s v="Improvement"/>
    <s v="DESK-7797"/>
    <s v="Return shipping fee - wrong logic"/>
    <s v="Improvement"/>
    <x v="0"/>
    <d v="2016-03-08T17:48:00"/>
    <x v="7"/>
    <x v="1"/>
    <x v="10"/>
    <n v="4"/>
    <m/>
    <n v="156.4"/>
    <n v="27.600000000000005"/>
  </r>
  <r>
    <s v="SBG - Desktop"/>
    <x v="2"/>
    <s v="Improvement"/>
    <s v="DESK-7797"/>
    <s v="Return shipping fee - wrong logic"/>
    <s v="Improvement"/>
    <x v="0"/>
    <d v="2016-03-09T07:34:00"/>
    <x v="7"/>
    <x v="1"/>
    <x v="10"/>
    <n v="3"/>
    <m/>
    <n v="156.4"/>
    <n v="27.600000000000005"/>
  </r>
  <r>
    <s v="SBG - Desktop"/>
    <x v="1"/>
    <s v="Improvement"/>
    <s v="DESK-7797"/>
    <s v="Return shipping fee - wrong logic"/>
    <s v="Improvement"/>
    <x v="0"/>
    <d v="2016-03-11T18:16:00"/>
    <x v="7"/>
    <x v="1"/>
    <x v="8"/>
    <n v="1"/>
    <m/>
    <n v="156.4"/>
    <n v="27.600000000000005"/>
  </r>
  <r>
    <s v="SBG - Desktop"/>
    <x v="1"/>
    <s v="Improvement"/>
    <s v="DESK-7797"/>
    <s v="Return shipping fee - wrong logic"/>
    <s v="Improvement"/>
    <x v="0"/>
    <d v="2016-03-15T14:38:00"/>
    <x v="7"/>
    <x v="1"/>
    <x v="8"/>
    <n v="0.5"/>
    <m/>
    <n v="156.4"/>
    <n v="27.600000000000005"/>
  </r>
  <r>
    <s v="SBG - Desktop"/>
    <x v="2"/>
    <s v="Bug"/>
    <s v="DESK-7798"/>
    <s v="Pls help to change container's name from 'gdr' to 'GDR' in code"/>
    <s v="Bug"/>
    <x v="1"/>
    <d v="2016-03-09T14:46:00"/>
    <x v="7"/>
    <x v="1"/>
    <x v="22"/>
    <n v="4"/>
    <m/>
    <n v="156.4"/>
    <n v="27.600000000000005"/>
  </r>
  <r>
    <s v="SBG - Desktop"/>
    <x v="1"/>
    <s v="Bug"/>
    <s v="DESK-7798"/>
    <s v="Pls help to change container's name from 'gdr' to 'GDR' in code"/>
    <s v="Bug"/>
    <x v="1"/>
    <d v="2016-03-14T20:07:00"/>
    <x v="7"/>
    <x v="1"/>
    <x v="1"/>
    <n v="1"/>
    <m/>
    <n v="156.4"/>
    <n v="27.600000000000005"/>
  </r>
  <r>
    <s v="SBG - Desktop"/>
    <x v="0"/>
    <s v="Task"/>
    <s v="DESK-7805"/>
    <s v="新风尚 banner before Mar. 23 2016"/>
    <s v="Task"/>
    <x v="0"/>
    <d v="2016-03-21T11:12:00"/>
    <x v="7"/>
    <x v="1"/>
    <x v="7"/>
    <n v="1"/>
    <m/>
    <n v="92"/>
    <n v="92"/>
  </r>
  <r>
    <s v="SBG - Desktop"/>
    <x v="2"/>
    <s v="Task"/>
    <s v="DESK-7806"/>
    <s v="Delete Product ID's"/>
    <s v="Task"/>
    <x v="0"/>
    <d v="2016-02-04T11:14:00"/>
    <x v="11"/>
    <x v="1"/>
    <x v="18"/>
    <n v="8"/>
    <m/>
    <n v="127.5"/>
    <n v="22.500000000000004"/>
  </r>
  <r>
    <s v="SBG - Desktop"/>
    <x v="2"/>
    <s v="Task"/>
    <s v="DESK-7806"/>
    <s v="Delete Product ID's"/>
    <s v="Task"/>
    <x v="0"/>
    <d v="2016-03-14T18:06:00"/>
    <x v="7"/>
    <x v="1"/>
    <x v="18"/>
    <n v="8"/>
    <m/>
    <n v="156.4"/>
    <n v="27.600000000000005"/>
  </r>
  <r>
    <s v="SBG - Desktop"/>
    <x v="1"/>
    <s v="Task"/>
    <s v="DESK-7806"/>
    <s v="Delete Product ID's"/>
    <s v="Task"/>
    <x v="0"/>
    <d v="2016-03-16T18:25:00"/>
    <x v="7"/>
    <x v="1"/>
    <x v="23"/>
    <n v="3"/>
    <m/>
    <n v="156.4"/>
    <n v="27.600000000000005"/>
  </r>
  <r>
    <s v="SBG - Desktop"/>
    <x v="1"/>
    <s v="Task"/>
    <s v="DESK-7806"/>
    <s v="Delete Product ID's"/>
    <s v="Task"/>
    <x v="0"/>
    <d v="2016-03-18T15:31:00"/>
    <x v="7"/>
    <x v="1"/>
    <x v="23"/>
    <n v="3"/>
    <m/>
    <n v="156.4"/>
    <n v="27.600000000000005"/>
  </r>
  <r>
    <s v="SBG - Desktop"/>
    <x v="0"/>
    <s v="Improvement"/>
    <s v="DESK-7810"/>
    <s v="Payment fail page update phase I - all countries"/>
    <s v="Improvement"/>
    <x v="0"/>
    <d v="2016-03-11T12:12:00"/>
    <x v="7"/>
    <x v="1"/>
    <x v="7"/>
    <n v="4"/>
    <m/>
    <n v="92"/>
    <n v="92"/>
  </r>
  <r>
    <s v="SBG - Desktop"/>
    <x v="0"/>
    <s v="Improvement"/>
    <s v="DESK-7810"/>
    <s v="Payment fail page update phase I - all countries"/>
    <s v="Improvement"/>
    <x v="0"/>
    <d v="2016-03-15T12:21:00"/>
    <x v="7"/>
    <x v="1"/>
    <x v="7"/>
    <n v="2"/>
    <m/>
    <n v="92"/>
    <n v="92"/>
  </r>
  <r>
    <s v="SBG - Desktop"/>
    <x v="1"/>
    <s v="Improvement"/>
    <s v="DESK-7810"/>
    <s v="Payment fail page update phase I - all countries"/>
    <s v="Improvement"/>
    <x v="0"/>
    <d v="2016-03-16T18:25:00"/>
    <x v="7"/>
    <x v="1"/>
    <x v="23"/>
    <n v="2"/>
    <m/>
    <n v="156.4"/>
    <n v="27.600000000000005"/>
  </r>
  <r>
    <s v="SBG - Desktop"/>
    <x v="1"/>
    <s v="Improvement"/>
    <s v="DESK-7810"/>
    <s v="Payment fail page update phase I - all countries"/>
    <s v="Improvement"/>
    <x v="0"/>
    <d v="2016-03-18T17:33:00"/>
    <x v="7"/>
    <x v="1"/>
    <x v="23"/>
    <n v="1"/>
    <m/>
    <n v="156.4"/>
    <n v="27.600000000000005"/>
  </r>
  <r>
    <s v="SBG - Desktop"/>
    <x v="0"/>
    <s v="Improvement"/>
    <s v="DESK-7810"/>
    <s v="Payment fail page update phase I - all countries"/>
    <s v="Improvement"/>
    <x v="0"/>
    <d v="2016-03-18T18:35:00"/>
    <x v="7"/>
    <x v="1"/>
    <x v="7"/>
    <n v="1"/>
    <m/>
    <n v="92"/>
    <n v="92"/>
  </r>
  <r>
    <s v="SBG - Desktop"/>
    <x v="0"/>
    <s v="Improvement"/>
    <s v="DESK-7810"/>
    <s v="Payment fail page update phase I - all countries"/>
    <s v="Improvement"/>
    <x v="0"/>
    <d v="2016-03-21T10:42:00"/>
    <x v="7"/>
    <x v="1"/>
    <x v="7"/>
    <n v="0.5"/>
    <m/>
    <n v="92"/>
    <n v="92"/>
  </r>
  <r>
    <s v="SBG - Desktop"/>
    <x v="1"/>
    <s v="Improvement"/>
    <s v="DESK-7810"/>
    <s v="Payment fail page update phase I - all countries"/>
    <s v="Improvement"/>
    <x v="0"/>
    <d v="2016-03-21T16:33:00"/>
    <x v="7"/>
    <x v="1"/>
    <x v="23"/>
    <n v="2"/>
    <m/>
    <n v="156.4"/>
    <n v="27.600000000000005"/>
  </r>
  <r>
    <s v="SBG - Desktop"/>
    <x v="0"/>
    <s v="Improvement"/>
    <s v="DESK-7810"/>
    <s v="Payment fail page update phase I - all countries"/>
    <s v="Improvement"/>
    <x v="0"/>
    <d v="2016-03-22T18:42:00"/>
    <x v="7"/>
    <x v="1"/>
    <x v="7"/>
    <n v="0.5"/>
    <m/>
    <n v="92"/>
    <n v="92"/>
  </r>
  <r>
    <s v="SBG - Desktop"/>
    <x v="1"/>
    <s v="Task"/>
    <s v="DESK-7812"/>
    <s v="Rackspace images are blocked by Facebook"/>
    <s v="Task"/>
    <x v="0"/>
    <d v="2016-03-31T12:24:00"/>
    <x v="7"/>
    <x v="1"/>
    <x v="26"/>
    <n v="8"/>
    <m/>
    <n v="156.4"/>
    <n v="27.600000000000005"/>
  </r>
  <r>
    <s v="SBG - Desktop"/>
    <x v="1"/>
    <s v="Task"/>
    <s v="DESK-7812"/>
    <s v="Rackspace images are blocked by Facebook"/>
    <s v="Task"/>
    <x v="0"/>
    <d v="2016-03-31T16:56:00"/>
    <x v="7"/>
    <x v="1"/>
    <x v="26"/>
    <n v="2"/>
    <m/>
    <n v="156.4"/>
    <n v="27.600000000000005"/>
  </r>
  <r>
    <s v="SBG - Desktop"/>
    <x v="2"/>
    <s v="New Feature"/>
    <s v="DESK-7813"/>
    <s v="Disable A/B testing for iPad for all domains"/>
    <s v="New Feature"/>
    <x v="0"/>
    <d v="2016-03-18T15:09:00"/>
    <x v="7"/>
    <x v="1"/>
    <x v="2"/>
    <n v="3"/>
    <m/>
    <n v="156.4"/>
    <n v="27.600000000000005"/>
  </r>
  <r>
    <s v="SBG - Desktop"/>
    <x v="0"/>
    <s v="Improvement"/>
    <s v="DESK-7815"/>
    <s v="Algolia search result CSS issue"/>
    <s v="Improvement"/>
    <x v="0"/>
    <d v="2016-03-11T14:22:00"/>
    <x v="7"/>
    <x v="1"/>
    <x v="7"/>
    <n v="1"/>
    <m/>
    <n v="92"/>
    <n v="92"/>
  </r>
  <r>
    <s v="SBG - Desktop"/>
    <x v="1"/>
    <s v="Improvement"/>
    <s v="DESK-7815"/>
    <s v="Algolia search result CSS issue"/>
    <s v="Improvement"/>
    <x v="0"/>
    <d v="2016-03-14T20:07:00"/>
    <x v="7"/>
    <x v="1"/>
    <x v="1"/>
    <n v="1"/>
    <m/>
    <n v="156.4"/>
    <n v="27.600000000000005"/>
  </r>
  <r>
    <s v="SBG - Desktop"/>
    <x v="2"/>
    <s v="Bug"/>
    <s v="DESK-7816"/>
    <s v="repair data from sbg to om"/>
    <s v="Bug"/>
    <x v="1"/>
    <d v="2016-03-11T17:06:00"/>
    <x v="7"/>
    <x v="1"/>
    <x v="2"/>
    <n v="6"/>
    <m/>
    <n v="156.4"/>
    <n v="27.600000000000005"/>
  </r>
  <r>
    <s v="SBG - Desktop"/>
    <x v="4"/>
    <s v="New Feature"/>
    <s v="DESK-7820"/>
    <s v="Free Shipping notifier on a Cart page"/>
    <s v="New Feature"/>
    <x v="0"/>
    <d v="2016-03-11T14:31:00"/>
    <x v="7"/>
    <x v="1"/>
    <x v="13"/>
    <n v="3"/>
    <m/>
    <n v="156.4"/>
    <n v="27.600000000000005"/>
  </r>
  <r>
    <s v="SBG - Desktop"/>
    <x v="4"/>
    <s v="New Feature"/>
    <s v="DESK-7820"/>
    <s v="Free Shipping notifier on a Cart page"/>
    <s v="New Feature"/>
    <x v="0"/>
    <d v="2016-03-25T14:31:00"/>
    <x v="7"/>
    <x v="1"/>
    <x v="13"/>
    <n v="3"/>
    <m/>
    <n v="156.4"/>
    <n v="27.600000000000005"/>
  </r>
  <r>
    <s v="SBG - Desktop"/>
    <x v="1"/>
    <s v="Improvement"/>
    <s v="DESK-7821"/>
    <s v="Change https image request path to S3"/>
    <s v="Improvement"/>
    <x v="0"/>
    <d v="2016-03-15T19:12:00"/>
    <x v="7"/>
    <x v="1"/>
    <x v="1"/>
    <n v="2"/>
    <m/>
    <n v="156.4"/>
    <n v="27.600000000000005"/>
  </r>
  <r>
    <s v="SBG - Desktop"/>
    <x v="2"/>
    <s v="Task"/>
    <s v="DESK-7826"/>
    <s v="Optical Centre Roll-Out (DE/NL/FR/SE/DK/NO/ZA/NZ/IE)"/>
    <s v="Task"/>
    <x v="0"/>
    <d v="2016-03-23T12:49:00"/>
    <x v="7"/>
    <x v="1"/>
    <x v="10"/>
    <n v="8"/>
    <m/>
    <n v="156.4"/>
    <n v="27.600000000000005"/>
  </r>
  <r>
    <s v="SBG - Desktop"/>
    <x v="2"/>
    <s v="Task"/>
    <s v="DESK-7826"/>
    <s v="Optical Centre Roll-Out (DE/NL/FR/SE/DK/NO/ZA/NZ/IE)"/>
    <s v="Task"/>
    <x v="0"/>
    <d v="2016-03-28T12:51:00"/>
    <x v="7"/>
    <x v="1"/>
    <x v="10"/>
    <n v="8"/>
    <m/>
    <n v="156.4"/>
    <n v="27.600000000000005"/>
  </r>
  <r>
    <s v="SBG - Desktop"/>
    <x v="1"/>
    <s v="Task"/>
    <s v="DESK-7826"/>
    <s v="Optical Centre Roll-Out (DE/NL/FR/SE/DK/NO/ZA/NZ/IE)"/>
    <s v="Task"/>
    <x v="0"/>
    <d v="2016-03-28T18:47:00"/>
    <x v="7"/>
    <x v="1"/>
    <x v="21"/>
    <n v="4"/>
    <m/>
    <n v="156.4"/>
    <n v="27.600000000000005"/>
  </r>
  <r>
    <s v="SBG - Desktop"/>
    <x v="2"/>
    <s v="Bug"/>
    <s v="DESK-7827"/>
    <s v="TopSellers block has error in SQL and doesn't work"/>
    <s v="Bug"/>
    <x v="1"/>
    <d v="2016-03-15T11:01:00"/>
    <x v="7"/>
    <x v="1"/>
    <x v="29"/>
    <n v="8"/>
    <m/>
    <n v="156.4"/>
    <n v="27.600000000000005"/>
  </r>
  <r>
    <s v="SBG - Desktop"/>
    <x v="1"/>
    <s v="Bug"/>
    <s v="DESK-7827"/>
    <s v="TopSellers block has error in SQL and doesn't work"/>
    <s v="Bug"/>
    <x v="1"/>
    <d v="2016-03-16T18:25:00"/>
    <x v="7"/>
    <x v="1"/>
    <x v="23"/>
    <n v="3"/>
    <m/>
    <n v="156.4"/>
    <n v="27.600000000000005"/>
  </r>
  <r>
    <s v="SBG - Desktop"/>
    <x v="1"/>
    <s v="Bug"/>
    <s v="DESK-7827"/>
    <s v="TopSellers block has error in SQL and doesn't work"/>
    <s v="Bug"/>
    <x v="1"/>
    <d v="2016-03-18T16:31:00"/>
    <x v="7"/>
    <x v="1"/>
    <x v="23"/>
    <n v="2"/>
    <m/>
    <n v="156.4"/>
    <n v="27.600000000000005"/>
  </r>
  <r>
    <s v="SBG - Desktop"/>
    <x v="1"/>
    <s v="Bug"/>
    <s v="DESK-7827"/>
    <s v="TopSellers block has error in SQL and doesn't work"/>
    <s v="Bug"/>
    <x v="1"/>
    <d v="2016-03-22T16:33:00"/>
    <x v="7"/>
    <x v="1"/>
    <x v="23"/>
    <n v="2"/>
    <m/>
    <n v="156.4"/>
    <n v="27.600000000000005"/>
  </r>
  <r>
    <s v="SBG - Desktop"/>
    <x v="2"/>
    <s v="New Feature"/>
    <s v="DESK-7831"/>
    <s v="Set Limitation on the Frontend Checkout page"/>
    <s v="New Feature"/>
    <x v="0"/>
    <d v="2016-03-21T10:39:00"/>
    <x v="7"/>
    <x v="1"/>
    <x v="18"/>
    <n v="12"/>
    <m/>
    <n v="156.4"/>
    <n v="27.600000000000005"/>
  </r>
  <r>
    <s v="SBG - Desktop"/>
    <x v="1"/>
    <s v="New Feature"/>
    <s v="DESK-7831"/>
    <s v="Set Limitation on the Frontend Checkout page"/>
    <s v="New Feature"/>
    <x v="0"/>
    <d v="2016-03-28T16:00:00"/>
    <x v="7"/>
    <x v="1"/>
    <x v="23"/>
    <n v="1"/>
    <m/>
    <n v="156.4"/>
    <n v="27.600000000000005"/>
  </r>
  <r>
    <s v="SBG - Desktop"/>
    <x v="2"/>
    <s v="Bug"/>
    <s v="DESK-7832"/>
    <s v="Topsellers featuring discontinued products on homepage - all countries"/>
    <s v="Bug"/>
    <x v="1"/>
    <d v="2016-03-30T09:01:00"/>
    <x v="7"/>
    <x v="1"/>
    <x v="29"/>
    <n v="6"/>
    <m/>
    <n v="156.4"/>
    <n v="27.600000000000005"/>
  </r>
  <r>
    <s v="SBG - Desktop"/>
    <x v="2"/>
    <s v="Task"/>
    <s v="DESK-7833"/>
    <s v="Upload Product Review Videos"/>
    <s v="Task"/>
    <x v="0"/>
    <d v="2016-03-25T12:48:00"/>
    <x v="7"/>
    <x v="1"/>
    <x v="10"/>
    <n v="8"/>
    <m/>
    <n v="156.4"/>
    <n v="27.600000000000005"/>
  </r>
  <r>
    <s v="SBG - Desktop"/>
    <x v="1"/>
    <s v="Task"/>
    <s v="DESK-7833"/>
    <s v="Upload Product Review Videos"/>
    <s v="Task"/>
    <x v="0"/>
    <d v="2016-03-29T16:02:00"/>
    <x v="7"/>
    <x v="1"/>
    <x v="23"/>
    <n v="2"/>
    <m/>
    <n v="156.4"/>
    <n v="27.600000000000005"/>
  </r>
  <r>
    <s v="SBG - Desktop"/>
    <x v="1"/>
    <s v="Task"/>
    <s v="DESK-7833"/>
    <s v="Upload Product Review Videos"/>
    <s v="Task"/>
    <x v="0"/>
    <d v="2016-03-30T18:00:00"/>
    <x v="7"/>
    <x v="1"/>
    <x v="23"/>
    <n v="2"/>
    <m/>
    <n v="156.4"/>
    <n v="27.600000000000005"/>
  </r>
  <r>
    <s v="SBG - Desktop"/>
    <x v="4"/>
    <s v="New Feature"/>
    <s v="DESK-7834"/>
    <s v="Add &quot;Top products&quot; dropdown on mobile product pages and filters"/>
    <s v="New Feature"/>
    <x v="0"/>
    <d v="2016-03-14T14:31:00"/>
    <x v="7"/>
    <x v="1"/>
    <x v="13"/>
    <n v="2"/>
    <m/>
    <n v="156.4"/>
    <n v="27.600000000000005"/>
  </r>
  <r>
    <s v="SBG - Desktop"/>
    <x v="4"/>
    <s v="New Feature"/>
    <s v="DESK-7834"/>
    <s v="Add &quot;Top products&quot; dropdown on mobile product pages and filters"/>
    <s v="New Feature"/>
    <x v="0"/>
    <d v="2016-03-15T14:31:00"/>
    <x v="7"/>
    <x v="1"/>
    <x v="13"/>
    <n v="2"/>
    <m/>
    <n v="156.4"/>
    <n v="27.600000000000005"/>
  </r>
  <r>
    <s v="SBG - Desktop"/>
    <x v="4"/>
    <s v="New Feature"/>
    <s v="DESK-7834"/>
    <s v="Add &quot;Top products&quot; dropdown on mobile product pages and filters"/>
    <s v="New Feature"/>
    <x v="0"/>
    <d v="2016-03-16T14:31:00"/>
    <x v="7"/>
    <x v="1"/>
    <x v="13"/>
    <n v="3"/>
    <m/>
    <n v="156.4"/>
    <n v="27.600000000000005"/>
  </r>
  <r>
    <s v="SBG - Desktop"/>
    <x v="4"/>
    <s v="New Feature"/>
    <s v="DESK-7834"/>
    <s v="Add &quot;Top products&quot; dropdown on mobile product pages and filters"/>
    <s v="New Feature"/>
    <x v="0"/>
    <d v="2016-03-17T14:31:00"/>
    <x v="7"/>
    <x v="1"/>
    <x v="13"/>
    <n v="2"/>
    <m/>
    <n v="156.4"/>
    <n v="27.600000000000005"/>
  </r>
  <r>
    <s v="SBG - Desktop"/>
    <x v="4"/>
    <s v="New Feature"/>
    <s v="DESK-7834"/>
    <s v="Add &quot;Top products&quot; dropdown on mobile product pages and filters"/>
    <s v="New Feature"/>
    <x v="0"/>
    <d v="2016-03-18T14:31:00"/>
    <x v="7"/>
    <x v="1"/>
    <x v="13"/>
    <n v="2"/>
    <m/>
    <n v="156.4"/>
    <n v="27.600000000000005"/>
  </r>
  <r>
    <s v="SBG - Desktop"/>
    <x v="0"/>
    <s v="Task"/>
    <s v="DESK-7835"/>
    <s v="Design an image for AU Ted Baker logo"/>
    <s v="Task"/>
    <x v="0"/>
    <d v="2016-03-21T15:22:00"/>
    <x v="7"/>
    <x v="1"/>
    <x v="7"/>
    <n v="3"/>
    <m/>
    <n v="92"/>
    <n v="92"/>
  </r>
  <r>
    <s v="SBG - Desktop"/>
    <x v="1"/>
    <s v="Task"/>
    <s v="DESK-7837"/>
    <s v="Do not display total price for contact lenses, unless power applied - all countries"/>
    <s v="Task"/>
    <x v="0"/>
    <d v="2016-03-24T17:50:00"/>
    <x v="7"/>
    <x v="1"/>
    <x v="26"/>
    <n v="3"/>
    <m/>
    <n v="156.4"/>
    <n v="27.600000000000005"/>
  </r>
  <r>
    <s v="SBG - Desktop"/>
    <x v="0"/>
    <s v="Bug"/>
    <s v="DESK-7838"/>
    <s v="Nordea logo missing - checkout page - FI"/>
    <s v="Bug"/>
    <x v="1"/>
    <d v="2016-03-24T10:34:00"/>
    <x v="7"/>
    <x v="1"/>
    <x v="19"/>
    <n v="1"/>
    <m/>
    <n v="92"/>
    <n v="92"/>
  </r>
  <r>
    <s v="SBG - Desktop"/>
    <x v="1"/>
    <s v="Technical task"/>
    <s v="DESK-7839"/>
    <s v="DESK-7598&gt; Regression Bugs for Desktop checkout page improvement"/>
    <s v="Technical task"/>
    <x v="0"/>
    <d v="2016-03-16T20:09:00"/>
    <x v="7"/>
    <x v="1"/>
    <x v="1"/>
    <n v="8"/>
    <m/>
    <n v="156.4"/>
    <n v="27.600000000000005"/>
  </r>
  <r>
    <s v="SBG - Desktop"/>
    <x v="1"/>
    <s v="Task"/>
    <s v="DESK-7842"/>
    <s v="Translation For Color/Materials of Frame and Lens"/>
    <s v="Task"/>
    <x v="0"/>
    <d v="2016-03-17T20:09:00"/>
    <x v="7"/>
    <x v="1"/>
    <x v="1"/>
    <n v="8"/>
    <m/>
    <n v="156.4"/>
    <n v="27.600000000000005"/>
  </r>
  <r>
    <s v="SBG - Desktop"/>
    <x v="1"/>
    <s v="Improvement"/>
    <s v="DESK-7843"/>
    <s v="Performance Improvement for CN"/>
    <s v="Improvement"/>
    <x v="0"/>
    <d v="2016-03-18T20:09:00"/>
    <x v="7"/>
    <x v="1"/>
    <x v="1"/>
    <n v="7"/>
    <m/>
    <n v="156.4"/>
    <n v="27.600000000000005"/>
  </r>
  <r>
    <s v="SBG - Desktop"/>
    <x v="2"/>
    <s v="Improvement"/>
    <s v="DESK-7845"/>
    <s v="Global rewiev and optimization of PeriodicalRefreshTable-&gt;noSaleBrandArray logic"/>
    <s v="Improvement"/>
    <x v="0"/>
    <d v="2016-03-29T17:00:00"/>
    <x v="7"/>
    <x v="1"/>
    <x v="29"/>
    <n v="8"/>
    <m/>
    <n v="156.4"/>
    <n v="27.600000000000005"/>
  </r>
  <r>
    <s v="SBG - Desktop"/>
    <x v="0"/>
    <s v="Task"/>
    <s v="DESK-7848"/>
    <s v="New Banner for the reduce of price on China site(mobile/desktop)"/>
    <s v="Task"/>
    <x v="0"/>
    <d v="2016-03-28T14:44:00"/>
    <x v="7"/>
    <x v="1"/>
    <x v="24"/>
    <n v="5"/>
    <m/>
    <n v="92"/>
    <n v="92"/>
  </r>
  <r>
    <s v="SBG - Desktop"/>
    <x v="0"/>
    <s v="Task"/>
    <s v="DESK-7848"/>
    <s v="New Banner for the reduce of price on China site(mobile/desktop)"/>
    <s v="Task"/>
    <x v="0"/>
    <d v="2016-03-29T12:01:00"/>
    <x v="7"/>
    <x v="1"/>
    <x v="7"/>
    <n v="1"/>
    <m/>
    <n v="92"/>
    <n v="92"/>
  </r>
  <r>
    <s v="SBG - Desktop"/>
    <x v="0"/>
    <s v="Technical task"/>
    <s v="DESK-7854"/>
    <s v="DESK-7844&gt; Rename all homepage banners according banner rules"/>
    <s v="Technical task"/>
    <x v="0"/>
    <d v="2016-03-25T16:04:00"/>
    <x v="7"/>
    <x v="1"/>
    <x v="7"/>
    <n v="2"/>
    <m/>
    <n v="92"/>
    <n v="92"/>
  </r>
  <r>
    <s v="SBG - Desktop"/>
    <x v="0"/>
    <s v="Technical task"/>
    <s v="DESK-7854"/>
    <s v="DESK-7844&gt; Rename all homepage banners according banner rules"/>
    <s v="Technical task"/>
    <x v="0"/>
    <d v="2016-03-28T14:48:00"/>
    <x v="7"/>
    <x v="1"/>
    <x v="7"/>
    <n v="0.5"/>
    <m/>
    <n v="92"/>
    <n v="92"/>
  </r>
  <r>
    <s v="SBG - Desktop"/>
    <x v="0"/>
    <s v="Technical task"/>
    <s v="DESK-7854"/>
    <s v="DESK-7844&gt; Rename all homepage banners according banner rules"/>
    <s v="Technical task"/>
    <x v="0"/>
    <d v="2016-03-29T12:02:00"/>
    <x v="7"/>
    <x v="1"/>
    <x v="7"/>
    <n v="2"/>
    <m/>
    <n v="92"/>
    <n v="92"/>
  </r>
  <r>
    <s v="SBG - Desktop"/>
    <x v="0"/>
    <s v="Task"/>
    <s v="DESK-7859"/>
    <s v="Do a Quality Insurance Page"/>
    <s v="Task"/>
    <x v="0"/>
    <d v="2016-03-30T17:54:00"/>
    <x v="7"/>
    <x v="1"/>
    <x v="24"/>
    <n v="1"/>
    <m/>
    <n v="92"/>
    <n v="92"/>
  </r>
  <r>
    <s v="SBG - Desktop"/>
    <x v="2"/>
    <s v="Improvement"/>
    <s v="DESK-7865"/>
    <s v="YJ Management Work log ticket-New Feature"/>
    <s v="Improvement"/>
    <x v="0"/>
    <d v="2016-02-25T17:20:00"/>
    <x v="11"/>
    <x v="1"/>
    <x v="14"/>
    <n v="136"/>
    <m/>
    <n v="127.5"/>
    <n v="22.500000000000004"/>
  </r>
  <r>
    <s v="SBG - Desktop"/>
    <x v="2"/>
    <s v="Bug"/>
    <s v="DESK-7866"/>
    <s v="YJ Management Work log ticket-maintainance"/>
    <s v="Bug"/>
    <x v="1"/>
    <d v="2016-02-25T17:22:00"/>
    <x v="11"/>
    <x v="1"/>
    <x v="14"/>
    <n v="24"/>
    <m/>
    <n v="127.5"/>
    <n v="22.500000000000004"/>
  </r>
  <r>
    <s v="SBG - Desktop"/>
    <x v="2"/>
    <s v="Improvement"/>
    <s v="DESK-7871"/>
    <s v="change product page need to translate"/>
    <s v="Improvement"/>
    <x v="0"/>
    <d v="2016-02-08T11:14:00"/>
    <x v="11"/>
    <x v="1"/>
    <x v="18"/>
    <n v="8"/>
    <m/>
    <n v="127.5"/>
    <n v="22.500000000000004"/>
  </r>
  <r>
    <s v="SBG - Desktop"/>
    <x v="2"/>
    <s v="Improvement"/>
    <s v="DESK-7871"/>
    <s v="change product page need to translate"/>
    <s v="Improvement"/>
    <x v="0"/>
    <d v="2016-03-10T14:51:00"/>
    <x v="7"/>
    <x v="1"/>
    <x v="18"/>
    <n v="8"/>
    <m/>
    <n v="156.4"/>
    <n v="27.600000000000005"/>
  </r>
  <r>
    <s v="SBG - Desktop"/>
    <x v="1"/>
    <s v="Improvement"/>
    <s v="DESK-7871"/>
    <s v="change product page need to translate"/>
    <s v="Improvement"/>
    <x v="0"/>
    <d v="2016-03-16T18:44:00"/>
    <x v="7"/>
    <x v="1"/>
    <x v="21"/>
    <n v="8"/>
    <m/>
    <n v="156.4"/>
    <n v="27.600000000000005"/>
  </r>
  <r>
    <s v="SBG - Desktop"/>
    <x v="1"/>
    <s v="Improvement"/>
    <s v="DESK-7871"/>
    <s v="change product page need to translate"/>
    <s v="Improvement"/>
    <x v="0"/>
    <d v="2016-03-17T09:50:00"/>
    <x v="7"/>
    <x v="1"/>
    <x v="21"/>
    <n v="2"/>
    <m/>
    <n v="156.4"/>
    <n v="27.600000000000005"/>
  </r>
  <r>
    <s v="SBG - Desktop"/>
    <x v="1"/>
    <s v="Improvement"/>
    <s v="DESK-7871"/>
    <s v="change product page need to translate"/>
    <s v="Improvement"/>
    <x v="0"/>
    <d v="2016-03-22T15:38:00"/>
    <x v="7"/>
    <x v="1"/>
    <x v="21"/>
    <n v="1"/>
    <m/>
    <n v="156.4"/>
    <n v="27.600000000000005"/>
  </r>
  <r>
    <s v="SBG - Desktop"/>
    <x v="0"/>
    <s v="Bug"/>
    <s v="DESK-7876"/>
    <s v="Adjust Height of Input box on CN-Checkout page"/>
    <s v="Bug"/>
    <x v="1"/>
    <d v="2016-03-28T16:40:00"/>
    <x v="7"/>
    <x v="1"/>
    <x v="7"/>
    <n v="1"/>
    <m/>
    <n v="92"/>
    <n v="92"/>
  </r>
  <r>
    <s v="SBG - Desktop"/>
    <x v="0"/>
    <s v="Improvement"/>
    <s v="DESK-7883"/>
    <s v="Gather CSS issues on CN desktop"/>
    <s v="Improvement"/>
    <x v="0"/>
    <d v="2016-03-31T18:10:00"/>
    <x v="7"/>
    <x v="1"/>
    <x v="7"/>
    <n v="3.5"/>
    <m/>
    <n v="92"/>
    <n v="92"/>
  </r>
  <r>
    <s v="SBG - Desktop"/>
    <x v="2"/>
    <s v="Bug"/>
    <s v="DESK-7886"/>
    <s v="Order US0255098206G is a RX order, but missing prescription info after order transfer to OM"/>
    <s v="Bug"/>
    <x v="1"/>
    <d v="2016-03-30T16:38:00"/>
    <x v="7"/>
    <x v="1"/>
    <x v="2"/>
    <n v="5"/>
    <m/>
    <n v="156.4"/>
    <n v="27.600000000000005"/>
  </r>
  <r>
    <s v="SBG - Desktop"/>
    <x v="2"/>
    <s v="Bug"/>
    <s v="DESK-7886"/>
    <s v="Order US0255098206G is a RX order, but missing prescription info after order transfer to OM"/>
    <s v="Bug"/>
    <x v="1"/>
    <d v="2016-03-30T18:37:00"/>
    <x v="7"/>
    <x v="1"/>
    <x v="9"/>
    <n v="4"/>
    <m/>
    <n v="156.4"/>
    <n v="27.600000000000005"/>
  </r>
  <r>
    <s v="SBG - Desktop"/>
    <x v="3"/>
    <s v="Bug"/>
    <s v="DESK-7888"/>
    <s v="No Facebook pixel on check out page"/>
    <s v="Bug"/>
    <x v="1"/>
    <d v="2016-03-29T13:29:00"/>
    <x v="7"/>
    <x v="1"/>
    <x v="32"/>
    <n v="1"/>
    <m/>
    <n v="92"/>
    <n v="92"/>
  </r>
  <r>
    <s v="SBG - Desktop"/>
    <x v="2"/>
    <s v="Bug"/>
    <s v="DESK-7890"/>
    <s v="RxPriceModule review - &quot;Add Lenses from&quot;"/>
    <s v="Bug"/>
    <x v="1"/>
    <d v="2016-03-31T09:30:00"/>
    <x v="7"/>
    <x v="1"/>
    <x v="29"/>
    <n v="2"/>
    <m/>
    <n v="156.4"/>
    <n v="27.600000000000005"/>
  </r>
  <r>
    <s v="IT Support"/>
    <x v="3"/>
    <s v="Improvement"/>
    <s v="IS-5406"/>
    <s v="OM Account"/>
    <s v="Improvement"/>
    <x v="0"/>
    <d v="2016-02-16T11:07:00"/>
    <x v="11"/>
    <x v="1"/>
    <x v="32"/>
    <n v="0.16700000000000001"/>
    <m/>
    <n v="75"/>
    <n v="75"/>
  </r>
  <r>
    <s v="IT Support"/>
    <x v="0"/>
    <s v="Task"/>
    <s v="IS-5422"/>
    <s v="Host banners"/>
    <s v="Task"/>
    <x v="0"/>
    <d v="2016-03-01T14:36:00"/>
    <x v="7"/>
    <x v="1"/>
    <x v="24"/>
    <n v="1"/>
    <m/>
    <n v="92"/>
    <n v="92"/>
  </r>
  <r>
    <s v="IT Support"/>
    <x v="2"/>
    <s v="Bug"/>
    <s v="IS-5438"/>
    <s v="Check Pixels of Remintrex for Vision Direct AU"/>
    <s v="Bug"/>
    <x v="1"/>
    <d v="2016-03-21T12:47:00"/>
    <x v="7"/>
    <x v="1"/>
    <x v="10"/>
    <n v="8"/>
    <m/>
    <n v="156.4"/>
    <n v="27.600000000000005"/>
  </r>
  <r>
    <s v="IT Support"/>
    <x v="0"/>
    <s v="Improvement"/>
    <s v="IS-5451"/>
    <s v="Product Images Optimization"/>
    <s v="Improvement"/>
    <x v="0"/>
    <d v="2016-03-30T18:48:00"/>
    <x v="7"/>
    <x v="1"/>
    <x v="7"/>
    <n v="4"/>
    <m/>
    <n v="92"/>
    <n v="92"/>
  </r>
  <r>
    <s v="IT Routine"/>
    <x v="2"/>
    <s v="Improvement"/>
    <s v="ITR-4"/>
    <s v="Monthly Routine Jobs"/>
    <s v="Improvement"/>
    <x v="0"/>
    <d v="2016-02-17T23:21:00"/>
    <x v="11"/>
    <x v="1"/>
    <x v="25"/>
    <n v="12"/>
    <m/>
    <n v="127.5"/>
    <n v="22.500000000000004"/>
  </r>
  <r>
    <s v="IT Routine"/>
    <x v="2"/>
    <s v="Improvement"/>
    <s v="ITR-4"/>
    <s v="Monthly Routine Jobs"/>
    <s v="Improvement"/>
    <x v="0"/>
    <d v="2016-03-07T23:26:00"/>
    <x v="7"/>
    <x v="1"/>
    <x v="25"/>
    <n v="40"/>
    <m/>
    <n v="156.4"/>
    <n v="27.600000000000005"/>
  </r>
  <r>
    <s v="IT Routine"/>
    <x v="2"/>
    <s v="Improvement"/>
    <s v="ITR-5"/>
    <s v="daily task"/>
    <s v="Improvement"/>
    <x v="0"/>
    <d v="2016-02-01T19:39:00"/>
    <x v="11"/>
    <x v="1"/>
    <x v="9"/>
    <n v="0.5"/>
    <s v="meeting"/>
    <n v="127.5"/>
    <n v="22.500000000000004"/>
  </r>
  <r>
    <s v="IT Routine"/>
    <x v="2"/>
    <s v="Improvement"/>
    <s v="ITR-5"/>
    <s v="daily task"/>
    <s v="Improvement"/>
    <x v="0"/>
    <d v="2016-02-04T16:13:00"/>
    <x v="11"/>
    <x v="1"/>
    <x v="9"/>
    <n v="2"/>
    <s v="meeting to discuss the AU project and Stock issues. discuss the AR issue."/>
    <n v="127.5"/>
    <n v="22.500000000000004"/>
  </r>
  <r>
    <s v="IT Routine"/>
    <x v="2"/>
    <s v="Improvement"/>
    <s v="ITR-5"/>
    <s v="daily task"/>
    <s v="Improvement"/>
    <x v="0"/>
    <d v="2016-02-04T17:45:00"/>
    <x v="11"/>
    <x v="1"/>
    <x v="9"/>
    <n v="1"/>
    <s v="check the translation function . check the issue of VD0215996403C, report by vivian. this order missing UPC in scan system, and can't change to stock receive in wh at om."/>
    <n v="127.5"/>
    <n v="22.500000000000004"/>
  </r>
  <r>
    <s v="IT Routine"/>
    <x v="2"/>
    <s v="Improvement"/>
    <s v="ITR-5"/>
    <s v="daily task"/>
    <s v="Improvement"/>
    <x v="0"/>
    <d v="2016-02-22T18:32:00"/>
    <x v="11"/>
    <x v="1"/>
    <x v="9"/>
    <n v="1"/>
    <s v="weekly team meeting"/>
    <n v="127.5"/>
    <n v="22.500000000000004"/>
  </r>
  <r>
    <s v="IT Routine"/>
    <x v="2"/>
    <s v="Improvement"/>
    <s v="ITR-5"/>
    <s v="daily task"/>
    <s v="Improvement"/>
    <x v="0"/>
    <d v="2016-02-22T18:34:00"/>
    <x v="11"/>
    <x v="1"/>
    <x v="9"/>
    <n v="1.5"/>
    <s v="check email, tidy the open ticket."/>
    <n v="127.5"/>
    <n v="22.500000000000004"/>
  </r>
  <r>
    <s v="IT Routine"/>
    <x v="2"/>
    <s v="Improvement"/>
    <s v="ITR-5"/>
    <s v="daily task"/>
    <s v="Improvement"/>
    <x v="0"/>
    <d v="2016-02-23T18:30:00"/>
    <x v="11"/>
    <x v="1"/>
    <x v="9"/>
    <n v="1.5"/>
    <s v="department meeting."/>
    <n v="127.5"/>
    <n v="22.500000000000004"/>
  </r>
  <r>
    <s v="IT Routine"/>
    <x v="2"/>
    <s v="Improvement"/>
    <s v="ITR-5"/>
    <s v="daily task"/>
    <s v="Improvement"/>
    <x v="0"/>
    <d v="2016-02-25T19:02:00"/>
    <x v="11"/>
    <x v="1"/>
    <x v="9"/>
    <n v="2"/>
    <s v="There were a lot of items appearing on WHPO but they actually not in stock and not in OM (32pcs in one PO). Please see if there any reason to cause the problem as this is abnormal. It will cause some operations issue here and a lot of items need to backorders. check this problem"/>
    <n v="127.5"/>
    <n v="22.500000000000004"/>
  </r>
  <r>
    <s v="IT Routine"/>
    <x v="2"/>
    <s v="Improvement"/>
    <s v="ITR-5"/>
    <s v="daily task"/>
    <s v="Improvement"/>
    <x v="0"/>
    <d v="2016-02-25T19:02:00"/>
    <x v="11"/>
    <x v="1"/>
    <x v="9"/>
    <n v="1"/>
    <s v="check the problem with some email not send out of new AR."/>
    <n v="127.5"/>
    <n v="22.500000000000004"/>
  </r>
  <r>
    <s v="IT Routine"/>
    <x v="2"/>
    <s v="Improvement"/>
    <s v="ITR-5"/>
    <s v="daily task"/>
    <s v="Improvement"/>
    <x v="0"/>
    <d v="2016-02-25T19:06:00"/>
    <x v="11"/>
    <x v="1"/>
    <x v="9"/>
    <n v="1"/>
    <m/>
    <n v="127.5"/>
    <n v="22.500000000000004"/>
  </r>
  <r>
    <s v="IT Routine"/>
    <x v="2"/>
    <s v="Improvement"/>
    <s v="ITR-5"/>
    <s v="daily task"/>
    <s v="Improvement"/>
    <x v="0"/>
    <d v="2016-02-26T19:00:00"/>
    <x v="11"/>
    <x v="1"/>
    <x v="9"/>
    <n v="1.5"/>
    <s v="meeting, sendgrid problem check"/>
    <n v="127.5"/>
    <n v="22.500000000000004"/>
  </r>
  <r>
    <s v="IT Routine"/>
    <x v="2"/>
    <s v="Improvement"/>
    <s v="ITR-5"/>
    <s v="daily task"/>
    <s v="Improvement"/>
    <x v="0"/>
    <d v="2016-03-01T18:53:00"/>
    <x v="7"/>
    <x v="1"/>
    <x v="9"/>
    <n v="1"/>
    <s v="meeting"/>
    <n v="156.4"/>
    <n v="27.600000000000005"/>
  </r>
  <r>
    <s v="IT Routine"/>
    <x v="2"/>
    <s v="Improvement"/>
    <s v="ITR-5"/>
    <s v="daily task"/>
    <s v="Improvement"/>
    <x v="0"/>
    <d v="2016-03-01T18:54:00"/>
    <x v="7"/>
    <x v="1"/>
    <x v="9"/>
    <n v="0.5"/>
    <s v="standing meeting"/>
    <n v="156.4"/>
    <n v="27.600000000000005"/>
  </r>
  <r>
    <s v="IT Routine"/>
    <x v="2"/>
    <s v="Improvement"/>
    <s v="ITR-5"/>
    <s v="daily task"/>
    <s v="Improvement"/>
    <x v="0"/>
    <d v="2016-03-02T18:25:00"/>
    <x v="7"/>
    <x v="1"/>
    <x v="9"/>
    <n v="2"/>
    <s v="meeting project plan manage the email"/>
    <n v="156.4"/>
    <n v="27.600000000000005"/>
  </r>
  <r>
    <s v="IT Routine"/>
    <x v="2"/>
    <s v="Improvement"/>
    <s v="ITR-5"/>
    <s v="daily task"/>
    <s v="Improvement"/>
    <x v="0"/>
    <d v="2016-03-03T18:44:00"/>
    <x v="7"/>
    <x v="1"/>
    <x v="9"/>
    <n v="0.5"/>
    <s v="meeting to discuss AR phase2 release"/>
    <n v="156.4"/>
    <n v="27.600000000000005"/>
  </r>
  <r>
    <s v="IT Routine"/>
    <x v="2"/>
    <s v="Improvement"/>
    <s v="ITR-5"/>
    <s v="daily task"/>
    <s v="Improvement"/>
    <x v="0"/>
    <d v="2016-03-04T18:23:00"/>
    <x v="7"/>
    <x v="1"/>
    <x v="9"/>
    <n v="2"/>
    <s v="meeting"/>
    <n v="156.4"/>
    <n v="27.600000000000005"/>
  </r>
  <r>
    <s v="IT Routine"/>
    <x v="2"/>
    <s v="Improvement"/>
    <s v="ITR-5"/>
    <s v="daily task"/>
    <s v="Improvement"/>
    <x v="0"/>
    <d v="2016-03-07T18:25:00"/>
    <x v="7"/>
    <x v="1"/>
    <x v="9"/>
    <n v="1.5"/>
    <s v="meeting"/>
    <n v="156.4"/>
    <n v="27.600000000000005"/>
  </r>
  <r>
    <s v="IT Routine"/>
    <x v="2"/>
    <s v="Improvement"/>
    <s v="ITR-5"/>
    <s v="daily task"/>
    <s v="Improvement"/>
    <x v="0"/>
    <d v="2016-03-08T12:57:00"/>
    <x v="7"/>
    <x v="1"/>
    <x v="9"/>
    <n v="1"/>
    <s v="meeting and discuss https://motionglobal.atlassian.net/browse/OM-2216"/>
    <n v="156.4"/>
    <n v="27.600000000000005"/>
  </r>
  <r>
    <s v="IT Routine"/>
    <x v="2"/>
    <s v="Improvement"/>
    <s v="ITR-5"/>
    <s v="daily task"/>
    <s v="Improvement"/>
    <x v="0"/>
    <d v="2016-03-09T19:21:00"/>
    <x v="7"/>
    <x v="1"/>
    <x v="9"/>
    <n v="1.5"/>
    <s v="meeting"/>
    <n v="156.4"/>
    <n v="27.600000000000005"/>
  </r>
  <r>
    <s v="IT Routine"/>
    <x v="2"/>
    <s v="Improvement"/>
    <s v="ITR-5"/>
    <s v="daily task"/>
    <s v="Improvement"/>
    <x v="0"/>
    <d v="2016-03-10T18:59:00"/>
    <x v="7"/>
    <x v="1"/>
    <x v="9"/>
    <n v="2"/>
    <s v="check and resolve Italy issue."/>
    <n v="156.4"/>
    <n v="27.600000000000005"/>
  </r>
  <r>
    <s v="IT Routine"/>
    <x v="2"/>
    <s v="Improvement"/>
    <s v="ITR-5"/>
    <s v="daily task"/>
    <s v="Improvement"/>
    <x v="0"/>
    <d v="2016-03-14T18:48:00"/>
    <x v="7"/>
    <x v="1"/>
    <x v="9"/>
    <n v="1.5"/>
    <s v="meeting and other things"/>
    <n v="156.4"/>
    <n v="27.600000000000005"/>
  </r>
  <r>
    <s v="IT Routine"/>
    <x v="2"/>
    <s v="Improvement"/>
    <s v="ITR-5"/>
    <s v="daily task"/>
    <s v="Improvement"/>
    <x v="0"/>
    <d v="2016-03-15T18:50:00"/>
    <x v="7"/>
    <x v="1"/>
    <x v="9"/>
    <n v="2"/>
    <s v="meeting"/>
    <n v="156.4"/>
    <n v="27.600000000000005"/>
  </r>
  <r>
    <s v="IT Routine"/>
    <x v="2"/>
    <s v="Improvement"/>
    <s v="ITR-5"/>
    <s v="daily task"/>
    <s v="Improvement"/>
    <x v="0"/>
    <d v="2016-03-16T18:17:00"/>
    <x v="7"/>
    <x v="1"/>
    <x v="9"/>
    <n v="1"/>
    <s v="meeting"/>
    <n v="156.4"/>
    <n v="27.600000000000005"/>
  </r>
  <r>
    <s v="IT Routine"/>
    <x v="2"/>
    <s v="Improvement"/>
    <s v="ITR-5"/>
    <s v="daily task"/>
    <s v="Improvement"/>
    <x v="0"/>
    <d v="2016-03-17T18:52:00"/>
    <x v="7"/>
    <x v="1"/>
    <x v="9"/>
    <n v="0.5"/>
    <s v="metting"/>
    <n v="156.4"/>
    <n v="27.600000000000005"/>
  </r>
  <r>
    <s v="IT Routine"/>
    <x v="2"/>
    <s v="Improvement"/>
    <s v="ITR-5"/>
    <s v="daily task"/>
    <s v="Improvement"/>
    <x v="0"/>
    <d v="2016-03-18T18:53:00"/>
    <x v="7"/>
    <x v="1"/>
    <x v="9"/>
    <n v="1"/>
    <s v="meeting"/>
    <n v="156.4"/>
    <n v="27.600000000000005"/>
  </r>
  <r>
    <s v="IT Routine"/>
    <x v="2"/>
    <s v="Improvement"/>
    <s v="ITR-5"/>
    <s v="daily task"/>
    <s v="Improvement"/>
    <x v="0"/>
    <d v="2016-03-21T19:07:00"/>
    <x v="7"/>
    <x v="1"/>
    <x v="9"/>
    <n v="0.5"/>
    <s v="meeting"/>
    <n v="156.4"/>
    <n v="27.600000000000005"/>
  </r>
  <r>
    <s v="IT Routine"/>
    <x v="2"/>
    <s v="Improvement"/>
    <s v="ITR-5"/>
    <s v="daily task"/>
    <s v="Improvement"/>
    <x v="0"/>
    <d v="2016-03-21T19:07:00"/>
    <x v="7"/>
    <x v="1"/>
    <x v="9"/>
    <n v="1.5"/>
    <s v="tidy order price"/>
    <n v="156.4"/>
    <n v="27.600000000000005"/>
  </r>
  <r>
    <s v="IT Routine"/>
    <x v="2"/>
    <s v="Improvement"/>
    <s v="ITR-5"/>
    <s v="daily task"/>
    <s v="Improvement"/>
    <x v="0"/>
    <d v="2016-03-22T18:54:00"/>
    <x v="7"/>
    <x v="1"/>
    <x v="9"/>
    <n v="1.5"/>
    <s v="prepare AR non-English domain"/>
    <n v="156.4"/>
    <n v="27.600000000000005"/>
  </r>
  <r>
    <s v="IT Routine"/>
    <x v="2"/>
    <s v="Improvement"/>
    <s v="ITR-5"/>
    <s v="daily task"/>
    <s v="Improvement"/>
    <x v="0"/>
    <d v="2016-03-23T18:57:00"/>
    <x v="7"/>
    <x v="1"/>
    <x v="9"/>
    <n v="2"/>
    <s v="meeting"/>
    <n v="156.4"/>
    <n v="27.600000000000005"/>
  </r>
  <r>
    <s v="IT Routine"/>
    <x v="2"/>
    <s v="Improvement"/>
    <s v="ITR-5"/>
    <s v="daily task"/>
    <s v="Improvement"/>
    <x v="0"/>
    <d v="2016-03-23T18:58:00"/>
    <x v="7"/>
    <x v="1"/>
    <x v="9"/>
    <n v="1"/>
    <s v="familiar with GIT"/>
    <n v="156.4"/>
    <n v="27.600000000000005"/>
  </r>
  <r>
    <s v="IT Routine"/>
    <x v="2"/>
    <s v="Improvement"/>
    <s v="ITR-5"/>
    <s v="daily task"/>
    <s v="Improvement"/>
    <x v="0"/>
    <d v="2016-03-24T10:20:00"/>
    <x v="7"/>
    <x v="1"/>
    <x v="9"/>
    <n v="0.5"/>
    <s v="check Italy issue."/>
    <n v="156.4"/>
    <n v="27.600000000000005"/>
  </r>
  <r>
    <s v="IT Routine"/>
    <x v="2"/>
    <s v="Improvement"/>
    <s v="ITR-5"/>
    <s v="daily task"/>
    <s v="Improvement"/>
    <x v="0"/>
    <d v="2016-03-24T18:46:00"/>
    <x v="7"/>
    <x v="1"/>
    <x v="9"/>
    <n v="2"/>
    <s v="meeting and training."/>
    <n v="156.4"/>
    <n v="27.600000000000005"/>
  </r>
  <r>
    <s v="IT Routine"/>
    <x v="2"/>
    <s v="Improvement"/>
    <s v="ITR-5"/>
    <s v="daily task"/>
    <s v="Improvement"/>
    <x v="0"/>
    <d v="2016-03-29T18:35:00"/>
    <x v="7"/>
    <x v="1"/>
    <x v="9"/>
    <n v="1"/>
    <s v="discuss Market Place scan system. support to resolve some question."/>
    <n v="156.4"/>
    <n v="27.600000000000005"/>
  </r>
  <r>
    <s v="IT Routine"/>
    <x v="2"/>
    <s v="Improvement"/>
    <s v="ITR-5"/>
    <s v="daily task"/>
    <s v="Improvement"/>
    <x v="0"/>
    <d v="2016-03-30T18:44:00"/>
    <x v="7"/>
    <x v="1"/>
    <x v="9"/>
    <n v="1"/>
    <s v="meeting and other things"/>
    <n v="156.4"/>
    <n v="27.600000000000005"/>
  </r>
  <r>
    <s v="IT Routine"/>
    <x v="2"/>
    <s v="Improvement"/>
    <s v="ITR-7"/>
    <s v="Daily Task"/>
    <s v="Improvement"/>
    <x v="0"/>
    <d v="2016-02-15T14:19:00"/>
    <x v="11"/>
    <x v="1"/>
    <x v="33"/>
    <n v="6"/>
    <s v="OM Team training"/>
    <n v="127.5"/>
    <n v="22.500000000000004"/>
  </r>
  <r>
    <s v="IT Routine"/>
    <x v="2"/>
    <s v="Improvement"/>
    <s v="ITR-7"/>
    <s v="Daily Task"/>
    <s v="Improvement"/>
    <x v="0"/>
    <d v="2016-02-16T14:27:00"/>
    <x v="11"/>
    <x v="1"/>
    <x v="33"/>
    <n v="3"/>
    <s v="User story"/>
    <n v="127.5"/>
    <n v="22.500000000000004"/>
  </r>
  <r>
    <s v="IT Routine"/>
    <x v="2"/>
    <s v="Improvement"/>
    <s v="ITR-7"/>
    <s v="Daily Task"/>
    <s v="Improvement"/>
    <x v="0"/>
    <d v="2016-02-16T14:28:00"/>
    <x v="11"/>
    <x v="1"/>
    <x v="33"/>
    <n v="2"/>
    <s v="Meeting"/>
    <n v="127.5"/>
    <n v="22.500000000000004"/>
  </r>
  <r>
    <s v="IT Routine"/>
    <x v="2"/>
    <s v="Improvement"/>
    <s v="ITR-7"/>
    <s v="Daily Task"/>
    <s v="Improvement"/>
    <x v="0"/>
    <d v="2016-02-17T14:20:00"/>
    <x v="11"/>
    <x v="1"/>
    <x v="33"/>
    <n v="6"/>
    <s v="Check and combine Q1 projects"/>
    <n v="127.5"/>
    <n v="22.500000000000004"/>
  </r>
  <r>
    <s v="IT Routine"/>
    <x v="2"/>
    <s v="Improvement"/>
    <s v="ITR-7"/>
    <s v="Daily Task"/>
    <s v="Improvement"/>
    <x v="0"/>
    <d v="2016-02-18T14:14:00"/>
    <x v="11"/>
    <x v="1"/>
    <x v="33"/>
    <n v="3"/>
    <s v="Combine Q2 projects"/>
    <n v="127.5"/>
    <n v="22.500000000000004"/>
  </r>
  <r>
    <s v="IT Routine"/>
    <x v="2"/>
    <s v="Improvement"/>
    <s v="ITR-7"/>
    <s v="Daily Task"/>
    <s v="Improvement"/>
    <x v="0"/>
    <d v="2016-02-18T18:06:00"/>
    <x v="11"/>
    <x v="1"/>
    <x v="33"/>
    <n v="5"/>
    <s v="90-Day Plan"/>
    <n v="127.5"/>
    <n v="22.500000000000004"/>
  </r>
  <r>
    <s v="IT Routine"/>
    <x v="2"/>
    <s v="Improvement"/>
    <s v="ITR-7"/>
    <s v="Daily Task"/>
    <s v="Improvement"/>
    <x v="0"/>
    <d v="2016-02-19T18:07:00"/>
    <x v="11"/>
    <x v="1"/>
    <x v="33"/>
    <n v="3"/>
    <s v="90-Day Plan"/>
    <n v="127.5"/>
    <n v="22.500000000000004"/>
  </r>
  <r>
    <s v="IT Routine"/>
    <x v="2"/>
    <s v="Improvement"/>
    <s v="ITR-7"/>
    <s v="Daily Task"/>
    <s v="Improvement"/>
    <x v="0"/>
    <d v="2016-02-19T18:08:00"/>
    <x v="11"/>
    <x v="1"/>
    <x v="33"/>
    <n v="1"/>
    <s v="MG University"/>
    <n v="127.5"/>
    <n v="22.500000000000004"/>
  </r>
  <r>
    <s v="IT Routine"/>
    <x v="2"/>
    <s v="Improvement"/>
    <s v="ITR-7"/>
    <s v="Daily Task"/>
    <s v="Improvement"/>
    <x v="0"/>
    <d v="2016-02-24T18:32:00"/>
    <x v="11"/>
    <x v="1"/>
    <x v="33"/>
    <n v="3"/>
    <s v="MC Issues"/>
    <n v="127.5"/>
    <n v="22.500000000000004"/>
  </r>
  <r>
    <s v="IT Routine"/>
    <x v="2"/>
    <s v="Improvement"/>
    <s v="ITR-7"/>
    <s v="Daily Task"/>
    <s v="Improvement"/>
    <x v="0"/>
    <d v="2016-02-25T18:09:00"/>
    <x v="11"/>
    <x v="1"/>
    <x v="33"/>
    <n v="2.5"/>
    <s v="IT Bi-weekly Meeting &amp; Q2 IT Plan review"/>
    <n v="127.5"/>
    <n v="22.500000000000004"/>
  </r>
  <r>
    <s v="IT Routine"/>
    <x v="2"/>
    <s v="Improvement"/>
    <s v="ITR-7"/>
    <s v="Daily Task"/>
    <s v="Improvement"/>
    <x v="0"/>
    <d v="2016-02-26T14:29:00"/>
    <x v="11"/>
    <x v="1"/>
    <x v="33"/>
    <n v="3"/>
    <s v="Return BRD V2"/>
    <n v="127.5"/>
    <n v="22.500000000000004"/>
  </r>
  <r>
    <s v="IT Routine"/>
    <x v="2"/>
    <s v="Improvement"/>
    <s v="ITR-7"/>
    <s v="Daily Task"/>
    <s v="Improvement"/>
    <x v="0"/>
    <d v="2016-02-26T18:34:00"/>
    <x v="11"/>
    <x v="1"/>
    <x v="33"/>
    <n v="2"/>
    <s v="Training"/>
    <n v="127.5"/>
    <n v="22.500000000000004"/>
  </r>
  <r>
    <s v="IT Routine"/>
    <x v="2"/>
    <s v="Improvement"/>
    <s v="ITR-7"/>
    <s v="Daily Task"/>
    <s v="Improvement"/>
    <x v="0"/>
    <d v="2016-02-29T18:11:00"/>
    <x v="11"/>
    <x v="1"/>
    <x v="33"/>
    <n v="4"/>
    <s v="AU Project"/>
    <n v="127.5"/>
    <n v="22.500000000000004"/>
  </r>
  <r>
    <s v="IT Routine"/>
    <x v="2"/>
    <s v="Improvement"/>
    <s v="ITR-7"/>
    <s v="Daily Task"/>
    <s v="Improvement"/>
    <x v="0"/>
    <d v="2016-03-01T14:38:00"/>
    <x v="7"/>
    <x v="1"/>
    <x v="33"/>
    <n v="2"/>
    <s v="Discuss new process and write document"/>
    <n v="156.4"/>
    <n v="27.600000000000005"/>
  </r>
  <r>
    <s v="IT Routine"/>
    <x v="2"/>
    <s v="Improvement"/>
    <s v="ITR-7"/>
    <s v="Daily Task"/>
    <s v="Improvement"/>
    <x v="0"/>
    <d v="2016-03-02T18:15:00"/>
    <x v="7"/>
    <x v="1"/>
    <x v="33"/>
    <n v="1"/>
    <s v="Reading+ Take care price refresh"/>
    <n v="156.4"/>
    <n v="27.600000000000005"/>
  </r>
  <r>
    <s v="IT Routine"/>
    <x v="2"/>
    <s v="Improvement"/>
    <s v="ITR-7"/>
    <s v="Daily Task"/>
    <s v="Improvement"/>
    <x v="0"/>
    <d v="2016-03-09T18:13:00"/>
    <x v="7"/>
    <x v="1"/>
    <x v="33"/>
    <n v="1"/>
    <s v="IT meeting"/>
    <n v="156.4"/>
    <n v="27.600000000000005"/>
  </r>
  <r>
    <s v="IT Routine"/>
    <x v="2"/>
    <s v="Improvement"/>
    <s v="ITR-7"/>
    <s v="Daily Task"/>
    <s v="Improvement"/>
    <x v="0"/>
    <d v="2016-03-10T18:12:00"/>
    <x v="7"/>
    <x v="1"/>
    <x v="33"/>
    <n v="1.5"/>
    <s v="Contact Lens Training"/>
    <n v="156.4"/>
    <n v="27.600000000000005"/>
  </r>
  <r>
    <s v="IT Routine"/>
    <x v="2"/>
    <s v="Improvement"/>
    <s v="ITR-7"/>
    <s v="Daily Task"/>
    <s v="Improvement"/>
    <x v="0"/>
    <d v="2016-03-24T14:58:00"/>
    <x v="7"/>
    <x v="1"/>
    <x v="33"/>
    <n v="2.5"/>
    <s v="Check email and JIRA"/>
    <n v="156.4"/>
    <n v="27.600000000000005"/>
  </r>
  <r>
    <s v="IT Routine"/>
    <x v="2"/>
    <s v="Improvement"/>
    <s v="ITR-7"/>
    <s v="Daily Task"/>
    <s v="Improvement"/>
    <x v="0"/>
    <d v="2016-03-30T12:19:00"/>
    <x v="7"/>
    <x v="1"/>
    <x v="33"/>
    <n v="0.5"/>
    <m/>
    <n v="156.4"/>
    <n v="27.600000000000005"/>
  </r>
  <r>
    <s v="IT Routine"/>
    <x v="3"/>
    <s v="Task"/>
    <s v="ITR-8"/>
    <s v="Admin access for new computer"/>
    <s v="Task"/>
    <x v="0"/>
    <d v="2016-03-02T15:05:00"/>
    <x v="7"/>
    <x v="1"/>
    <x v="32"/>
    <n v="1"/>
    <m/>
    <n v="92"/>
    <n v="92"/>
  </r>
  <r>
    <s v="IT Routine"/>
    <x v="3"/>
    <s v="Task"/>
    <s v="ITR-8"/>
    <s v="Admin access for new computer"/>
    <s v="Task"/>
    <x v="0"/>
    <d v="2016-03-04T12:08:00"/>
    <x v="7"/>
    <x v="1"/>
    <x v="32"/>
    <n v="2"/>
    <m/>
    <n v="92"/>
    <n v="92"/>
  </r>
  <r>
    <s v="IT Routine"/>
    <x v="3"/>
    <s v="Task"/>
    <s v="ITR-10"/>
    <s v="Can't access crawling computer in marketing"/>
    <s v="Task"/>
    <x v="0"/>
    <d v="2016-03-17T12:37:00"/>
    <x v="7"/>
    <x v="1"/>
    <x v="32"/>
    <n v="0.16700000000000001"/>
    <m/>
    <n v="92"/>
    <n v="92"/>
  </r>
  <r>
    <s v="IT Routine"/>
    <x v="3"/>
    <s v="Task"/>
    <s v="ITR-10"/>
    <s v="Can't access crawling computer in marketing"/>
    <s v="Task"/>
    <x v="0"/>
    <d v="2016-03-17T13:35:00"/>
    <x v="7"/>
    <x v="1"/>
    <x v="32"/>
    <n v="1"/>
    <m/>
    <n v="92"/>
    <n v="92"/>
  </r>
  <r>
    <s v="SBG - Mobile"/>
    <x v="1"/>
    <s v="Task"/>
    <s v="MOBL-632"/>
    <s v="Contact Lens Product Page - Improvement"/>
    <s v="Task"/>
    <x v="0"/>
    <d v="2016-02-01T15:32:00"/>
    <x v="11"/>
    <x v="1"/>
    <x v="30"/>
    <n v="2"/>
    <m/>
    <n v="127.5"/>
    <n v="22.500000000000004"/>
  </r>
  <r>
    <s v="SBG - Mobile"/>
    <x v="1"/>
    <s v="Task"/>
    <s v="MOBL-632"/>
    <s v="Contact Lens Product Page - Improvement"/>
    <s v="Task"/>
    <x v="0"/>
    <d v="2016-02-01T17:40:00"/>
    <x v="11"/>
    <x v="1"/>
    <x v="30"/>
    <n v="2"/>
    <m/>
    <n v="127.5"/>
    <n v="22.500000000000004"/>
  </r>
  <r>
    <s v="SBG - Mobile"/>
    <x v="2"/>
    <s v="New Feature"/>
    <s v="MOBL-637"/>
    <s v="Add LinkShare Tracking Pixel to Mobile site (US)"/>
    <s v="New Feature"/>
    <x v="0"/>
    <d v="2016-03-22T09:43:00"/>
    <x v="7"/>
    <x v="1"/>
    <x v="10"/>
    <n v="8"/>
    <m/>
    <n v="156.4"/>
    <n v="27.600000000000005"/>
  </r>
  <r>
    <s v="SBG - Mobile"/>
    <x v="1"/>
    <s v="New Feature"/>
    <s v="MOBL-637"/>
    <s v="Add LinkShare Tracking Pixel to Mobile site (US)"/>
    <s v="New Feature"/>
    <x v="0"/>
    <d v="2016-03-25T15:13:00"/>
    <x v="7"/>
    <x v="1"/>
    <x v="26"/>
    <n v="2"/>
    <m/>
    <n v="156.4"/>
    <n v="27.600000000000005"/>
  </r>
  <r>
    <s v="SBG - Mobile"/>
    <x v="2"/>
    <s v="Bug"/>
    <s v="MOBL-641"/>
    <s v="After Log in with Facebook, member still be sign out status"/>
    <s v="Bug"/>
    <x v="1"/>
    <d v="2016-02-23T16:39:00"/>
    <x v="11"/>
    <x v="1"/>
    <x v="10"/>
    <n v="4"/>
    <m/>
    <n v="127.5"/>
    <n v="22.500000000000004"/>
  </r>
  <r>
    <s v="SBG - Mobile"/>
    <x v="1"/>
    <s v="Bug"/>
    <s v="MOBL-641"/>
    <s v="After Log in with Facebook, member still be sign out status"/>
    <s v="Bug"/>
    <x v="1"/>
    <d v="2016-02-25T11:44:00"/>
    <x v="11"/>
    <x v="1"/>
    <x v="30"/>
    <n v="1"/>
    <m/>
    <n v="127.5"/>
    <n v="22.500000000000004"/>
  </r>
  <r>
    <s v="SBG - Mobile"/>
    <x v="2"/>
    <s v="Task"/>
    <s v="MOBL-642"/>
    <s v="Mobile website for Tablet users A/B test for UK"/>
    <s v="Task"/>
    <x v="0"/>
    <d v="2016-02-14T10:59:00"/>
    <x v="11"/>
    <x v="1"/>
    <x v="2"/>
    <n v="1"/>
    <m/>
    <n v="127.5"/>
    <n v="22.500000000000004"/>
  </r>
  <r>
    <s v="SBG - Mobile"/>
    <x v="1"/>
    <s v="Bug"/>
    <s v="MOBL-648"/>
    <s v="order information incorrect"/>
    <s v="Bug"/>
    <x v="1"/>
    <d v="2016-02-24T11:54:00"/>
    <x v="11"/>
    <x v="1"/>
    <x v="8"/>
    <n v="0.5"/>
    <m/>
    <n v="127.5"/>
    <n v="22.500000000000004"/>
  </r>
  <r>
    <s v="SBG - Mobile"/>
    <x v="1"/>
    <s v="Bug"/>
    <s v="MOBL-672"/>
    <s v="Mobile CL Manufacturer URL issues"/>
    <s v="Bug"/>
    <x v="1"/>
    <d v="2016-03-02T18:12:00"/>
    <x v="7"/>
    <x v="1"/>
    <x v="23"/>
    <n v="1"/>
    <m/>
    <n v="156.4"/>
    <n v="27.600000000000005"/>
  </r>
  <r>
    <s v="SBG - Mobile"/>
    <x v="1"/>
    <s v="Bug"/>
    <s v="MOBL-672"/>
    <s v="Mobile CL Manufacturer URL issues"/>
    <s v="Bug"/>
    <x v="1"/>
    <d v="2016-03-07T09:51:00"/>
    <x v="7"/>
    <x v="1"/>
    <x v="23"/>
    <n v="1"/>
    <m/>
    <n v="156.4"/>
    <n v="27.600000000000005"/>
  </r>
  <r>
    <s v="SBG - Mobile"/>
    <x v="1"/>
    <s v="Bug"/>
    <s v="MOBL-672"/>
    <s v="Mobile CL Manufacturer URL issues"/>
    <s v="Bug"/>
    <x v="1"/>
    <d v="2016-03-11T18:35:00"/>
    <x v="7"/>
    <x v="1"/>
    <x v="23"/>
    <n v="2"/>
    <m/>
    <n v="156.4"/>
    <n v="27.600000000000005"/>
  </r>
  <r>
    <s v="SBG - Mobile"/>
    <x v="1"/>
    <s v="Bug"/>
    <s v="MOBL-672"/>
    <s v="Mobile CL Manufacturer URL issues"/>
    <s v="Bug"/>
    <x v="1"/>
    <d v="2016-03-14T16:48:00"/>
    <x v="7"/>
    <x v="1"/>
    <x v="23"/>
    <n v="1"/>
    <m/>
    <n v="156.4"/>
    <n v="27.600000000000005"/>
  </r>
  <r>
    <s v="SBG - Mobile"/>
    <x v="1"/>
    <s v="Bug"/>
    <s v="MOBL-672"/>
    <s v="Mobile CL Manufacturer URL issues"/>
    <s v="Bug"/>
    <x v="1"/>
    <d v="2016-03-15T15:32:00"/>
    <x v="7"/>
    <x v="1"/>
    <x v="23"/>
    <n v="3"/>
    <m/>
    <n v="156.4"/>
    <n v="27.600000000000005"/>
  </r>
  <r>
    <s v="SBG - Mobile"/>
    <x v="1"/>
    <s v="Bug"/>
    <s v="MOBL-676"/>
    <s v="broken URLs for Contact Lenses - CH &amp; AT"/>
    <s v="Bug"/>
    <x v="1"/>
    <d v="2016-02-15T16:23:00"/>
    <x v="11"/>
    <x v="1"/>
    <x v="26"/>
    <n v="4"/>
    <m/>
    <n v="127.5"/>
    <n v="22.500000000000004"/>
  </r>
  <r>
    <s v="SBG - Mobile"/>
    <x v="2"/>
    <s v="Bug"/>
    <s v="MOBL-690"/>
    <s v="RX details loading in english on the cart page - all markets"/>
    <s v="Bug"/>
    <x v="1"/>
    <d v="2016-02-25T12:21:00"/>
    <x v="11"/>
    <x v="1"/>
    <x v="22"/>
    <n v="1.5"/>
    <m/>
    <n v="127.5"/>
    <n v="22.500000000000004"/>
  </r>
  <r>
    <s v="SBG - Mobile"/>
    <x v="1"/>
    <s v="Bug"/>
    <s v="MOBL-690"/>
    <s v="RX details loading in english on the cart page - all markets"/>
    <s v="Bug"/>
    <x v="1"/>
    <d v="2016-02-25T18:04:00"/>
    <x v="11"/>
    <x v="1"/>
    <x v="30"/>
    <n v="2"/>
    <m/>
    <n v="127.5"/>
    <n v="22.500000000000004"/>
  </r>
  <r>
    <s v="SBG - Mobile"/>
    <x v="1"/>
    <s v="Bug"/>
    <s v="MOBL-690"/>
    <s v="RX details loading in english on the cart page - all markets"/>
    <s v="Bug"/>
    <x v="1"/>
    <d v="2016-02-26T16:07:00"/>
    <x v="11"/>
    <x v="1"/>
    <x v="30"/>
    <n v="1.5"/>
    <m/>
    <n v="127.5"/>
    <n v="22.500000000000004"/>
  </r>
  <r>
    <s v="SBG - Mobile"/>
    <x v="1"/>
    <s v="Bug"/>
    <s v="MOBL-690"/>
    <s v="RX details loading in english on the cart page - all markets"/>
    <s v="Bug"/>
    <x v="1"/>
    <d v="2016-02-26T16:11:00"/>
    <x v="11"/>
    <x v="1"/>
    <x v="30"/>
    <n v="1.5"/>
    <m/>
    <n v="127.5"/>
    <n v="22.500000000000004"/>
  </r>
  <r>
    <s v="SBG - Mobile"/>
    <x v="2"/>
    <s v="Bug"/>
    <s v="MOBL-714"/>
    <s v="SBG.com.au should redirect to Vd.com.au"/>
    <s v="Bug"/>
    <x v="1"/>
    <d v="2016-03-24T17:19:00"/>
    <x v="7"/>
    <x v="1"/>
    <x v="2"/>
    <n v="2"/>
    <m/>
    <n v="156.4"/>
    <n v="27.600000000000005"/>
  </r>
  <r>
    <s v="SBG - Mobile"/>
    <x v="1"/>
    <s v="Bug"/>
    <s v="MOBL-714"/>
    <s v="SBG.com.au should redirect to Vd.com.au"/>
    <s v="Bug"/>
    <x v="1"/>
    <d v="2016-03-28T16:00:00"/>
    <x v="7"/>
    <x v="1"/>
    <x v="23"/>
    <n v="1"/>
    <m/>
    <n v="156.4"/>
    <n v="27.600000000000005"/>
  </r>
  <r>
    <s v="SBG - Mobile"/>
    <x v="0"/>
    <s v="Bug"/>
    <s v="MOBL-717"/>
    <s v="Continue button on payment page CSS issue"/>
    <s v="Bug"/>
    <x v="1"/>
    <d v="2016-02-15T16:54:00"/>
    <x v="11"/>
    <x v="1"/>
    <x v="19"/>
    <n v="1"/>
    <m/>
    <n v="75"/>
    <n v="75"/>
  </r>
  <r>
    <s v="SBG - Mobile"/>
    <x v="0"/>
    <s v="Bug"/>
    <s v="MOBL-717"/>
    <s v="Continue button on payment page CSS issue"/>
    <s v="Bug"/>
    <x v="1"/>
    <d v="2016-02-16T11:25:00"/>
    <x v="11"/>
    <x v="1"/>
    <x v="19"/>
    <n v="6"/>
    <m/>
    <n v="75"/>
    <n v="75"/>
  </r>
  <r>
    <s v="SBG - Mobile"/>
    <x v="1"/>
    <s v="Bug"/>
    <s v="MOBL-717"/>
    <s v="Continue button on payment page CSS issue"/>
    <s v="Bug"/>
    <x v="1"/>
    <d v="2016-02-17T17:56:00"/>
    <x v="11"/>
    <x v="1"/>
    <x v="30"/>
    <n v="1"/>
    <m/>
    <n v="127.5"/>
    <n v="22.500000000000004"/>
  </r>
  <r>
    <s v="SBG - Mobile"/>
    <x v="1"/>
    <s v="Bug"/>
    <s v="MOBL-717"/>
    <s v="Continue button on payment page CSS issue"/>
    <s v="Bug"/>
    <x v="1"/>
    <d v="2016-02-17T18:23:00"/>
    <x v="11"/>
    <x v="1"/>
    <x v="30"/>
    <n v="1"/>
    <m/>
    <n v="127.5"/>
    <n v="22.500000000000004"/>
  </r>
  <r>
    <s v="SBG - Mobile"/>
    <x v="1"/>
    <s v="Bug"/>
    <s v="MOBL-717"/>
    <s v="Continue button on payment page CSS issue"/>
    <s v="Bug"/>
    <x v="1"/>
    <d v="2016-02-22T16:35:00"/>
    <x v="11"/>
    <x v="1"/>
    <x v="30"/>
    <n v="0.5"/>
    <m/>
    <n v="127.5"/>
    <n v="22.500000000000004"/>
  </r>
  <r>
    <s v="SBG - Mobile"/>
    <x v="0"/>
    <s v="Bug"/>
    <s v="MOBL-717"/>
    <s v="Continue button on payment page CSS issue"/>
    <s v="Bug"/>
    <x v="1"/>
    <d v="2016-02-24T11:27:00"/>
    <x v="11"/>
    <x v="1"/>
    <x v="19"/>
    <n v="6"/>
    <m/>
    <n v="75"/>
    <n v="75"/>
  </r>
  <r>
    <s v="SBG - Mobile"/>
    <x v="2"/>
    <s v="Bug"/>
    <s v="MOBL-760"/>
    <s v="CL doesn't work at all for domain CO"/>
    <s v="Bug"/>
    <x v="1"/>
    <d v="2016-02-17T15:58:00"/>
    <x v="11"/>
    <x v="1"/>
    <x v="29"/>
    <n v="1"/>
    <m/>
    <n v="127.5"/>
    <n v="22.500000000000004"/>
  </r>
  <r>
    <s v="SBG - Mobile"/>
    <x v="1"/>
    <s v="Bug"/>
    <s v="MOBL-760"/>
    <s v="CL doesn't work at all for domain CO"/>
    <s v="Bug"/>
    <x v="1"/>
    <d v="2016-02-18T18:04:00"/>
    <x v="11"/>
    <x v="1"/>
    <x v="23"/>
    <n v="1"/>
    <m/>
    <n v="127.5"/>
    <n v="22.500000000000004"/>
  </r>
  <r>
    <s v="SBG - Mobile"/>
    <x v="0"/>
    <s v="Bug"/>
    <s v="MOBL-778"/>
    <s v="Shopping limits DE - can not add more than 1 item"/>
    <s v="Bug"/>
    <x v="1"/>
    <d v="2016-02-15T11:25:00"/>
    <x v="11"/>
    <x v="1"/>
    <x v="19"/>
    <n v="6"/>
    <m/>
    <n v="75"/>
    <n v="75"/>
  </r>
  <r>
    <s v="SBG - Mobile"/>
    <x v="0"/>
    <s v="Bug"/>
    <s v="MOBL-778"/>
    <s v="Shopping limits DE - can not add more than 1 item"/>
    <s v="Bug"/>
    <x v="1"/>
    <d v="2016-02-16T15:41:00"/>
    <x v="11"/>
    <x v="1"/>
    <x v="19"/>
    <n v="2"/>
    <m/>
    <n v="75"/>
    <n v="75"/>
  </r>
  <r>
    <s v="SBG - Mobile"/>
    <x v="1"/>
    <s v="Bug"/>
    <s v="MOBL-778"/>
    <s v="Shopping limits DE - can not add more than 1 item"/>
    <s v="Bug"/>
    <x v="1"/>
    <d v="2016-02-17T18:23:00"/>
    <x v="11"/>
    <x v="1"/>
    <x v="30"/>
    <n v="3"/>
    <m/>
    <n v="127.5"/>
    <n v="22.500000000000004"/>
  </r>
  <r>
    <s v="SBG - Mobile"/>
    <x v="1"/>
    <s v="Bug"/>
    <s v="MOBL-778"/>
    <s v="Shopping limits DE - can not add more than 1 item"/>
    <s v="Bug"/>
    <x v="1"/>
    <d v="2016-02-19T10:36:00"/>
    <x v="11"/>
    <x v="1"/>
    <x v="30"/>
    <n v="1"/>
    <m/>
    <n v="127.5"/>
    <n v="22.500000000000004"/>
  </r>
  <r>
    <s v="SBG - Mobile"/>
    <x v="0"/>
    <s v="Bug"/>
    <s v="MOBL-778"/>
    <s v="Shopping limits DE - can not add more than 1 item"/>
    <s v="Bug"/>
    <x v="1"/>
    <d v="2016-02-22T15:51:00"/>
    <x v="11"/>
    <x v="1"/>
    <x v="19"/>
    <n v="2"/>
    <m/>
    <n v="75"/>
    <n v="75"/>
  </r>
  <r>
    <s v="SBG - Mobile"/>
    <x v="1"/>
    <s v="Bug"/>
    <s v="MOBL-778"/>
    <s v="Shopping limits DE - can not add more than 1 item"/>
    <s v="Bug"/>
    <x v="1"/>
    <d v="2016-02-22T16:35:00"/>
    <x v="11"/>
    <x v="1"/>
    <x v="30"/>
    <n v="0.5"/>
    <m/>
    <n v="127.5"/>
    <n v="22.500000000000004"/>
  </r>
  <r>
    <s v="SBG - Mobile"/>
    <x v="0"/>
    <s v="Bug"/>
    <s v="MOBL-778"/>
    <s v="Shopping limits DE - can not add more than 1 item"/>
    <s v="Bug"/>
    <x v="1"/>
    <d v="2016-02-26T09:27:00"/>
    <x v="11"/>
    <x v="1"/>
    <x v="19"/>
    <n v="8"/>
    <m/>
    <n v="75"/>
    <n v="75"/>
  </r>
  <r>
    <s v="SBG - Mobile"/>
    <x v="1"/>
    <s v="Bug"/>
    <s v="MOBL-782"/>
    <s v="&quot;Brighten up your summer..&quot; banner in northern hemisphere - mobile"/>
    <s v="Bug"/>
    <x v="1"/>
    <d v="2016-02-18T18:04:00"/>
    <x v="11"/>
    <x v="1"/>
    <x v="23"/>
    <n v="1"/>
    <m/>
    <n v="127.5"/>
    <n v="22.500000000000004"/>
  </r>
  <r>
    <s v="SBG - Mobile"/>
    <x v="1"/>
    <s v="Bug"/>
    <s v="MOBL-782"/>
    <s v="&quot;Brighten up your summer..&quot; banner in northern hemisphere - mobile"/>
    <s v="Bug"/>
    <x v="1"/>
    <d v="2016-02-22T18:20:00"/>
    <x v="11"/>
    <x v="1"/>
    <x v="23"/>
    <n v="1"/>
    <m/>
    <n v="127.5"/>
    <n v="22.500000000000004"/>
  </r>
  <r>
    <s v="SBG - Mobile"/>
    <x v="2"/>
    <s v="Bug"/>
    <s v="MOBL-793"/>
    <s v="Missing products in clearance - Sunglasses &amp; Eyeglasses"/>
    <s v="Bug"/>
    <x v="1"/>
    <d v="2016-02-24T17:11:00"/>
    <x v="11"/>
    <x v="1"/>
    <x v="29"/>
    <n v="4"/>
    <m/>
    <n v="127.5"/>
    <n v="22.500000000000004"/>
  </r>
  <r>
    <s v="SBG - Mobile"/>
    <x v="1"/>
    <s v="Bug"/>
    <s v="MOBL-793"/>
    <s v="Missing products in clearance - Sunglasses &amp; Eyeglasses"/>
    <s v="Bug"/>
    <x v="1"/>
    <d v="2016-02-25T18:24:00"/>
    <x v="11"/>
    <x v="1"/>
    <x v="23"/>
    <n v="1"/>
    <m/>
    <n v="127.5"/>
    <n v="22.500000000000004"/>
  </r>
  <r>
    <s v="SBG - Mobile"/>
    <x v="1"/>
    <s v="Bug"/>
    <s v="MOBL-793"/>
    <s v="Missing products in clearance - Sunglasses &amp; Eyeglasses"/>
    <s v="Bug"/>
    <x v="1"/>
    <d v="2016-02-26T15:44:00"/>
    <x v="11"/>
    <x v="1"/>
    <x v="23"/>
    <n v="2"/>
    <m/>
    <n v="127.5"/>
    <n v="22.500000000000004"/>
  </r>
  <r>
    <s v="SBG - Mobile"/>
    <x v="2"/>
    <s v="Bug"/>
    <s v="MOBL-793"/>
    <s v="Missing products in clearance - Sunglasses &amp; Eyeglasses"/>
    <s v="Bug"/>
    <x v="1"/>
    <d v="2016-03-01T09:37:00"/>
    <x v="7"/>
    <x v="1"/>
    <x v="29"/>
    <n v="1"/>
    <m/>
    <n v="156.4"/>
    <n v="27.600000000000005"/>
  </r>
  <r>
    <s v="SBG - Mobile"/>
    <x v="2"/>
    <s v="Bug"/>
    <s v="MOBL-799"/>
    <s v="Contact Lens Mobile URL not Translated"/>
    <s v="Bug"/>
    <x v="1"/>
    <d v="2016-02-01T14:00:00"/>
    <x v="11"/>
    <x v="1"/>
    <x v="11"/>
    <n v="5"/>
    <m/>
    <n v="127.5"/>
    <n v="22.500000000000004"/>
  </r>
  <r>
    <s v="SBG - Mobile"/>
    <x v="1"/>
    <s v="Bug"/>
    <s v="MOBL-799"/>
    <s v="Contact Lens Mobile URL not Translated"/>
    <s v="Bug"/>
    <x v="1"/>
    <d v="2016-02-05T12:28:00"/>
    <x v="11"/>
    <x v="1"/>
    <x v="23"/>
    <n v="4"/>
    <m/>
    <n v="127.5"/>
    <n v="22.500000000000004"/>
  </r>
  <r>
    <s v="SBG - Mobile"/>
    <x v="1"/>
    <s v="Bug"/>
    <s v="MOBL-820"/>
    <s v="Wrong link for the Home page Eyewear banner"/>
    <s v="Bug"/>
    <x v="1"/>
    <d v="2016-02-04T11:58:00"/>
    <x v="11"/>
    <x v="1"/>
    <x v="23"/>
    <n v="4"/>
    <m/>
    <n v="127.5"/>
    <n v="22.500000000000004"/>
  </r>
  <r>
    <s v="SBG - Mobile"/>
    <x v="1"/>
    <s v="Bug"/>
    <s v="MOBL-838"/>
    <s v="price filters displaying 99,999 EUR range - mobile - all countries"/>
    <s v="Bug"/>
    <x v="1"/>
    <d v="2016-02-02T13:50:00"/>
    <x v="11"/>
    <x v="1"/>
    <x v="21"/>
    <n v="3"/>
    <m/>
    <n v="127.5"/>
    <n v="22.500000000000004"/>
  </r>
  <r>
    <s v="SBG - Mobile"/>
    <x v="0"/>
    <s v="Task"/>
    <s v="MOBL-916"/>
    <s v="Adding packaging images on mobile - all countries"/>
    <s v="Task"/>
    <x v="0"/>
    <d v="2016-03-10T09:32:00"/>
    <x v="7"/>
    <x v="1"/>
    <x v="19"/>
    <n v="1"/>
    <m/>
    <n v="92"/>
    <n v="92"/>
  </r>
  <r>
    <s v="SBG - Mobile"/>
    <x v="1"/>
    <s v="New Feature"/>
    <s v="MOBL-929"/>
    <s v="Chinese Translation for Brands on mobile CN"/>
    <s v="New Feature"/>
    <x v="0"/>
    <d v="2016-02-05T16:30:00"/>
    <x v="11"/>
    <x v="1"/>
    <x v="1"/>
    <n v="2"/>
    <m/>
    <n v="127.5"/>
    <n v="22.500000000000004"/>
  </r>
  <r>
    <s v="SBG - Mobile"/>
    <x v="2"/>
    <s v="New Feature"/>
    <s v="MOBL-929"/>
    <s v="Chinese Translation for Brands on mobile CN"/>
    <s v="New Feature"/>
    <x v="0"/>
    <d v="2016-03-08T14:46:00"/>
    <x v="7"/>
    <x v="1"/>
    <x v="22"/>
    <n v="8"/>
    <m/>
    <n v="156.4"/>
    <n v="27.600000000000005"/>
  </r>
  <r>
    <s v="SBG - Mobile"/>
    <x v="1"/>
    <s v="New Feature"/>
    <s v="MOBL-929"/>
    <s v="Chinese Translation for Brands on mobile CN"/>
    <s v="New Feature"/>
    <x v="0"/>
    <d v="2016-03-08T18:43:00"/>
    <x v="7"/>
    <x v="1"/>
    <x v="1"/>
    <n v="2"/>
    <m/>
    <n v="156.4"/>
    <n v="27.600000000000005"/>
  </r>
  <r>
    <s v="SBG - Mobile"/>
    <x v="1"/>
    <s v="New Feature"/>
    <s v="MOBL-929"/>
    <s v="Chinese Translation for Brands on mobile CN"/>
    <s v="New Feature"/>
    <x v="0"/>
    <d v="2016-03-09T19:24:00"/>
    <x v="7"/>
    <x v="1"/>
    <x v="1"/>
    <n v="2"/>
    <m/>
    <n v="156.4"/>
    <n v="27.600000000000005"/>
  </r>
  <r>
    <s v="SBG - Mobile"/>
    <x v="1"/>
    <s v="New Feature"/>
    <s v="MOBL-929"/>
    <s v="Chinese Translation for Brands on mobile CN"/>
    <s v="New Feature"/>
    <x v="0"/>
    <d v="2016-03-10T06:14:00"/>
    <x v="7"/>
    <x v="1"/>
    <x v="1"/>
    <n v="8"/>
    <m/>
    <n v="156.4"/>
    <n v="27.600000000000005"/>
  </r>
  <r>
    <s v="SBG - Mobile"/>
    <x v="1"/>
    <s v="New Feature"/>
    <s v="MOBL-929"/>
    <s v="Chinese Translation for Brands on mobile CN"/>
    <s v="New Feature"/>
    <x v="0"/>
    <d v="2016-03-11T14:44:00"/>
    <x v="7"/>
    <x v="1"/>
    <x v="1"/>
    <n v="2"/>
    <m/>
    <n v="156.4"/>
    <n v="27.600000000000005"/>
  </r>
  <r>
    <s v="SBG - Mobile"/>
    <x v="1"/>
    <s v="New Feature"/>
    <s v="MOBL-929"/>
    <s v="Chinese Translation for Brands on mobile CN"/>
    <s v="New Feature"/>
    <x v="0"/>
    <d v="2016-03-11T20:06:00"/>
    <x v="7"/>
    <x v="1"/>
    <x v="1"/>
    <n v="5"/>
    <m/>
    <n v="156.4"/>
    <n v="27.600000000000005"/>
  </r>
  <r>
    <s v="SBG - Mobile"/>
    <x v="1"/>
    <s v="New Feature"/>
    <s v="MOBL-929"/>
    <s v="Chinese Translation for Brands on mobile CN"/>
    <s v="New Feature"/>
    <x v="0"/>
    <d v="2016-03-14T20:07:00"/>
    <x v="7"/>
    <x v="1"/>
    <x v="1"/>
    <n v="3"/>
    <m/>
    <n v="156.4"/>
    <n v="27.600000000000005"/>
  </r>
  <r>
    <s v="SBG - Mobile"/>
    <x v="1"/>
    <s v="New Feature"/>
    <s v="MOBL-929"/>
    <s v="Chinese Translation for Brands on mobile CN"/>
    <s v="New Feature"/>
    <x v="0"/>
    <d v="2016-03-15T16:12:00"/>
    <x v="7"/>
    <x v="1"/>
    <x v="1"/>
    <n v="2"/>
    <m/>
    <n v="156.4"/>
    <n v="27.600000000000005"/>
  </r>
  <r>
    <s v="SBG - Mobile"/>
    <x v="0"/>
    <s v="Bug"/>
    <s v="MOBL-930"/>
    <s v="There are empty lines between different banners on homepage"/>
    <s v="Bug"/>
    <x v="1"/>
    <d v="2016-02-29T14:44:00"/>
    <x v="11"/>
    <x v="1"/>
    <x v="19"/>
    <n v="1"/>
    <m/>
    <n v="75"/>
    <n v="75"/>
  </r>
  <r>
    <s v="SBG - Mobile"/>
    <x v="1"/>
    <s v="Bug"/>
    <s v="MOBL-930"/>
    <s v="There are empty lines between different banners on homepage"/>
    <s v="Bug"/>
    <x v="1"/>
    <d v="2016-02-29T19:44:00"/>
    <x v="11"/>
    <x v="1"/>
    <x v="1"/>
    <n v="1"/>
    <m/>
    <n v="127.5"/>
    <n v="22.500000000000004"/>
  </r>
  <r>
    <s v="SBG - Mobile"/>
    <x v="1"/>
    <s v="Improvement"/>
    <s v="MOBL-931"/>
    <s v="Mobile CN checkout page improvement"/>
    <s v="Improvement"/>
    <x v="0"/>
    <d v="2016-02-18T11:36:00"/>
    <x v="11"/>
    <x v="1"/>
    <x v="1"/>
    <n v="3"/>
    <m/>
    <n v="127.5"/>
    <n v="22.500000000000004"/>
  </r>
  <r>
    <s v="SBG - Mobile"/>
    <x v="1"/>
    <s v="Improvement"/>
    <s v="MOBL-931"/>
    <s v="Mobile CN checkout page improvement"/>
    <s v="Improvement"/>
    <x v="0"/>
    <d v="2016-02-25T19:09:00"/>
    <x v="11"/>
    <x v="1"/>
    <x v="1"/>
    <n v="2"/>
    <m/>
    <n v="127.5"/>
    <n v="22.500000000000004"/>
  </r>
  <r>
    <s v="SBG - Mobile"/>
    <x v="1"/>
    <s v="Improvement"/>
    <s v="MOBL-931"/>
    <s v="Mobile CN checkout page improvement"/>
    <s v="Improvement"/>
    <x v="0"/>
    <d v="2016-02-26T19:40:00"/>
    <x v="11"/>
    <x v="1"/>
    <x v="1"/>
    <n v="2"/>
    <m/>
    <n v="127.5"/>
    <n v="22.500000000000004"/>
  </r>
  <r>
    <s v="SBG - Mobile"/>
    <x v="0"/>
    <s v="Improvement"/>
    <s v="MOBL-931"/>
    <s v="Mobile CN checkout page improvement"/>
    <s v="Improvement"/>
    <x v="0"/>
    <d v="2016-02-29T17:57:00"/>
    <x v="11"/>
    <x v="1"/>
    <x v="7"/>
    <n v="7.5"/>
    <m/>
    <n v="75"/>
    <n v="75"/>
  </r>
  <r>
    <s v="SBG - Mobile"/>
    <x v="0"/>
    <s v="Improvement"/>
    <s v="MOBL-931"/>
    <s v="Mobile CN checkout page improvement"/>
    <s v="Improvement"/>
    <x v="0"/>
    <d v="2016-03-14T14:24:00"/>
    <x v="7"/>
    <x v="1"/>
    <x v="7"/>
    <n v="60"/>
    <m/>
    <n v="92"/>
    <n v="92"/>
  </r>
  <r>
    <s v="SBG - Mobile"/>
    <x v="2"/>
    <s v="Task"/>
    <s v="MOBL-932"/>
    <s v="Add back GA analyze on mobile"/>
    <s v="Task"/>
    <x v="0"/>
    <d v="2016-02-05T11:14:00"/>
    <x v="11"/>
    <x v="1"/>
    <x v="18"/>
    <n v="8"/>
    <m/>
    <n v="127.5"/>
    <n v="22.500000000000004"/>
  </r>
  <r>
    <s v="SBG - Mobile"/>
    <x v="2"/>
    <s v="Task"/>
    <s v="MOBL-932"/>
    <s v="Add back GA analyze on mobile"/>
    <s v="Task"/>
    <x v="0"/>
    <d v="2016-02-29T12:19:00"/>
    <x v="11"/>
    <x v="1"/>
    <x v="18"/>
    <n v="4"/>
    <m/>
    <n v="127.5"/>
    <n v="22.500000000000004"/>
  </r>
  <r>
    <s v="SBG - Mobile"/>
    <x v="1"/>
    <s v="Task"/>
    <s v="MOBL-932"/>
    <s v="Add back GA analyze on mobile"/>
    <s v="Task"/>
    <x v="0"/>
    <d v="2016-02-29T19:44:00"/>
    <x v="11"/>
    <x v="1"/>
    <x v="1"/>
    <n v="1"/>
    <m/>
    <n v="127.5"/>
    <n v="22.500000000000004"/>
  </r>
  <r>
    <s v="SBG - Mobile"/>
    <x v="1"/>
    <s v="Task"/>
    <s v="MOBL-932"/>
    <s v="Add back GA analyze on mobile"/>
    <s v="Task"/>
    <x v="0"/>
    <d v="2016-03-01T16:44:00"/>
    <x v="7"/>
    <x v="1"/>
    <x v="1"/>
    <n v="2"/>
    <m/>
    <n v="156.4"/>
    <n v="27.600000000000005"/>
  </r>
  <r>
    <s v="SBG - Mobile"/>
    <x v="2"/>
    <s v="Improvement"/>
    <s v="MOBL-939"/>
    <s v="Change RMB to ¥ on mobile"/>
    <s v="Improvement"/>
    <x v="0"/>
    <d v="2016-03-04T14:47:00"/>
    <x v="7"/>
    <x v="1"/>
    <x v="22"/>
    <n v="4"/>
    <m/>
    <n v="156.4"/>
    <n v="27.600000000000005"/>
  </r>
  <r>
    <s v="SBG - Mobile"/>
    <x v="1"/>
    <s v="Task"/>
    <s v="MOBL-943"/>
    <s v="Change image path to 网宿 CDN on mobile"/>
    <s v="Task"/>
    <x v="0"/>
    <d v="2016-03-14T20:07:00"/>
    <x v="7"/>
    <x v="1"/>
    <x v="1"/>
    <n v="2"/>
    <m/>
    <n v="156.4"/>
    <n v="27.600000000000005"/>
  </r>
  <r>
    <s v="SBG - Mobile"/>
    <x v="1"/>
    <s v="Improvement"/>
    <s v="MOBL-946"/>
    <s v="Algolia search out result, use CDN image"/>
    <s v="Improvement"/>
    <x v="0"/>
    <d v="2016-03-15T19:12:00"/>
    <x v="7"/>
    <x v="1"/>
    <x v="1"/>
    <n v="2"/>
    <m/>
    <n v="156.4"/>
    <n v="27.600000000000005"/>
  </r>
  <r>
    <s v="SBG - Mobile"/>
    <x v="2"/>
    <s v="Improvement"/>
    <s v="MOBL-946"/>
    <s v="Algolia search out result, use CDN image"/>
    <s v="Improvement"/>
    <x v="0"/>
    <d v="2016-03-17T15:10:00"/>
    <x v="7"/>
    <x v="1"/>
    <x v="2"/>
    <n v="5"/>
    <m/>
    <n v="156.4"/>
    <n v="27.600000000000005"/>
  </r>
  <r>
    <s v="SBG - Mobile"/>
    <x v="1"/>
    <s v="Improvement"/>
    <s v="MOBL-946"/>
    <s v="Algolia search out result, use CDN image"/>
    <s v="Improvement"/>
    <x v="0"/>
    <d v="2016-03-18T15:15:00"/>
    <x v="7"/>
    <x v="1"/>
    <x v="1"/>
    <n v="1"/>
    <m/>
    <n v="156.4"/>
    <n v="27.600000000000005"/>
  </r>
  <r>
    <s v="SBG - Mobile"/>
    <x v="1"/>
    <s v="Improvement"/>
    <s v="MOBL-947"/>
    <s v="Checkout page, payment logos cannot display"/>
    <s v="Improvement"/>
    <x v="0"/>
    <d v="2016-03-15T19:12:00"/>
    <x v="7"/>
    <x v="1"/>
    <x v="1"/>
    <n v="2"/>
    <m/>
    <n v="156.4"/>
    <n v="27.600000000000005"/>
  </r>
  <r>
    <s v="SBG - Mobile"/>
    <x v="2"/>
    <s v="Bug"/>
    <s v="MOBL-949"/>
    <s v="No Sale for Product Level does not work on Mobile"/>
    <s v="Bug"/>
    <x v="1"/>
    <d v="2016-03-30T19:01:00"/>
    <x v="7"/>
    <x v="1"/>
    <x v="29"/>
    <n v="2"/>
    <m/>
    <n v="156.4"/>
    <n v="27.600000000000005"/>
  </r>
  <r>
    <s v="SBG - Mobile"/>
    <x v="4"/>
    <s v="New Feature"/>
    <s v="MOBL-952"/>
    <s v="RX PHASE 3 - MOBILE"/>
    <s v="New Feature"/>
    <x v="0"/>
    <d v="2016-03-07T12:03:00"/>
    <x v="7"/>
    <x v="1"/>
    <x v="13"/>
    <n v="5"/>
    <m/>
    <n v="156.4"/>
    <n v="27.600000000000005"/>
  </r>
  <r>
    <s v="SBG - Mobile"/>
    <x v="4"/>
    <s v="New Feature"/>
    <s v="MOBL-952"/>
    <s v="RX PHASE 3 - MOBILE"/>
    <s v="New Feature"/>
    <x v="0"/>
    <d v="2016-03-08T12:03:00"/>
    <x v="7"/>
    <x v="1"/>
    <x v="13"/>
    <n v="5"/>
    <m/>
    <n v="156.4"/>
    <n v="27.600000000000005"/>
  </r>
  <r>
    <s v="SBG - Mobile"/>
    <x v="4"/>
    <s v="New Feature"/>
    <s v="MOBL-952"/>
    <s v="RX PHASE 3 - MOBILE"/>
    <s v="New Feature"/>
    <x v="0"/>
    <d v="2016-03-09T12:03:00"/>
    <x v="7"/>
    <x v="1"/>
    <x v="13"/>
    <n v="5"/>
    <m/>
    <n v="156.4"/>
    <n v="27.600000000000005"/>
  </r>
  <r>
    <s v="SBG - Mobile"/>
    <x v="4"/>
    <s v="New Feature"/>
    <s v="MOBL-952"/>
    <s v="RX PHASE 3 - MOBILE"/>
    <s v="New Feature"/>
    <x v="0"/>
    <d v="2016-03-10T12:03:00"/>
    <x v="7"/>
    <x v="1"/>
    <x v="13"/>
    <n v="5"/>
    <m/>
    <n v="156.4"/>
    <n v="27.600000000000005"/>
  </r>
  <r>
    <s v="SBG - Mobile"/>
    <x v="4"/>
    <s v="New Feature"/>
    <s v="MOBL-952"/>
    <s v="RX PHASE 3 - MOBILE"/>
    <s v="New Feature"/>
    <x v="0"/>
    <d v="2016-03-11T12:27:00"/>
    <x v="7"/>
    <x v="1"/>
    <x v="13"/>
    <n v="5"/>
    <m/>
    <n v="156.4"/>
    <n v="27.600000000000005"/>
  </r>
  <r>
    <s v="SBG - Mobile"/>
    <x v="4"/>
    <s v="New Feature"/>
    <s v="MOBL-952"/>
    <s v="RX PHASE 3 - MOBILE"/>
    <s v="New Feature"/>
    <x v="0"/>
    <d v="2016-03-21T12:35:00"/>
    <x v="7"/>
    <x v="1"/>
    <x v="13"/>
    <n v="5"/>
    <m/>
    <n v="156.4"/>
    <n v="27.600000000000005"/>
  </r>
  <r>
    <s v="SBG - Mobile"/>
    <x v="4"/>
    <s v="New Feature"/>
    <s v="MOBL-952"/>
    <s v="RX PHASE 3 - MOBILE"/>
    <s v="New Feature"/>
    <x v="0"/>
    <d v="2016-03-22T12:35:00"/>
    <x v="7"/>
    <x v="1"/>
    <x v="13"/>
    <n v="5"/>
    <m/>
    <n v="156.4"/>
    <n v="27.600000000000005"/>
  </r>
  <r>
    <s v="SBG - Mobile"/>
    <x v="4"/>
    <s v="New Feature"/>
    <s v="MOBL-952"/>
    <s v="RX PHASE 3 - MOBILE"/>
    <s v="New Feature"/>
    <x v="0"/>
    <d v="2016-03-23T12:35:00"/>
    <x v="7"/>
    <x v="1"/>
    <x v="13"/>
    <n v="3"/>
    <m/>
    <n v="156.4"/>
    <n v="27.600000000000005"/>
  </r>
  <r>
    <s v="SBG - Mobile"/>
    <x v="4"/>
    <s v="New Feature"/>
    <s v="MOBL-952"/>
    <s v="RX PHASE 3 - MOBILE"/>
    <s v="New Feature"/>
    <x v="0"/>
    <d v="2016-03-24T12:37:00"/>
    <x v="7"/>
    <x v="1"/>
    <x v="13"/>
    <n v="5"/>
    <m/>
    <n v="156.4"/>
    <n v="27.600000000000005"/>
  </r>
  <r>
    <s v="SBG - Mobile"/>
    <x v="4"/>
    <s v="New Feature"/>
    <s v="MOBL-952"/>
    <s v="RX PHASE 3 - MOBILE"/>
    <s v="New Feature"/>
    <x v="0"/>
    <d v="2016-03-25T12:35:00"/>
    <x v="7"/>
    <x v="1"/>
    <x v="13"/>
    <n v="5"/>
    <m/>
    <n v="156.4"/>
    <n v="27.600000000000005"/>
  </r>
  <r>
    <s v="SBG - Mobile"/>
    <x v="0"/>
    <s v="New Feature"/>
    <s v="MOBL-952"/>
    <s v="RX PHASE 3 - MOBILE"/>
    <s v="New Feature"/>
    <x v="0"/>
    <d v="2016-03-25T18:32:00"/>
    <x v="7"/>
    <x v="1"/>
    <x v="7"/>
    <n v="2"/>
    <m/>
    <n v="92"/>
    <n v="92"/>
  </r>
  <r>
    <s v="SBG - Mobile"/>
    <x v="0"/>
    <s v="New Feature"/>
    <s v="MOBL-952"/>
    <s v="RX PHASE 3 - MOBILE"/>
    <s v="New Feature"/>
    <x v="0"/>
    <d v="2016-03-28T18:43:00"/>
    <x v="7"/>
    <x v="1"/>
    <x v="7"/>
    <n v="4.5"/>
    <m/>
    <n v="92"/>
    <n v="92"/>
  </r>
  <r>
    <s v="SBG - Mobile"/>
    <x v="0"/>
    <s v="New Feature"/>
    <s v="MOBL-952"/>
    <s v="RX PHASE 3 - MOBILE"/>
    <s v="New Feature"/>
    <x v="0"/>
    <d v="2016-03-29T19:04:00"/>
    <x v="7"/>
    <x v="1"/>
    <x v="7"/>
    <n v="4.5"/>
    <m/>
    <n v="92"/>
    <n v="92"/>
  </r>
  <r>
    <s v="SBG - Mobile"/>
    <x v="0"/>
    <s v="New Feature"/>
    <s v="MOBL-952"/>
    <s v="RX PHASE 3 - MOBILE"/>
    <s v="New Feature"/>
    <x v="0"/>
    <d v="2016-03-30T18:49:00"/>
    <x v="7"/>
    <x v="1"/>
    <x v="7"/>
    <n v="4"/>
    <m/>
    <n v="92"/>
    <n v="92"/>
  </r>
  <r>
    <s v="SBG - Mobile"/>
    <x v="4"/>
    <s v="New Feature"/>
    <s v="MOBL-952"/>
    <s v="RX PHASE 3 - MOBILE"/>
    <s v="New Feature"/>
    <x v="0"/>
    <d v="2016-03-31T14:31:00"/>
    <x v="7"/>
    <x v="1"/>
    <x v="13"/>
    <n v="1"/>
    <m/>
    <n v="156.4"/>
    <n v="27.600000000000005"/>
  </r>
  <r>
    <s v="SBG - Mobile"/>
    <x v="4"/>
    <s v="New Feature"/>
    <s v="MOBL-952"/>
    <s v="RX PHASE 3 - MOBILE"/>
    <s v="New Feature"/>
    <x v="0"/>
    <d v="2016-03-31T14:42:00"/>
    <x v="7"/>
    <x v="1"/>
    <x v="13"/>
    <n v="3"/>
    <m/>
    <n v="156.4"/>
    <n v="27.600000000000005"/>
  </r>
  <r>
    <s v="Backend - OM"/>
    <x v="1"/>
    <s v="New Feature"/>
    <s v="OM-414"/>
    <s v="Rewards improvements"/>
    <s v="New Feature"/>
    <x v="0"/>
    <d v="2016-02-01T10:10:00"/>
    <x v="11"/>
    <x v="1"/>
    <x v="1"/>
    <n v="1"/>
    <m/>
    <n v="127.5"/>
    <n v="22.500000000000004"/>
  </r>
  <r>
    <s v="Backend - OM"/>
    <x v="1"/>
    <s v="New Feature"/>
    <s v="OM-414"/>
    <s v="Rewards improvements"/>
    <s v="New Feature"/>
    <x v="0"/>
    <d v="2016-02-03T20:00:00"/>
    <x v="11"/>
    <x v="1"/>
    <x v="1"/>
    <n v="3"/>
    <m/>
    <n v="127.5"/>
    <n v="22.500000000000004"/>
  </r>
  <r>
    <s v="Backend - OM"/>
    <x v="1"/>
    <s v="New Feature"/>
    <s v="OM-414"/>
    <s v="Rewards improvements"/>
    <s v="New Feature"/>
    <x v="0"/>
    <d v="2016-02-04T11:35:00"/>
    <x v="11"/>
    <x v="1"/>
    <x v="1"/>
    <n v="3"/>
    <m/>
    <n v="127.5"/>
    <n v="22.500000000000004"/>
  </r>
  <r>
    <s v="Backend - OM"/>
    <x v="2"/>
    <s v="New Feature"/>
    <s v="OM-414"/>
    <s v="Rewards improvements"/>
    <s v="New Feature"/>
    <x v="0"/>
    <d v="2016-02-18T19:49:00"/>
    <x v="11"/>
    <x v="1"/>
    <x v="20"/>
    <n v="4"/>
    <m/>
    <n v="127.5"/>
    <n v="22.500000000000004"/>
  </r>
  <r>
    <s v="Backend - OM"/>
    <x v="2"/>
    <s v="New Feature"/>
    <s v="OM-414"/>
    <s v="Rewards improvements"/>
    <s v="New Feature"/>
    <x v="0"/>
    <d v="2016-02-23T14:30:00"/>
    <x v="11"/>
    <x v="1"/>
    <x v="20"/>
    <n v="3"/>
    <m/>
    <n v="127.5"/>
    <n v="22.500000000000004"/>
  </r>
  <r>
    <s v="Backend - OM"/>
    <x v="1"/>
    <s v="New Feature"/>
    <s v="OM-414"/>
    <s v="Rewards improvements"/>
    <s v="New Feature"/>
    <x v="0"/>
    <d v="2016-02-23T19:11:00"/>
    <x v="11"/>
    <x v="1"/>
    <x v="1"/>
    <n v="3"/>
    <m/>
    <n v="127.5"/>
    <n v="22.500000000000004"/>
  </r>
  <r>
    <s v="Backend - OM"/>
    <x v="1"/>
    <s v="New Feature"/>
    <s v="OM-414"/>
    <s v="Rewards improvements"/>
    <s v="New Feature"/>
    <x v="0"/>
    <d v="2016-02-29T19:43:00"/>
    <x v="11"/>
    <x v="1"/>
    <x v="1"/>
    <n v="2"/>
    <m/>
    <n v="127.5"/>
    <n v="22.500000000000004"/>
  </r>
  <r>
    <s v="Backend - OM"/>
    <x v="2"/>
    <s v="New Feature"/>
    <s v="OM-414"/>
    <s v="Rewards improvements"/>
    <s v="New Feature"/>
    <x v="0"/>
    <d v="2016-03-01T10:08:00"/>
    <x v="7"/>
    <x v="1"/>
    <x v="20"/>
    <n v="4"/>
    <m/>
    <n v="156.4"/>
    <n v="27.600000000000005"/>
  </r>
  <r>
    <s v="Backend - OM"/>
    <x v="1"/>
    <s v="New Feature"/>
    <s v="OM-414"/>
    <s v="Rewards improvements"/>
    <s v="New Feature"/>
    <x v="0"/>
    <d v="2016-03-01T19:42:00"/>
    <x v="7"/>
    <x v="1"/>
    <x v="1"/>
    <n v="3"/>
    <m/>
    <n v="156.4"/>
    <n v="27.600000000000005"/>
  </r>
  <r>
    <s v="Backend - OM"/>
    <x v="1"/>
    <s v="New Feature"/>
    <s v="OM-414"/>
    <s v="Rewards improvements"/>
    <s v="New Feature"/>
    <x v="0"/>
    <d v="2016-03-09T20:06:00"/>
    <x v="7"/>
    <x v="1"/>
    <x v="1"/>
    <n v="2"/>
    <m/>
    <n v="156.4"/>
    <n v="27.600000000000005"/>
  </r>
  <r>
    <s v="Backend - OM"/>
    <x v="2"/>
    <s v="Improvement"/>
    <s v="OM-419"/>
    <s v="Discontinue Products by Size not Product ID"/>
    <s v="Improvement"/>
    <x v="0"/>
    <d v="2016-02-17T14:31:00"/>
    <x v="11"/>
    <x v="1"/>
    <x v="20"/>
    <n v="5"/>
    <m/>
    <n v="127.5"/>
    <n v="22.500000000000004"/>
  </r>
  <r>
    <s v="Backend - OM"/>
    <x v="2"/>
    <s v="Improvement"/>
    <s v="OM-419"/>
    <s v="Discontinue Products by Size not Product ID"/>
    <s v="Improvement"/>
    <x v="0"/>
    <d v="2016-02-19T14:32:00"/>
    <x v="11"/>
    <x v="1"/>
    <x v="20"/>
    <n v="2.5"/>
    <m/>
    <n v="127.5"/>
    <n v="22.500000000000004"/>
  </r>
  <r>
    <s v="Backend - OM"/>
    <x v="2"/>
    <s v="Improvement"/>
    <s v="OM-419"/>
    <s v="Discontinue Products by Size not Product ID"/>
    <s v="Improvement"/>
    <x v="0"/>
    <d v="2016-02-19T17:24:00"/>
    <x v="11"/>
    <x v="1"/>
    <x v="33"/>
    <n v="6"/>
    <m/>
    <n v="127.5"/>
    <n v="22.500000000000004"/>
  </r>
  <r>
    <s v="Backend - OM"/>
    <x v="2"/>
    <s v="Improvement"/>
    <s v="OM-419"/>
    <s v="Discontinue Products by Size not Product ID"/>
    <s v="Improvement"/>
    <x v="0"/>
    <d v="2016-02-25T17:03:00"/>
    <x v="11"/>
    <x v="1"/>
    <x v="20"/>
    <n v="5"/>
    <m/>
    <n v="127.5"/>
    <n v="22.500000000000004"/>
  </r>
  <r>
    <s v="Backend - OM"/>
    <x v="2"/>
    <s v="Improvement"/>
    <s v="OM-419"/>
    <s v="Discontinue Products by Size not Product ID"/>
    <s v="Improvement"/>
    <x v="0"/>
    <d v="2016-03-01T15:13:00"/>
    <x v="7"/>
    <x v="1"/>
    <x v="33"/>
    <n v="2"/>
    <m/>
    <n v="156.4"/>
    <n v="27.600000000000005"/>
  </r>
  <r>
    <s v="Backend - OM"/>
    <x v="2"/>
    <s v="Improvement"/>
    <s v="OM-419"/>
    <s v="Discontinue Products by Size not Product ID"/>
    <s v="Improvement"/>
    <x v="0"/>
    <d v="2016-03-02T09:35:00"/>
    <x v="7"/>
    <x v="1"/>
    <x v="27"/>
    <n v="8"/>
    <m/>
    <n v="156.4"/>
    <n v="27.600000000000005"/>
  </r>
  <r>
    <s v="Backend - OM"/>
    <x v="2"/>
    <s v="Improvement"/>
    <s v="OM-419"/>
    <s v="Discontinue Products by Size not Product ID"/>
    <s v="Improvement"/>
    <x v="0"/>
    <d v="2016-03-02T12:19:00"/>
    <x v="7"/>
    <x v="1"/>
    <x v="33"/>
    <n v="1"/>
    <m/>
    <n v="156.4"/>
    <n v="27.600000000000005"/>
  </r>
  <r>
    <s v="Backend - OM"/>
    <x v="2"/>
    <s v="Improvement"/>
    <s v="OM-419"/>
    <s v="Discontinue Products by Size not Product ID"/>
    <s v="Improvement"/>
    <x v="0"/>
    <d v="2016-03-07T17:51:00"/>
    <x v="7"/>
    <x v="1"/>
    <x v="33"/>
    <n v="0.5"/>
    <m/>
    <n v="156.4"/>
    <n v="27.600000000000005"/>
  </r>
  <r>
    <s v="Backend - OM"/>
    <x v="2"/>
    <s v="Improvement"/>
    <s v="OM-419"/>
    <s v="Discontinue Products by Size not Product ID"/>
    <s v="Improvement"/>
    <x v="0"/>
    <d v="2016-03-08T12:21:00"/>
    <x v="7"/>
    <x v="1"/>
    <x v="27"/>
    <n v="32"/>
    <m/>
    <n v="156.4"/>
    <n v="27.600000000000005"/>
  </r>
  <r>
    <s v="Backend - OM"/>
    <x v="2"/>
    <s v="Improvement"/>
    <s v="OM-419"/>
    <s v="Discontinue Products by Size not Product ID"/>
    <s v="Improvement"/>
    <x v="0"/>
    <d v="2016-03-08T15:11:00"/>
    <x v="7"/>
    <x v="1"/>
    <x v="33"/>
    <n v="1.5"/>
    <m/>
    <n v="156.4"/>
    <n v="27.600000000000005"/>
  </r>
  <r>
    <s v="Backend - OM"/>
    <x v="1"/>
    <s v="Improvement"/>
    <s v="OM-419"/>
    <s v="Discontinue Products by Size not Product ID"/>
    <s v="Improvement"/>
    <x v="0"/>
    <d v="2016-03-08T18:35:00"/>
    <x v="7"/>
    <x v="1"/>
    <x v="23"/>
    <n v="8"/>
    <m/>
    <n v="156.4"/>
    <n v="27.600000000000005"/>
  </r>
  <r>
    <s v="Backend - OM"/>
    <x v="2"/>
    <s v="Improvement"/>
    <s v="OM-419"/>
    <s v="Discontinue Products by Size not Product ID"/>
    <s v="Improvement"/>
    <x v="0"/>
    <d v="2016-03-09T02:45:00"/>
    <x v="7"/>
    <x v="1"/>
    <x v="27"/>
    <n v="8"/>
    <m/>
    <n v="156.4"/>
    <n v="27.600000000000005"/>
  </r>
  <r>
    <s v="Backend - OM"/>
    <x v="2"/>
    <s v="Improvement"/>
    <s v="OM-419"/>
    <s v="Discontinue Products by Size not Product ID"/>
    <s v="Improvement"/>
    <x v="0"/>
    <d v="2016-03-09T18:19:00"/>
    <x v="7"/>
    <x v="1"/>
    <x v="33"/>
    <n v="1"/>
    <m/>
    <n v="156.4"/>
    <n v="27.600000000000005"/>
  </r>
  <r>
    <s v="Backend - OM"/>
    <x v="2"/>
    <s v="Improvement"/>
    <s v="OM-419"/>
    <s v="Discontinue Products by Size not Product ID"/>
    <s v="Improvement"/>
    <x v="0"/>
    <d v="2016-03-10T02:46:00"/>
    <x v="7"/>
    <x v="1"/>
    <x v="27"/>
    <n v="8"/>
    <m/>
    <n v="156.4"/>
    <n v="27.600000000000005"/>
  </r>
  <r>
    <s v="Backend - OM"/>
    <x v="2"/>
    <s v="Improvement"/>
    <s v="OM-419"/>
    <s v="Discontinue Products by Size not Product ID"/>
    <s v="Improvement"/>
    <x v="0"/>
    <d v="2016-03-11T06:46:00"/>
    <x v="7"/>
    <x v="1"/>
    <x v="27"/>
    <n v="4"/>
    <m/>
    <n v="156.4"/>
    <n v="27.600000000000005"/>
  </r>
  <r>
    <s v="Backend - OM"/>
    <x v="2"/>
    <s v="Improvement"/>
    <s v="OM-419"/>
    <s v="Discontinue Products by Size not Product ID"/>
    <s v="Improvement"/>
    <x v="0"/>
    <d v="2016-03-11T16:15:00"/>
    <x v="7"/>
    <x v="1"/>
    <x v="33"/>
    <n v="2"/>
    <m/>
    <n v="156.4"/>
    <n v="27.600000000000005"/>
  </r>
  <r>
    <s v="Backend - OM"/>
    <x v="2"/>
    <s v="Improvement"/>
    <s v="OM-419"/>
    <s v="Discontinue Products by Size not Product ID"/>
    <s v="Improvement"/>
    <x v="0"/>
    <d v="2016-03-11T18:04:00"/>
    <x v="7"/>
    <x v="1"/>
    <x v="33"/>
    <n v="2"/>
    <m/>
    <n v="156.4"/>
    <n v="27.600000000000005"/>
  </r>
  <r>
    <s v="Backend - OM"/>
    <x v="2"/>
    <s v="Improvement"/>
    <s v="OM-419"/>
    <s v="Discontinue Products by Size not Product ID"/>
    <s v="Improvement"/>
    <x v="0"/>
    <d v="2016-03-14T02:46:00"/>
    <x v="7"/>
    <x v="1"/>
    <x v="27"/>
    <n v="8"/>
    <m/>
    <n v="156.4"/>
    <n v="27.600000000000005"/>
  </r>
  <r>
    <s v="Backend - OM"/>
    <x v="2"/>
    <s v="Improvement"/>
    <s v="OM-419"/>
    <s v="Discontinue Products by Size not Product ID"/>
    <s v="Improvement"/>
    <x v="0"/>
    <d v="2016-03-15T06:46:00"/>
    <x v="7"/>
    <x v="1"/>
    <x v="27"/>
    <n v="4"/>
    <m/>
    <n v="156.4"/>
    <n v="27.600000000000005"/>
  </r>
  <r>
    <s v="Backend - OM"/>
    <x v="2"/>
    <s v="Improvement"/>
    <s v="OM-419"/>
    <s v="Discontinue Products by Size not Product ID"/>
    <s v="Improvement"/>
    <x v="0"/>
    <d v="2016-03-23T09:17:00"/>
    <x v="7"/>
    <x v="1"/>
    <x v="27"/>
    <n v="8"/>
    <m/>
    <n v="156.4"/>
    <n v="27.600000000000005"/>
  </r>
  <r>
    <s v="Backend - OM"/>
    <x v="1"/>
    <s v="Improvement"/>
    <s v="OM-419"/>
    <s v="Discontinue Products by Size not Product ID"/>
    <s v="Improvement"/>
    <x v="0"/>
    <d v="2016-03-23T18:32:00"/>
    <x v="7"/>
    <x v="1"/>
    <x v="23"/>
    <n v="8"/>
    <m/>
    <n v="156.4"/>
    <n v="27.600000000000005"/>
  </r>
  <r>
    <s v="Backend - OM"/>
    <x v="2"/>
    <s v="Improvement"/>
    <s v="OM-419"/>
    <s v="Discontinue Products by Size not Product ID"/>
    <s v="Improvement"/>
    <x v="0"/>
    <d v="2016-03-24T09:17:00"/>
    <x v="7"/>
    <x v="1"/>
    <x v="27"/>
    <n v="8"/>
    <m/>
    <n v="156.4"/>
    <n v="27.600000000000005"/>
  </r>
  <r>
    <s v="Backend - OM"/>
    <x v="2"/>
    <s v="Improvement"/>
    <s v="OM-419"/>
    <s v="Discontinue Products by Size not Product ID"/>
    <s v="Improvement"/>
    <x v="0"/>
    <d v="2016-03-24T14:59:00"/>
    <x v="7"/>
    <x v="1"/>
    <x v="33"/>
    <n v="3"/>
    <m/>
    <n v="156.4"/>
    <n v="27.600000000000005"/>
  </r>
  <r>
    <s v="Backend - OM"/>
    <x v="1"/>
    <s v="Improvement"/>
    <s v="OM-419"/>
    <s v="Discontinue Products by Size not Product ID"/>
    <s v="Improvement"/>
    <x v="0"/>
    <d v="2016-03-24T16:52:00"/>
    <x v="7"/>
    <x v="1"/>
    <x v="23"/>
    <n v="4"/>
    <m/>
    <n v="156.4"/>
    <n v="27.600000000000005"/>
  </r>
  <r>
    <s v="Backend - OM"/>
    <x v="2"/>
    <s v="Improvement"/>
    <s v="OM-419"/>
    <s v="Discontinue Products by Size not Product ID"/>
    <s v="Improvement"/>
    <x v="0"/>
    <d v="2016-03-25T09:18:00"/>
    <x v="7"/>
    <x v="1"/>
    <x v="27"/>
    <n v="8"/>
    <m/>
    <n v="156.4"/>
    <n v="27.600000000000005"/>
  </r>
  <r>
    <s v="Backend - OM"/>
    <x v="2"/>
    <s v="Improvement"/>
    <s v="OM-419"/>
    <s v="Discontinue Products by Size not Product ID"/>
    <s v="Improvement"/>
    <x v="0"/>
    <d v="2016-03-25T12:24:00"/>
    <x v="7"/>
    <x v="1"/>
    <x v="33"/>
    <n v="2"/>
    <m/>
    <n v="156.4"/>
    <n v="27.600000000000005"/>
  </r>
  <r>
    <s v="Backend - OM"/>
    <x v="2"/>
    <s v="Improvement"/>
    <s v="OM-419"/>
    <s v="Discontinue Products by Size not Product ID"/>
    <s v="Improvement"/>
    <x v="0"/>
    <d v="2016-03-28T17:25:00"/>
    <x v="7"/>
    <x v="1"/>
    <x v="33"/>
    <n v="2"/>
    <m/>
    <n v="156.4"/>
    <n v="27.600000000000005"/>
  </r>
  <r>
    <s v="Backend - OM"/>
    <x v="2"/>
    <s v="Improvement"/>
    <s v="OM-419"/>
    <s v="Discontinue Products by Size not Product ID"/>
    <s v="Improvement"/>
    <x v="0"/>
    <d v="2016-03-28T17:28:00"/>
    <x v="7"/>
    <x v="1"/>
    <x v="33"/>
    <n v="1"/>
    <m/>
    <n v="156.4"/>
    <n v="27.600000000000005"/>
  </r>
  <r>
    <s v="Backend - OM"/>
    <x v="2"/>
    <s v="Improvement"/>
    <s v="OM-419"/>
    <s v="Discontinue Products by Size not Product ID"/>
    <s v="Improvement"/>
    <x v="0"/>
    <d v="2016-03-29T04:06:00"/>
    <x v="7"/>
    <x v="1"/>
    <x v="27"/>
    <n v="8"/>
    <m/>
    <n v="156.4"/>
    <n v="27.600000000000005"/>
  </r>
  <r>
    <s v="Backend - OM"/>
    <x v="2"/>
    <s v="Improvement"/>
    <s v="OM-419"/>
    <s v="Discontinue Products by Size not Product ID"/>
    <s v="Improvement"/>
    <x v="0"/>
    <d v="2016-03-29T17:35:00"/>
    <x v="7"/>
    <x v="1"/>
    <x v="33"/>
    <n v="1"/>
    <m/>
    <n v="156.4"/>
    <n v="27.600000000000005"/>
  </r>
  <r>
    <s v="Backend - OM"/>
    <x v="1"/>
    <s v="Improvement"/>
    <s v="OM-419"/>
    <s v="Discontinue Products by Size not Product ID"/>
    <s v="Improvement"/>
    <x v="0"/>
    <d v="2016-03-30T18:03:00"/>
    <x v="7"/>
    <x v="1"/>
    <x v="23"/>
    <n v="3"/>
    <m/>
    <n v="156.4"/>
    <n v="27.600000000000005"/>
  </r>
  <r>
    <s v="Backend - OM"/>
    <x v="2"/>
    <s v="Improvement"/>
    <s v="OM-420"/>
    <s v="Italy Frame Only Order Status Update"/>
    <s v="Improvement"/>
    <x v="0"/>
    <d v="2016-02-22T11:10:00"/>
    <x v="11"/>
    <x v="1"/>
    <x v="33"/>
    <n v="1"/>
    <m/>
    <n v="127.5"/>
    <n v="22.500000000000004"/>
  </r>
  <r>
    <s v="Backend - OM"/>
    <x v="2"/>
    <s v="Improvement"/>
    <s v="OM-420"/>
    <s v="Italy Frame Only Order Status Update"/>
    <s v="Improvement"/>
    <x v="0"/>
    <d v="2016-02-23T12:09:00"/>
    <x v="11"/>
    <x v="1"/>
    <x v="20"/>
    <n v="3"/>
    <m/>
    <n v="127.5"/>
    <n v="22.500000000000004"/>
  </r>
  <r>
    <s v="Backend - OM"/>
    <x v="2"/>
    <s v="Improvement"/>
    <s v="OM-420"/>
    <s v="Italy Frame Only Order Status Update"/>
    <s v="Improvement"/>
    <x v="0"/>
    <d v="2016-02-24T12:08:00"/>
    <x v="11"/>
    <x v="1"/>
    <x v="20"/>
    <n v="3"/>
    <m/>
    <n v="127.5"/>
    <n v="22.500000000000004"/>
  </r>
  <r>
    <s v="Backend - OM"/>
    <x v="1"/>
    <s v="Improvement"/>
    <s v="OM-420"/>
    <s v="Italy Frame Only Order Status Update"/>
    <s v="Improvement"/>
    <x v="0"/>
    <d v="2016-03-01T18:04:00"/>
    <x v="7"/>
    <x v="1"/>
    <x v="8"/>
    <n v="3"/>
    <m/>
    <n v="156.4"/>
    <n v="27.600000000000005"/>
  </r>
  <r>
    <s v="Backend - OM"/>
    <x v="1"/>
    <s v="Improvement"/>
    <s v="OM-420"/>
    <s v="Italy Frame Only Order Status Update"/>
    <s v="Improvement"/>
    <x v="0"/>
    <d v="2016-03-02T11:49:00"/>
    <x v="7"/>
    <x v="1"/>
    <x v="8"/>
    <n v="3"/>
    <m/>
    <n v="156.4"/>
    <n v="27.600000000000005"/>
  </r>
  <r>
    <s v="Backend - OM"/>
    <x v="2"/>
    <s v="Improvement"/>
    <s v="OM-420"/>
    <s v="Italy Frame Only Order Status Update"/>
    <s v="Improvement"/>
    <x v="0"/>
    <d v="2016-03-03T12:11:00"/>
    <x v="7"/>
    <x v="1"/>
    <x v="20"/>
    <n v="1"/>
    <m/>
    <n v="156.4"/>
    <n v="27.600000000000005"/>
  </r>
  <r>
    <s v="Backend - OM"/>
    <x v="1"/>
    <s v="Improvement"/>
    <s v="OM-420"/>
    <s v="Italy Frame Only Order Status Update"/>
    <s v="Improvement"/>
    <x v="0"/>
    <d v="2016-03-08T15:19:00"/>
    <x v="7"/>
    <x v="1"/>
    <x v="8"/>
    <n v="2"/>
    <m/>
    <n v="156.4"/>
    <n v="27.600000000000005"/>
  </r>
  <r>
    <s v="Backend - OM"/>
    <x v="1"/>
    <s v="Improvement"/>
    <s v="OM-421"/>
    <s v="Sort the country list in OM in alphabetical order"/>
    <s v="Improvement"/>
    <x v="0"/>
    <d v="2016-02-02T12:37:00"/>
    <x v="11"/>
    <x v="1"/>
    <x v="8"/>
    <n v="1"/>
    <m/>
    <n v="127.5"/>
    <n v="22.500000000000004"/>
  </r>
  <r>
    <s v="Backend - OM"/>
    <x v="2"/>
    <s v="Bug"/>
    <s v="OM-422"/>
    <s v="Cannot save and deploy Autoresponder content"/>
    <s v="Bug"/>
    <x v="1"/>
    <d v="2016-02-02T17:37:00"/>
    <x v="11"/>
    <x v="1"/>
    <x v="27"/>
    <n v="4"/>
    <m/>
    <n v="127.5"/>
    <n v="22.500000000000004"/>
  </r>
  <r>
    <s v="Backend - OM"/>
    <x v="2"/>
    <s v="Bug"/>
    <s v="OM-422"/>
    <s v="Cannot save and deploy Autoresponder content"/>
    <s v="Bug"/>
    <x v="1"/>
    <d v="2016-02-03T11:43:00"/>
    <x v="11"/>
    <x v="1"/>
    <x v="27"/>
    <n v="2"/>
    <m/>
    <n v="127.5"/>
    <n v="22.500000000000004"/>
  </r>
  <r>
    <s v="Backend - OM"/>
    <x v="1"/>
    <s v="Bug"/>
    <s v="OM-422"/>
    <s v="Cannot save and deploy Autoresponder content"/>
    <s v="Bug"/>
    <x v="1"/>
    <d v="2016-02-04T15:31:00"/>
    <x v="11"/>
    <x v="1"/>
    <x v="30"/>
    <n v="2"/>
    <m/>
    <n v="127.5"/>
    <n v="22.500000000000004"/>
  </r>
  <r>
    <s v="Backend - OM"/>
    <x v="1"/>
    <s v="Bug"/>
    <s v="OM-422"/>
    <s v="Cannot save and deploy Autoresponder content"/>
    <s v="Bug"/>
    <x v="1"/>
    <d v="2016-02-04T17:24:00"/>
    <x v="11"/>
    <x v="1"/>
    <x v="30"/>
    <n v="1"/>
    <m/>
    <n v="127.5"/>
    <n v="22.500000000000004"/>
  </r>
  <r>
    <s v="Backend - OM"/>
    <x v="1"/>
    <s v="Bug"/>
    <s v="OM-422"/>
    <s v="Cannot save and deploy Autoresponder content"/>
    <s v="Bug"/>
    <x v="1"/>
    <d v="2016-02-04T17:45:00"/>
    <x v="11"/>
    <x v="1"/>
    <x v="30"/>
    <n v="0.5"/>
    <m/>
    <n v="127.5"/>
    <n v="22.500000000000004"/>
  </r>
  <r>
    <s v="Backend - OM"/>
    <x v="2"/>
    <s v="Improvement"/>
    <s v="OM-429"/>
    <s v="Contact Lens - AU PO &amp; Supplier Rule - WHPO &amp; JIT split (HK  &amp; AU)"/>
    <s v="Improvement"/>
    <x v="0"/>
    <d v="2016-02-25T19:00:00"/>
    <x v="11"/>
    <x v="1"/>
    <x v="9"/>
    <n v="3"/>
    <s v="tidy the code step"/>
    <n v="127.5"/>
    <n v="22.500000000000004"/>
  </r>
  <r>
    <s v="Backend - OM"/>
    <x v="2"/>
    <s v="Improvement"/>
    <s v="OM-429"/>
    <s v="Contact Lens - AU PO &amp; Supplier Rule - WHPO &amp; JIT split (HK  &amp; AU)"/>
    <s v="Improvement"/>
    <x v="0"/>
    <d v="2016-02-26T18:58:00"/>
    <x v="11"/>
    <x v="1"/>
    <x v="9"/>
    <n v="3"/>
    <s v="discuss the requirment"/>
    <n v="127.5"/>
    <n v="22.500000000000004"/>
  </r>
  <r>
    <s v="Backend - OM"/>
    <x v="2"/>
    <s v="Improvement"/>
    <s v="OM-429"/>
    <s v="Contact Lens - AU PO &amp; Supplier Rule - WHPO &amp; JIT split (HK  &amp; AU)"/>
    <s v="Improvement"/>
    <x v="0"/>
    <d v="2016-02-29T10:50:00"/>
    <x v="11"/>
    <x v="1"/>
    <x v="9"/>
    <n v="5"/>
    <s v="discuss the requirement and develop logic"/>
    <n v="127.5"/>
    <n v="22.500000000000004"/>
  </r>
  <r>
    <s v="Backend - OM"/>
    <x v="2"/>
    <s v="Improvement"/>
    <s v="OM-429"/>
    <s v="Contact Lens - AU PO &amp; Supplier Rule - WHPO &amp; JIT split (HK  &amp; AU)"/>
    <s v="Improvement"/>
    <x v="0"/>
    <d v="2016-02-29T17:41:00"/>
    <x v="11"/>
    <x v="1"/>
    <x v="33"/>
    <n v="6"/>
    <m/>
    <n v="127.5"/>
    <n v="22.500000000000004"/>
  </r>
  <r>
    <s v="Backend - OM"/>
    <x v="2"/>
    <s v="Improvement"/>
    <s v="OM-429"/>
    <s v="Contact Lens - AU PO &amp; Supplier Rule - WHPO &amp; JIT split (HK  &amp; AU)"/>
    <s v="Improvement"/>
    <x v="0"/>
    <d v="2016-03-01T18:53:00"/>
    <x v="7"/>
    <x v="1"/>
    <x v="9"/>
    <n v="0.5"/>
    <m/>
    <n v="156.4"/>
    <n v="27.600000000000005"/>
  </r>
  <r>
    <s v="Backend - OM"/>
    <x v="2"/>
    <s v="Improvement"/>
    <s v="OM-429"/>
    <s v="Contact Lens - AU PO &amp; Supplier Rule - WHPO &amp; JIT split (HK  &amp; AU)"/>
    <s v="Improvement"/>
    <x v="0"/>
    <d v="2016-03-04T18:25:00"/>
    <x v="7"/>
    <x v="1"/>
    <x v="9"/>
    <n v="1"/>
    <s v="discuss requirement"/>
    <n v="156.4"/>
    <n v="27.600000000000005"/>
  </r>
  <r>
    <s v="Backend - OM"/>
    <x v="2"/>
    <s v="Improvement"/>
    <s v="OM-429"/>
    <s v="Contact Lens - AU PO &amp; Supplier Rule - WHPO &amp; JIT split (HK  &amp; AU)"/>
    <s v="Improvement"/>
    <x v="0"/>
    <d v="2016-03-07T23:27:00"/>
    <x v="7"/>
    <x v="1"/>
    <x v="25"/>
    <n v="16"/>
    <s v="to log management working hours for entire March for Finance"/>
    <n v="156.4"/>
    <n v="27.600000000000005"/>
  </r>
  <r>
    <s v="Backend - OM"/>
    <x v="2"/>
    <s v="Task"/>
    <s v="OM-430"/>
    <s v="Update of Inventory Feed: Out-of-Stock items"/>
    <s v="Task"/>
    <x v="0"/>
    <d v="2016-03-10T18:10:00"/>
    <x v="7"/>
    <x v="1"/>
    <x v="33"/>
    <n v="1"/>
    <m/>
    <n v="156.4"/>
    <n v="27.600000000000005"/>
  </r>
  <r>
    <s v="Backend - OM"/>
    <x v="2"/>
    <s v="Task"/>
    <s v="OM-430"/>
    <s v="Update of Inventory Feed: Out-of-Stock items"/>
    <s v="Task"/>
    <x v="0"/>
    <d v="2016-03-11T18:04:00"/>
    <x v="7"/>
    <x v="1"/>
    <x v="33"/>
    <n v="1.5"/>
    <m/>
    <n v="156.4"/>
    <n v="27.600000000000005"/>
  </r>
  <r>
    <s v="Backend - OM"/>
    <x v="2"/>
    <s v="Task"/>
    <s v="OM-430"/>
    <s v="Update of Inventory Feed: Out-of-Stock items"/>
    <s v="Task"/>
    <x v="0"/>
    <d v="2016-03-14T16:52:00"/>
    <x v="7"/>
    <x v="1"/>
    <x v="33"/>
    <n v="2"/>
    <m/>
    <n v="156.4"/>
    <n v="27.600000000000005"/>
  </r>
  <r>
    <s v="Backend - OM"/>
    <x v="2"/>
    <s v="Bug"/>
    <s v="OM-431"/>
    <s v="ND0215798203G Order ID Null"/>
    <s v="Bug"/>
    <x v="1"/>
    <d v="2016-02-02T18:58:00"/>
    <x v="11"/>
    <x v="1"/>
    <x v="9"/>
    <n v="0.5"/>
    <m/>
    <n v="127.5"/>
    <n v="22.500000000000004"/>
  </r>
  <r>
    <s v="Backend - OM"/>
    <x v="2"/>
    <s v="Bug"/>
    <s v="OM-431"/>
    <s v="ND0215798203G Order ID Null"/>
    <s v="Bug"/>
    <x v="1"/>
    <d v="2016-02-03T15:14:00"/>
    <x v="11"/>
    <x v="1"/>
    <x v="9"/>
    <n v="2"/>
    <m/>
    <n v="127.5"/>
    <n v="22.500000000000004"/>
  </r>
  <r>
    <s v="Backend - OM"/>
    <x v="1"/>
    <s v="Bug"/>
    <s v="OM-431"/>
    <s v="ND0215798203G Order ID Null"/>
    <s v="Bug"/>
    <x v="1"/>
    <d v="2016-02-15T14:46:00"/>
    <x v="11"/>
    <x v="1"/>
    <x v="21"/>
    <n v="4"/>
    <m/>
    <n v="127.5"/>
    <n v="22.500000000000004"/>
  </r>
  <r>
    <s v="Backend - OM"/>
    <x v="1"/>
    <s v="Bug"/>
    <s v="OM-431"/>
    <s v="ND0215798203G Order ID Null"/>
    <s v="Bug"/>
    <x v="1"/>
    <d v="2016-02-16T11:41:00"/>
    <x v="11"/>
    <x v="1"/>
    <x v="21"/>
    <n v="3"/>
    <m/>
    <n v="127.5"/>
    <n v="22.500000000000004"/>
  </r>
  <r>
    <s v="Backend - OM"/>
    <x v="2"/>
    <s v="Bug"/>
    <s v="OM-433"/>
    <s v="No AR content - &quot;null&quot;"/>
    <s v="Bug"/>
    <x v="1"/>
    <d v="2016-02-22T15:45:00"/>
    <x v="11"/>
    <x v="1"/>
    <x v="9"/>
    <n v="1"/>
    <m/>
    <n v="127.5"/>
    <n v="22.500000000000004"/>
  </r>
  <r>
    <s v="Backend - OM"/>
    <x v="2"/>
    <s v="Bug"/>
    <s v="OM-433"/>
    <s v="No AR content - &quot;null&quot;"/>
    <s v="Bug"/>
    <x v="1"/>
    <d v="2016-02-23T18:06:00"/>
    <x v="11"/>
    <x v="1"/>
    <x v="27"/>
    <n v="2"/>
    <m/>
    <n v="127.5"/>
    <n v="22.500000000000004"/>
  </r>
  <r>
    <s v="Backend - OM"/>
    <x v="2"/>
    <s v="Bug"/>
    <s v="OM-434"/>
    <s v="Centralize content and fix broken images"/>
    <s v="Bug"/>
    <x v="1"/>
    <d v="2016-02-02T18:28:00"/>
    <x v="11"/>
    <x v="1"/>
    <x v="9"/>
    <n v="2.5"/>
    <m/>
    <n v="127.5"/>
    <n v="22.500000000000004"/>
  </r>
  <r>
    <s v="Backend - OM"/>
    <x v="2"/>
    <s v="Bug"/>
    <s v="OM-434"/>
    <s v="Centralize content and fix broken images"/>
    <s v="Bug"/>
    <x v="1"/>
    <d v="2016-02-03T12:36:00"/>
    <x v="11"/>
    <x v="1"/>
    <x v="9"/>
    <n v="0.5"/>
    <s v="support QA test"/>
    <n v="127.5"/>
    <n v="22.500000000000004"/>
  </r>
  <r>
    <s v="Backend - OM"/>
    <x v="1"/>
    <s v="Bug"/>
    <s v="OM-434"/>
    <s v="Centralize content and fix broken images"/>
    <s v="Bug"/>
    <x v="1"/>
    <d v="2016-02-03T15:15:00"/>
    <x v="11"/>
    <x v="1"/>
    <x v="21"/>
    <n v="3"/>
    <m/>
    <n v="127.5"/>
    <n v="22.500000000000004"/>
  </r>
  <r>
    <s v="Backend - OM"/>
    <x v="1"/>
    <s v="Bug"/>
    <s v="OM-436"/>
    <s v="Current contact lens reorder email is not sending to all countries"/>
    <s v="Bug"/>
    <x v="1"/>
    <d v="2016-02-25T18:47:00"/>
    <x v="11"/>
    <x v="1"/>
    <x v="21"/>
    <n v="4"/>
    <m/>
    <n v="127.5"/>
    <n v="22.500000000000004"/>
  </r>
  <r>
    <s v="Backend - OM"/>
    <x v="1"/>
    <s v="Bug"/>
    <s v="OM-436"/>
    <s v="Current contact lens reorder email is not sending to all countries"/>
    <s v="Bug"/>
    <x v="1"/>
    <d v="2016-02-25T18:48:00"/>
    <x v="11"/>
    <x v="1"/>
    <x v="21"/>
    <n v="2"/>
    <m/>
    <n v="127.5"/>
    <n v="22.500000000000004"/>
  </r>
  <r>
    <s v="Backend - OM"/>
    <x v="2"/>
    <s v="Bug"/>
    <s v="OM-436"/>
    <s v="Current contact lens reorder email is not sending to all countries"/>
    <s v="Bug"/>
    <x v="1"/>
    <d v="2016-02-25T19:05:00"/>
    <x v="11"/>
    <x v="1"/>
    <x v="9"/>
    <n v="1"/>
    <m/>
    <n v="127.5"/>
    <n v="22.500000000000004"/>
  </r>
  <r>
    <s v="Backend - OM"/>
    <x v="1"/>
    <s v="Bug"/>
    <s v="OM-436"/>
    <s v="Current contact lens reorder email is not sending to all countries"/>
    <s v="Bug"/>
    <x v="1"/>
    <d v="2016-02-29T12:29:00"/>
    <x v="11"/>
    <x v="1"/>
    <x v="21"/>
    <n v="1"/>
    <m/>
    <n v="127.5"/>
    <n v="22.500000000000004"/>
  </r>
  <r>
    <s v="Backend - OM"/>
    <x v="2"/>
    <s v="Bug"/>
    <s v="OM-438"/>
    <s v="change the email sentence content by onchange action"/>
    <s v="Bug"/>
    <x v="1"/>
    <d v="2016-02-23T17:41:00"/>
    <x v="11"/>
    <x v="1"/>
    <x v="27"/>
    <n v="2"/>
    <m/>
    <n v="127.5"/>
    <n v="22.500000000000004"/>
  </r>
  <r>
    <s v="Backend - OM"/>
    <x v="1"/>
    <s v="Bug"/>
    <s v="OM-438"/>
    <s v="change the email sentence content by onchange action"/>
    <s v="Bug"/>
    <x v="1"/>
    <d v="2016-02-26T10:48:00"/>
    <x v="11"/>
    <x v="1"/>
    <x v="21"/>
    <n v="2"/>
    <m/>
    <n v="127.5"/>
    <n v="22.500000000000004"/>
  </r>
  <r>
    <s v="Backend - OM"/>
    <x v="2"/>
    <s v="New Feature"/>
    <s v="OM-440"/>
    <s v="Reorder email for contact lens"/>
    <s v="New Feature"/>
    <x v="0"/>
    <d v="2016-02-24T18:35:00"/>
    <x v="11"/>
    <x v="1"/>
    <x v="9"/>
    <n v="1.5"/>
    <s v="discuss the requirement."/>
    <n v="127.5"/>
    <n v="22.500000000000004"/>
  </r>
  <r>
    <s v="Backend - OM"/>
    <x v="0"/>
    <s v="New Feature"/>
    <s v="OM-440"/>
    <s v="Reorder email for contact lens"/>
    <s v="New Feature"/>
    <x v="0"/>
    <d v="2016-02-26T10:31:00"/>
    <x v="11"/>
    <x v="1"/>
    <x v="24"/>
    <n v="2"/>
    <m/>
    <n v="75"/>
    <n v="75"/>
  </r>
  <r>
    <s v="Backend - OM"/>
    <x v="2"/>
    <s v="New Feature"/>
    <s v="OM-440"/>
    <s v="Reorder email for contact lens"/>
    <s v="New Feature"/>
    <x v="0"/>
    <d v="2016-02-26T18:57:00"/>
    <x v="11"/>
    <x v="1"/>
    <x v="9"/>
    <n v="1"/>
    <s v="discuss requirement"/>
    <n v="127.5"/>
    <n v="22.500000000000004"/>
  </r>
  <r>
    <s v="Backend - OM"/>
    <x v="2"/>
    <s v="New Feature"/>
    <s v="OM-440"/>
    <s v="Reorder email for contact lens"/>
    <s v="New Feature"/>
    <x v="0"/>
    <d v="2016-03-09T18:18:00"/>
    <x v="7"/>
    <x v="1"/>
    <x v="33"/>
    <n v="1.5"/>
    <m/>
    <n v="156.4"/>
    <n v="27.600000000000005"/>
  </r>
  <r>
    <s v="Backend - OM"/>
    <x v="2"/>
    <s v="New Feature"/>
    <s v="OM-440"/>
    <s v="Reorder email for contact lens"/>
    <s v="New Feature"/>
    <x v="0"/>
    <d v="2016-03-09T19:21:00"/>
    <x v="7"/>
    <x v="1"/>
    <x v="9"/>
    <n v="4"/>
    <m/>
    <n v="156.4"/>
    <n v="27.600000000000005"/>
  </r>
  <r>
    <s v="Backend - OM"/>
    <x v="2"/>
    <s v="New Feature"/>
    <s v="OM-440"/>
    <s v="Reorder email for contact lens"/>
    <s v="New Feature"/>
    <x v="0"/>
    <d v="2016-03-10T14:06:00"/>
    <x v="7"/>
    <x v="1"/>
    <x v="33"/>
    <n v="1"/>
    <m/>
    <n v="156.4"/>
    <n v="27.600000000000005"/>
  </r>
  <r>
    <s v="Backend - OM"/>
    <x v="2"/>
    <s v="New Feature"/>
    <s v="OM-440"/>
    <s v="Reorder email for contact lens"/>
    <s v="New Feature"/>
    <x v="0"/>
    <d v="2016-03-11T18:21:00"/>
    <x v="7"/>
    <x v="1"/>
    <x v="33"/>
    <n v="0.5"/>
    <m/>
    <n v="156.4"/>
    <n v="27.600000000000005"/>
  </r>
  <r>
    <s v="Backend - OM"/>
    <x v="2"/>
    <s v="New Feature"/>
    <s v="OM-440"/>
    <s v="Reorder email for contact lens"/>
    <s v="New Feature"/>
    <x v="0"/>
    <d v="2016-03-11T18:47:00"/>
    <x v="7"/>
    <x v="1"/>
    <x v="9"/>
    <n v="1"/>
    <m/>
    <n v="156.4"/>
    <n v="27.600000000000005"/>
  </r>
  <r>
    <s v="Backend - OM"/>
    <x v="2"/>
    <s v="New Feature"/>
    <s v="OM-440"/>
    <s v="Reorder email for contact lens"/>
    <s v="New Feature"/>
    <x v="0"/>
    <d v="2016-03-14T18:47:00"/>
    <x v="7"/>
    <x v="1"/>
    <x v="9"/>
    <n v="5"/>
    <m/>
    <n v="156.4"/>
    <n v="27.600000000000005"/>
  </r>
  <r>
    <s v="Backend - OM"/>
    <x v="2"/>
    <s v="New Feature"/>
    <s v="OM-440"/>
    <s v="Reorder email for contact lens"/>
    <s v="New Feature"/>
    <x v="0"/>
    <d v="2016-03-15T15:07:00"/>
    <x v="7"/>
    <x v="1"/>
    <x v="33"/>
    <n v="1"/>
    <m/>
    <n v="156.4"/>
    <n v="27.600000000000005"/>
  </r>
  <r>
    <s v="Backend - OM"/>
    <x v="2"/>
    <s v="New Feature"/>
    <s v="OM-440"/>
    <s v="Reorder email for contact lens"/>
    <s v="New Feature"/>
    <x v="0"/>
    <d v="2016-03-15T18:47:00"/>
    <x v="7"/>
    <x v="1"/>
    <x v="9"/>
    <n v="4"/>
    <m/>
    <n v="156.4"/>
    <n v="27.600000000000005"/>
  </r>
  <r>
    <s v="Backend - OM"/>
    <x v="2"/>
    <s v="New Feature"/>
    <s v="OM-440"/>
    <s v="Reorder email for contact lens"/>
    <s v="New Feature"/>
    <x v="0"/>
    <d v="2016-03-16T18:16:00"/>
    <x v="7"/>
    <x v="1"/>
    <x v="9"/>
    <n v="6"/>
    <s v="coding and test"/>
    <n v="156.4"/>
    <n v="27.600000000000005"/>
  </r>
  <r>
    <s v="Backend - OM"/>
    <x v="2"/>
    <s v="New Feature"/>
    <s v="OM-440"/>
    <s v="Reorder email for contact lens"/>
    <s v="New Feature"/>
    <x v="0"/>
    <d v="2016-03-17T10:23:00"/>
    <x v="7"/>
    <x v="1"/>
    <x v="9"/>
    <n v="0.5"/>
    <m/>
    <n v="156.4"/>
    <n v="27.600000000000005"/>
  </r>
  <r>
    <s v="Backend - OM"/>
    <x v="2"/>
    <s v="New Feature"/>
    <s v="OM-440"/>
    <s v="Reorder email for contact lens"/>
    <s v="New Feature"/>
    <x v="0"/>
    <d v="2016-03-29T18:34:00"/>
    <x v="7"/>
    <x v="1"/>
    <x v="9"/>
    <n v="0.5"/>
    <m/>
    <n v="156.4"/>
    <n v="27.600000000000005"/>
  </r>
  <r>
    <s v="Backend - OM"/>
    <x v="1"/>
    <s v="New Feature"/>
    <s v="OM-440"/>
    <s v="Reorder email for contact lens"/>
    <s v="New Feature"/>
    <x v="0"/>
    <d v="2016-03-30T18:27:00"/>
    <x v="7"/>
    <x v="1"/>
    <x v="21"/>
    <n v="3"/>
    <m/>
    <n v="156.4"/>
    <n v="27.600000000000005"/>
  </r>
  <r>
    <s v="Backend - OM"/>
    <x v="2"/>
    <s v="New Feature"/>
    <s v="OM-440"/>
    <s v="Reorder email for contact lens"/>
    <s v="New Feature"/>
    <x v="0"/>
    <d v="2016-03-30T18:37:00"/>
    <x v="7"/>
    <x v="1"/>
    <x v="9"/>
    <n v="3"/>
    <s v="support QA test"/>
    <n v="156.4"/>
    <n v="27.600000000000005"/>
  </r>
  <r>
    <s v="Backend - OM"/>
    <x v="2"/>
    <s v="New Feature"/>
    <s v="OM-440"/>
    <s v="Reorder email for contact lens"/>
    <s v="New Feature"/>
    <x v="0"/>
    <d v="2016-03-31T11:26:00"/>
    <x v="7"/>
    <x v="1"/>
    <x v="9"/>
    <n v="2"/>
    <s v="support test"/>
    <n v="156.4"/>
    <n v="27.600000000000005"/>
  </r>
  <r>
    <s v="Backend - OM"/>
    <x v="1"/>
    <s v="New Feature"/>
    <s v="OM-440"/>
    <s v="Reorder email for contact lens"/>
    <s v="New Feature"/>
    <x v="0"/>
    <d v="2016-03-31T12:23:00"/>
    <x v="7"/>
    <x v="1"/>
    <x v="21"/>
    <n v="3"/>
    <m/>
    <n v="156.4"/>
    <n v="27.600000000000005"/>
  </r>
  <r>
    <s v="Backend - OM"/>
    <x v="1"/>
    <s v="New Feature"/>
    <s v="OM-452"/>
    <s v="Health fund function on SBG for AU customer only"/>
    <s v="New Feature"/>
    <x v="0"/>
    <d v="2016-02-17T15:42:00"/>
    <x v="11"/>
    <x v="1"/>
    <x v="21"/>
    <n v="3"/>
    <m/>
    <n v="127.5"/>
    <n v="22.500000000000004"/>
  </r>
  <r>
    <s v="Backend - OM"/>
    <x v="1"/>
    <s v="New Feature"/>
    <s v="OM-452"/>
    <s v="Health fund function on SBG for AU customer only"/>
    <s v="New Feature"/>
    <x v="0"/>
    <d v="2016-02-19T10:43:00"/>
    <x v="11"/>
    <x v="1"/>
    <x v="21"/>
    <n v="2"/>
    <m/>
    <n v="127.5"/>
    <n v="22.500000000000004"/>
  </r>
  <r>
    <s v="Backend - OM"/>
    <x v="1"/>
    <s v="New Feature"/>
    <s v="OM-452"/>
    <s v="Health fund function on SBG for AU customer only"/>
    <s v="New Feature"/>
    <x v="0"/>
    <d v="2016-02-19T11:38:00"/>
    <x v="11"/>
    <x v="1"/>
    <x v="21"/>
    <n v="2"/>
    <m/>
    <n v="127.5"/>
    <n v="22.500000000000004"/>
  </r>
  <r>
    <s v="Backend - OM"/>
    <x v="1"/>
    <s v="New Feature"/>
    <s v="OM-452"/>
    <s v="Health fund function on SBG for AU customer only"/>
    <s v="New Feature"/>
    <x v="0"/>
    <d v="2016-02-22T17:18:00"/>
    <x v="11"/>
    <x v="1"/>
    <x v="21"/>
    <n v="2"/>
    <m/>
    <n v="127.5"/>
    <n v="22.500000000000004"/>
  </r>
  <r>
    <s v="Backend - OM"/>
    <x v="2"/>
    <s v="Improvement"/>
    <s v="OM-463"/>
    <s v="Project Management for Auto Responder"/>
    <s v="Improvement"/>
    <x v="0"/>
    <d v="2016-02-17T23:18:00"/>
    <x v="11"/>
    <x v="1"/>
    <x v="25"/>
    <n v="24"/>
    <m/>
    <n v="127.5"/>
    <n v="22.500000000000004"/>
  </r>
  <r>
    <s v="Backend - OM"/>
    <x v="2"/>
    <s v="Improvement"/>
    <s v="OM-463"/>
    <s v="Project Management for Auto Responder"/>
    <s v="Improvement"/>
    <x v="0"/>
    <d v="2016-03-07T23:25:00"/>
    <x v="7"/>
    <x v="1"/>
    <x v="25"/>
    <n v="16"/>
    <m/>
    <n v="156.4"/>
    <n v="27.600000000000005"/>
  </r>
  <r>
    <s v="Backend - OM"/>
    <x v="2"/>
    <s v="Improvement"/>
    <s v="OM-469"/>
    <s v="Exception Rule for Payment Reminder"/>
    <s v="Improvement"/>
    <x v="0"/>
    <d v="2016-02-23T11:32:00"/>
    <x v="11"/>
    <x v="1"/>
    <x v="9"/>
    <n v="1"/>
    <m/>
    <n v="127.5"/>
    <n v="22.500000000000004"/>
  </r>
  <r>
    <s v="Backend - OM"/>
    <x v="2"/>
    <s v="Improvement"/>
    <s v="OM-469"/>
    <s v="Exception Rule for Payment Reminder"/>
    <s v="Improvement"/>
    <x v="0"/>
    <d v="2016-02-24T14:51:00"/>
    <x v="11"/>
    <x v="1"/>
    <x v="9"/>
    <n v="1"/>
    <m/>
    <n v="127.5"/>
    <n v="22.500000000000004"/>
  </r>
  <r>
    <s v="Backend - OM"/>
    <x v="2"/>
    <s v="Improvement"/>
    <s v="OM-469"/>
    <s v="Exception Rule for Payment Reminder"/>
    <s v="Improvement"/>
    <x v="0"/>
    <d v="2016-03-03T18:41:00"/>
    <x v="7"/>
    <x v="1"/>
    <x v="9"/>
    <n v="0.5"/>
    <s v="support QA test"/>
    <n v="156.4"/>
    <n v="27.600000000000005"/>
  </r>
  <r>
    <s v="Backend - OM"/>
    <x v="2"/>
    <s v="Improvement"/>
    <s v="OM-471"/>
    <s v="Prevent duplicate Preparing for Delivery email"/>
    <s v="Improvement"/>
    <x v="0"/>
    <d v="2016-02-23T18:13:00"/>
    <x v="11"/>
    <x v="1"/>
    <x v="9"/>
    <n v="2.5"/>
    <m/>
    <n v="127.5"/>
    <n v="22.500000000000004"/>
  </r>
  <r>
    <s v="Backend - OM"/>
    <x v="1"/>
    <s v="Improvement"/>
    <s v="OM-471"/>
    <s v="Prevent duplicate Preparing for Delivery email"/>
    <s v="Improvement"/>
    <x v="0"/>
    <d v="2016-02-29T16:57:00"/>
    <x v="11"/>
    <x v="1"/>
    <x v="8"/>
    <n v="4"/>
    <m/>
    <n v="127.5"/>
    <n v="22.500000000000004"/>
  </r>
  <r>
    <s v="Backend - OM"/>
    <x v="1"/>
    <s v="Improvement"/>
    <s v="OM-471"/>
    <s v="Prevent duplicate Preparing for Delivery email"/>
    <s v="Improvement"/>
    <x v="0"/>
    <d v="2016-03-01T17:16:00"/>
    <x v="7"/>
    <x v="1"/>
    <x v="8"/>
    <n v="3"/>
    <m/>
    <n v="156.4"/>
    <n v="27.600000000000005"/>
  </r>
  <r>
    <s v="Backend - OM"/>
    <x v="2"/>
    <s v="Improvement"/>
    <s v="OM-472"/>
    <s v="Order Confirmation content needs to be dynamic"/>
    <s v="Improvement"/>
    <x v="0"/>
    <d v="2016-02-23T16:21:00"/>
    <x v="11"/>
    <x v="1"/>
    <x v="9"/>
    <n v="3"/>
    <m/>
    <n v="127.5"/>
    <n v="22.500000000000004"/>
  </r>
  <r>
    <s v="Backend - OM"/>
    <x v="1"/>
    <s v="Improvement"/>
    <s v="OM-472"/>
    <s v="Order Confirmation content needs to be dynamic"/>
    <s v="Improvement"/>
    <x v="0"/>
    <d v="2016-02-26T13:05:00"/>
    <x v="11"/>
    <x v="1"/>
    <x v="21"/>
    <n v="3"/>
    <m/>
    <n v="127.5"/>
    <n v="22.500000000000004"/>
  </r>
  <r>
    <s v="Backend - OM"/>
    <x v="1"/>
    <s v="Improvement"/>
    <s v="OM-472"/>
    <s v="Order Confirmation content needs to be dynamic"/>
    <s v="Improvement"/>
    <x v="0"/>
    <d v="2016-02-26T15:00:00"/>
    <x v="11"/>
    <x v="1"/>
    <x v="21"/>
    <n v="3"/>
    <m/>
    <n v="127.5"/>
    <n v="22.500000000000004"/>
  </r>
  <r>
    <s v="Backend - OM"/>
    <x v="2"/>
    <s v="Improvement"/>
    <s v="OM-473"/>
    <s v="Update Delayed AR for new 3-4 week brands"/>
    <s v="Improvement"/>
    <x v="0"/>
    <d v="2016-02-24T12:44:00"/>
    <x v="11"/>
    <x v="1"/>
    <x v="9"/>
    <n v="2"/>
    <m/>
    <n v="127.5"/>
    <n v="22.500000000000004"/>
  </r>
  <r>
    <s v="Backend - OM"/>
    <x v="1"/>
    <s v="Improvement"/>
    <s v="OM-473"/>
    <s v="Update Delayed AR for new 3-4 week brands"/>
    <s v="Improvement"/>
    <x v="0"/>
    <d v="2016-02-24T15:46:00"/>
    <x v="11"/>
    <x v="1"/>
    <x v="21"/>
    <n v="3"/>
    <m/>
    <n v="127.5"/>
    <n v="22.500000000000004"/>
  </r>
  <r>
    <s v="Backend - OM"/>
    <x v="2"/>
    <s v="Improvement"/>
    <s v="OM-473"/>
    <s v="Update Delayed AR for new 3-4 week brands"/>
    <s v="Improvement"/>
    <x v="0"/>
    <d v="2016-02-26T18:57:00"/>
    <x v="11"/>
    <x v="1"/>
    <x v="9"/>
    <n v="2"/>
    <m/>
    <n v="127.5"/>
    <n v="22.500000000000004"/>
  </r>
  <r>
    <s v="Backend - OM"/>
    <x v="2"/>
    <s v="Improvement"/>
    <s v="OM-473"/>
    <s v="Update Delayed AR for new 3-4 week brands"/>
    <s v="Improvement"/>
    <x v="0"/>
    <d v="2016-02-29T10:53:00"/>
    <x v="11"/>
    <x v="1"/>
    <x v="9"/>
    <n v="2.5"/>
    <s v="support QA test"/>
    <n v="127.5"/>
    <n v="22.500000000000004"/>
  </r>
  <r>
    <s v="Backend - OM"/>
    <x v="2"/>
    <s v="Improvement"/>
    <s v="OM-474"/>
    <s v="Remove quantity for Contact Lens description"/>
    <s v="Improvement"/>
    <x v="0"/>
    <d v="2016-02-23T14:19:00"/>
    <x v="11"/>
    <x v="1"/>
    <x v="27"/>
    <n v="4"/>
    <m/>
    <n v="127.5"/>
    <n v="22.500000000000004"/>
  </r>
  <r>
    <s v="Backend - OM"/>
    <x v="1"/>
    <s v="Improvement"/>
    <s v="OM-474"/>
    <s v="Remove quantity for Contact Lens description"/>
    <s v="Improvement"/>
    <x v="0"/>
    <d v="2016-02-29T12:29:00"/>
    <x v="11"/>
    <x v="1"/>
    <x v="21"/>
    <n v="8"/>
    <m/>
    <n v="127.5"/>
    <n v="22.500000000000004"/>
  </r>
  <r>
    <s v="Backend - OM"/>
    <x v="1"/>
    <s v="Improvement"/>
    <s v="OM-474"/>
    <s v="Remove quantity for Contact Lens description"/>
    <s v="Improvement"/>
    <x v="0"/>
    <d v="2016-03-01T16:37:00"/>
    <x v="7"/>
    <x v="1"/>
    <x v="21"/>
    <n v="3"/>
    <m/>
    <n v="156.4"/>
    <n v="27.600000000000005"/>
  </r>
  <r>
    <s v="Backend - OM"/>
    <x v="2"/>
    <s v="Improvement"/>
    <s v="OM-475"/>
    <s v="Courier link for DPEX does not work"/>
    <s v="Improvement"/>
    <x v="0"/>
    <d v="2016-02-03T12:37:00"/>
    <x v="11"/>
    <x v="1"/>
    <x v="9"/>
    <n v="0.5"/>
    <m/>
    <n v="127.5"/>
    <n v="22.500000000000004"/>
  </r>
  <r>
    <s v="Backend - OM"/>
    <x v="1"/>
    <s v="Improvement"/>
    <s v="OM-475"/>
    <s v="Courier link for DPEX does not work"/>
    <s v="Improvement"/>
    <x v="0"/>
    <d v="2016-02-03T15:14:00"/>
    <x v="11"/>
    <x v="1"/>
    <x v="21"/>
    <n v="3"/>
    <m/>
    <n v="127.5"/>
    <n v="22.500000000000004"/>
  </r>
  <r>
    <s v="Backend - OM"/>
    <x v="2"/>
    <s v="Bug"/>
    <s v="OM-524"/>
    <s v="Stock in OM is not equal to that in SCAN"/>
    <s v="Bug"/>
    <x v="1"/>
    <d v="2016-02-02T19:00:00"/>
    <x v="11"/>
    <x v="1"/>
    <x v="9"/>
    <n v="2"/>
    <m/>
    <n v="127.5"/>
    <n v="22.500000000000004"/>
  </r>
  <r>
    <s v="Backend - OM"/>
    <x v="2"/>
    <s v="Bug"/>
    <s v="OM-644"/>
    <s v="Please change to shipped"/>
    <s v="Bug"/>
    <x v="1"/>
    <d v="2016-02-04T12:21:00"/>
    <x v="11"/>
    <x v="1"/>
    <x v="25"/>
    <n v="1"/>
    <s v="All orders have been fixed. Please check."/>
    <n v="127.5"/>
    <n v="22.500000000000004"/>
  </r>
  <r>
    <s v="Backend - OM"/>
    <x v="2"/>
    <s v="Improvement"/>
    <s v="OM-660"/>
    <s v="failed to received those AU orders which missing UPC in scanning system"/>
    <s v="Improvement"/>
    <x v="0"/>
    <d v="2016-02-22T15:44:00"/>
    <x v="11"/>
    <x v="1"/>
    <x v="9"/>
    <n v="0.5"/>
    <m/>
    <n v="127.5"/>
    <n v="22.500000000000004"/>
  </r>
  <r>
    <s v="Backend - OM"/>
    <x v="2"/>
    <s v="Improvement"/>
    <s v="OM-660"/>
    <s v="failed to received those AU orders which missing UPC in scanning system"/>
    <s v="Improvement"/>
    <x v="0"/>
    <d v="2016-02-24T10:49:00"/>
    <x v="11"/>
    <x v="1"/>
    <x v="20"/>
    <n v="3"/>
    <m/>
    <n v="127.5"/>
    <n v="22.500000000000004"/>
  </r>
  <r>
    <s v="Backend - OM"/>
    <x v="2"/>
    <s v="Improvement"/>
    <s v="OM-660"/>
    <s v="failed to received those AU orders which missing UPC in scanning system"/>
    <s v="Improvement"/>
    <x v="0"/>
    <d v="2016-02-26T16:46:00"/>
    <x v="11"/>
    <x v="1"/>
    <x v="20"/>
    <n v="3"/>
    <m/>
    <n v="127.5"/>
    <n v="22.500000000000004"/>
  </r>
  <r>
    <s v="Backend - OM"/>
    <x v="2"/>
    <s v="Improvement"/>
    <s v="OM-660"/>
    <s v="failed to received those AU orders which missing UPC in scanning system"/>
    <s v="Improvement"/>
    <x v="0"/>
    <d v="2016-03-03T18:01:00"/>
    <x v="7"/>
    <x v="1"/>
    <x v="20"/>
    <n v="0.5"/>
    <m/>
    <n v="156.4"/>
    <n v="27.600000000000005"/>
  </r>
  <r>
    <s v="Backend - OM"/>
    <x v="2"/>
    <s v="Improvement"/>
    <s v="OM-660"/>
    <s v="failed to received those AU orders which missing UPC in scanning system"/>
    <s v="Improvement"/>
    <x v="0"/>
    <d v="2016-03-03T18:26:00"/>
    <x v="7"/>
    <x v="1"/>
    <x v="9"/>
    <n v="0.5"/>
    <s v="support QA test"/>
    <n v="156.4"/>
    <n v="27.600000000000005"/>
  </r>
  <r>
    <s v="Backend - OM"/>
    <x v="1"/>
    <s v="Improvement"/>
    <s v="OM-660"/>
    <s v="failed to received those AU orders which missing UPC in scanning system"/>
    <s v="Improvement"/>
    <x v="0"/>
    <d v="2016-03-04T16:35:00"/>
    <x v="7"/>
    <x v="1"/>
    <x v="8"/>
    <n v="2"/>
    <m/>
    <n v="156.4"/>
    <n v="27.600000000000005"/>
  </r>
  <r>
    <s v="Backend - OM"/>
    <x v="2"/>
    <s v="Bug"/>
    <s v="OM-756"/>
    <s v="Cannot make RMA for US0250621806GM"/>
    <s v="Bug"/>
    <x v="1"/>
    <d v="2016-03-15T18:39:00"/>
    <x v="7"/>
    <x v="1"/>
    <x v="20"/>
    <n v="2"/>
    <m/>
    <n v="156.4"/>
    <n v="27.600000000000005"/>
  </r>
  <r>
    <s v="Backend - OM"/>
    <x v="2"/>
    <s v="Bug"/>
    <s v="OM-756"/>
    <s v="Cannot make RMA for US0250621806GM"/>
    <s v="Bug"/>
    <x v="1"/>
    <d v="2016-03-22T15:12:00"/>
    <x v="7"/>
    <x v="1"/>
    <x v="20"/>
    <n v="1"/>
    <m/>
    <n v="156.4"/>
    <n v="27.600000000000005"/>
  </r>
  <r>
    <s v="Backend - OM"/>
    <x v="2"/>
    <s v="Improvement"/>
    <s v="OM-828"/>
    <s v="Refund of Wait to be verified order can not show in the refund list"/>
    <s v="Improvement"/>
    <x v="0"/>
    <d v="2016-02-22T16:49:00"/>
    <x v="11"/>
    <x v="1"/>
    <x v="20"/>
    <n v="8"/>
    <m/>
    <n v="127.5"/>
    <n v="22.500000000000004"/>
  </r>
  <r>
    <s v="Backend - OM"/>
    <x v="1"/>
    <s v="Bug"/>
    <s v="OM-881"/>
    <s v="Order edit page &quot;Grand Total &quot; is incorrect"/>
    <s v="Bug"/>
    <x v="1"/>
    <d v="2016-02-02T15:29:00"/>
    <x v="11"/>
    <x v="1"/>
    <x v="23"/>
    <n v="1"/>
    <m/>
    <n v="127.5"/>
    <n v="22.500000000000004"/>
  </r>
  <r>
    <s v="Backend - OM"/>
    <x v="2"/>
    <s v="Bug"/>
    <s v="OM-897"/>
    <s v="[AR] Missing Address 2 and Currency"/>
    <s v="Bug"/>
    <x v="1"/>
    <d v="2016-03-07T15:45:00"/>
    <x v="7"/>
    <x v="1"/>
    <x v="9"/>
    <n v="1.5"/>
    <m/>
    <n v="156.4"/>
    <n v="27.600000000000005"/>
  </r>
  <r>
    <s v="Backend - OM"/>
    <x v="1"/>
    <s v="Bug"/>
    <s v="OM-897"/>
    <s v="[AR] Missing Address 2 and Currency"/>
    <s v="Bug"/>
    <x v="1"/>
    <d v="2016-03-09T15:16:00"/>
    <x v="7"/>
    <x v="1"/>
    <x v="30"/>
    <n v="3"/>
    <m/>
    <n v="156.4"/>
    <n v="27.600000000000005"/>
  </r>
  <r>
    <s v="Backend - OM"/>
    <x v="1"/>
    <s v="Bug"/>
    <s v="OM-897"/>
    <s v="[AR] Missing Address 2 and Currency"/>
    <s v="Bug"/>
    <x v="1"/>
    <d v="2016-03-10T17:27:00"/>
    <x v="7"/>
    <x v="1"/>
    <x v="30"/>
    <n v="1"/>
    <m/>
    <n v="156.4"/>
    <n v="27.600000000000005"/>
  </r>
  <r>
    <s v="Backend - OM"/>
    <x v="2"/>
    <s v="Improvement"/>
    <s v="OM-908"/>
    <s v="Refund amount is not correct due to order cancellation"/>
    <s v="Improvement"/>
    <x v="0"/>
    <d v="2016-03-18T09:41:00"/>
    <x v="7"/>
    <x v="1"/>
    <x v="20"/>
    <n v="8"/>
    <m/>
    <n v="156.4"/>
    <n v="27.600000000000005"/>
  </r>
  <r>
    <s v="Backend - OM"/>
    <x v="1"/>
    <s v="Improvement"/>
    <s v="OM-908"/>
    <s v="Refund amount is not correct due to order cancellation"/>
    <s v="Improvement"/>
    <x v="0"/>
    <d v="2016-03-22T17:59:00"/>
    <x v="7"/>
    <x v="1"/>
    <x v="8"/>
    <n v="3"/>
    <m/>
    <n v="156.4"/>
    <n v="27.600000000000005"/>
  </r>
  <r>
    <s v="Backend - OM"/>
    <x v="1"/>
    <s v="Improvement"/>
    <s v="OM-908"/>
    <s v="Refund amount is not correct due to order cancellation"/>
    <s v="Improvement"/>
    <x v="0"/>
    <d v="2016-03-28T18:01:00"/>
    <x v="7"/>
    <x v="1"/>
    <x v="8"/>
    <n v="3"/>
    <m/>
    <n v="156.4"/>
    <n v="27.600000000000005"/>
  </r>
  <r>
    <s v="Backend - OM"/>
    <x v="2"/>
    <s v="Bug"/>
    <s v="OM-912"/>
    <s v="TrustPilot + Freshdesk integration broken"/>
    <s v="Bug"/>
    <x v="1"/>
    <d v="2016-02-02T18:59:00"/>
    <x v="11"/>
    <x v="1"/>
    <x v="9"/>
    <n v="1.5"/>
    <m/>
    <n v="127.5"/>
    <n v="22.500000000000004"/>
  </r>
  <r>
    <s v="Backend - OM"/>
    <x v="2"/>
    <s v="Bug"/>
    <s v="OM-912"/>
    <s v="TrustPilot + Freshdesk integration broken"/>
    <s v="Bug"/>
    <x v="1"/>
    <d v="2016-02-03T18:12:00"/>
    <x v="11"/>
    <x v="1"/>
    <x v="9"/>
    <n v="2"/>
    <m/>
    <n v="127.5"/>
    <n v="22.500000000000004"/>
  </r>
  <r>
    <s v="Backend - OM"/>
    <x v="2"/>
    <s v="Bug"/>
    <s v="OM-912"/>
    <s v="TrustPilot + Freshdesk integration broken"/>
    <s v="Bug"/>
    <x v="1"/>
    <d v="2016-02-04T12:51:00"/>
    <x v="11"/>
    <x v="1"/>
    <x v="9"/>
    <n v="2"/>
    <m/>
    <n v="127.5"/>
    <n v="22.500000000000004"/>
  </r>
  <r>
    <s v="Backend - OM"/>
    <x v="1"/>
    <s v="Bug"/>
    <s v="OM-912"/>
    <s v="TrustPilot + Freshdesk integration broken"/>
    <s v="Bug"/>
    <x v="1"/>
    <d v="2016-02-04T17:19:00"/>
    <x v="11"/>
    <x v="1"/>
    <x v="8"/>
    <n v="2"/>
    <m/>
    <n v="127.5"/>
    <n v="22.500000000000004"/>
  </r>
  <r>
    <s v="Backend - OM"/>
    <x v="1"/>
    <s v="Bug"/>
    <s v="OM-912"/>
    <s v="TrustPilot + Freshdesk integration broken"/>
    <s v="Bug"/>
    <x v="1"/>
    <d v="2016-02-16T14:19:00"/>
    <x v="11"/>
    <x v="1"/>
    <x v="8"/>
    <n v="0.5"/>
    <m/>
    <n v="127.5"/>
    <n v="22.500000000000004"/>
  </r>
  <r>
    <s v="Backend - OM"/>
    <x v="2"/>
    <s v="Bug"/>
    <s v="OM-977"/>
    <s v="OM Products &gt; WHHK Inventory &gt; Export File missing Contact Lenses"/>
    <s v="Bug"/>
    <x v="1"/>
    <d v="2016-02-01T19:35:00"/>
    <x v="11"/>
    <x v="1"/>
    <x v="9"/>
    <n v="3"/>
    <m/>
    <n v="127.5"/>
    <n v="22.500000000000004"/>
  </r>
  <r>
    <s v="Backend - OM"/>
    <x v="1"/>
    <s v="Bug"/>
    <s v="OM-977"/>
    <s v="OM Products &gt; WHHK Inventory &gt; Export File missing Contact Lenses"/>
    <s v="Bug"/>
    <x v="1"/>
    <d v="2016-02-01T19:40:00"/>
    <x v="11"/>
    <x v="1"/>
    <x v="8"/>
    <n v="3"/>
    <m/>
    <n v="127.5"/>
    <n v="22.500000000000004"/>
  </r>
  <r>
    <s v="Backend - OM"/>
    <x v="1"/>
    <s v="Bug"/>
    <s v="OM-977"/>
    <s v="OM Products &gt; WHHK Inventory &gt; Export File missing Contact Lenses"/>
    <s v="Bug"/>
    <x v="1"/>
    <d v="2016-02-02T12:38:00"/>
    <x v="11"/>
    <x v="1"/>
    <x v="8"/>
    <n v="1"/>
    <m/>
    <n v="127.5"/>
    <n v="22.500000000000004"/>
  </r>
  <r>
    <s v="Backend - OM"/>
    <x v="2"/>
    <s v="Bug"/>
    <s v="OM-1039"/>
    <s v="&quot;Fraud Cancellation / Repay via PayPal&quot; refund should be mark to &quot;Wait for full refund&quot;"/>
    <s v="Bug"/>
    <x v="1"/>
    <d v="2016-03-14T09:54:00"/>
    <x v="7"/>
    <x v="1"/>
    <x v="20"/>
    <n v="1"/>
    <m/>
    <n v="156.4"/>
    <n v="27.600000000000005"/>
  </r>
  <r>
    <s v="Backend - OM"/>
    <x v="2"/>
    <s v="Bug"/>
    <s v="OM-1039"/>
    <s v="&quot;Fraud Cancellation / Repay via PayPal&quot; refund should be mark to &quot;Wait for full refund&quot;"/>
    <s v="Bug"/>
    <x v="1"/>
    <d v="2016-03-15T18:35:00"/>
    <x v="7"/>
    <x v="1"/>
    <x v="20"/>
    <n v="4"/>
    <m/>
    <n v="156.4"/>
    <n v="27.600000000000005"/>
  </r>
  <r>
    <s v="Backend - OM"/>
    <x v="2"/>
    <s v="Bug"/>
    <s v="OM-1057"/>
    <s v="the amount in payment reminder is not the same with OM"/>
    <s v="Bug"/>
    <x v="1"/>
    <d v="2016-02-16T14:34:00"/>
    <x v="11"/>
    <x v="1"/>
    <x v="20"/>
    <n v="3"/>
    <m/>
    <n v="127.5"/>
    <n v="22.500000000000004"/>
  </r>
  <r>
    <s v="Backend - OM"/>
    <x v="2"/>
    <s v="Bug"/>
    <s v="OM-1057"/>
    <s v="the amount in payment reminder is not the same with OM"/>
    <s v="Bug"/>
    <x v="1"/>
    <d v="2016-02-29T14:35:00"/>
    <x v="11"/>
    <x v="1"/>
    <x v="20"/>
    <n v="8"/>
    <m/>
    <n v="127.5"/>
    <n v="22.500000000000004"/>
  </r>
  <r>
    <s v="Backend - OM"/>
    <x v="2"/>
    <s v="Improvement"/>
    <s v="OM-1121"/>
    <s v="Daily Supply Chain / Warehouse Issues"/>
    <s v="Improvement"/>
    <x v="0"/>
    <d v="2016-02-03T12:36:00"/>
    <x v="11"/>
    <x v="1"/>
    <x v="9"/>
    <n v="1"/>
    <m/>
    <n v="127.5"/>
    <n v="22.500000000000004"/>
  </r>
  <r>
    <s v="Backend - OM"/>
    <x v="3"/>
    <s v="Improvement"/>
    <s v="OM-1121"/>
    <s v="Daily Supply Chain / Warehouse Issues"/>
    <s v="Improvement"/>
    <x v="0"/>
    <d v="2016-02-03T16:29:00"/>
    <x v="11"/>
    <x v="1"/>
    <x v="28"/>
    <n v="1"/>
    <m/>
    <n v="75"/>
    <n v="75"/>
  </r>
  <r>
    <s v="Backend - OM"/>
    <x v="2"/>
    <s v="Improvement"/>
    <s v="OM-1121"/>
    <s v="Daily Supply Chain / Warehouse Issues"/>
    <s v="Improvement"/>
    <x v="0"/>
    <d v="2016-02-16T19:49:00"/>
    <x v="11"/>
    <x v="1"/>
    <x v="20"/>
    <n v="5"/>
    <m/>
    <n v="127.5"/>
    <n v="22.500000000000004"/>
  </r>
  <r>
    <s v="Backend - OM"/>
    <x v="2"/>
    <s v="Improvement"/>
    <s v="OM-1121"/>
    <s v="Daily Supply Chain / Warehouse Issues"/>
    <s v="Improvement"/>
    <x v="0"/>
    <d v="2016-02-17T19:49:00"/>
    <x v="11"/>
    <x v="1"/>
    <x v="20"/>
    <n v="2"/>
    <m/>
    <n v="127.5"/>
    <n v="22.500000000000004"/>
  </r>
  <r>
    <s v="Backend - OM"/>
    <x v="2"/>
    <s v="Improvement"/>
    <s v="OM-1121"/>
    <s v="Daily Supply Chain / Warehouse Issues"/>
    <s v="Improvement"/>
    <x v="0"/>
    <d v="2016-02-19T10:51:00"/>
    <x v="11"/>
    <x v="1"/>
    <x v="20"/>
    <n v="3"/>
    <m/>
    <n v="127.5"/>
    <n v="22.500000000000004"/>
  </r>
  <r>
    <s v="Backend - OM"/>
    <x v="2"/>
    <s v="Improvement"/>
    <s v="OM-1121"/>
    <s v="Daily Supply Chain / Warehouse Issues"/>
    <s v="Improvement"/>
    <x v="0"/>
    <d v="2016-02-23T14:29:00"/>
    <x v="11"/>
    <x v="1"/>
    <x v="20"/>
    <n v="2"/>
    <m/>
    <n v="127.5"/>
    <n v="22.500000000000004"/>
  </r>
  <r>
    <s v="Backend - OM"/>
    <x v="2"/>
    <s v="Improvement"/>
    <s v="OM-1121"/>
    <s v="Daily Supply Chain / Warehouse Issues"/>
    <s v="Improvement"/>
    <x v="0"/>
    <d v="2016-02-24T12:00:00"/>
    <x v="11"/>
    <x v="1"/>
    <x v="9"/>
    <n v="2.5"/>
    <m/>
    <n v="127.5"/>
    <n v="22.500000000000004"/>
  </r>
  <r>
    <s v="Backend - OM"/>
    <x v="2"/>
    <s v="Improvement"/>
    <s v="OM-1121"/>
    <s v="Daily Supply Chain / Warehouse Issues"/>
    <s v="Improvement"/>
    <x v="0"/>
    <d v="2016-02-25T14:29:00"/>
    <x v="11"/>
    <x v="1"/>
    <x v="20"/>
    <n v="2"/>
    <m/>
    <n v="127.5"/>
    <n v="22.500000000000004"/>
  </r>
  <r>
    <s v="Backend - OM"/>
    <x v="2"/>
    <s v="Improvement"/>
    <s v="OM-1121"/>
    <s v="Daily Supply Chain / Warehouse Issues"/>
    <s v="Improvement"/>
    <x v="0"/>
    <d v="2016-02-25T17:44:00"/>
    <x v="11"/>
    <x v="1"/>
    <x v="20"/>
    <n v="1"/>
    <m/>
    <n v="127.5"/>
    <n v="22.500000000000004"/>
  </r>
  <r>
    <s v="Backend - OM"/>
    <x v="2"/>
    <s v="Improvement"/>
    <s v="OM-1121"/>
    <s v="Daily Supply Chain / Warehouse Issues"/>
    <s v="Improvement"/>
    <x v="0"/>
    <d v="2016-02-26T18:14:00"/>
    <x v="11"/>
    <x v="1"/>
    <x v="20"/>
    <n v="1"/>
    <m/>
    <n v="127.5"/>
    <n v="22.500000000000004"/>
  </r>
  <r>
    <s v="Backend - OM"/>
    <x v="2"/>
    <s v="Improvement"/>
    <s v="OM-1121"/>
    <s v="Daily Supply Chain / Warehouse Issues"/>
    <s v="Improvement"/>
    <x v="0"/>
    <d v="2016-03-01T10:09:00"/>
    <x v="7"/>
    <x v="1"/>
    <x v="20"/>
    <n v="1"/>
    <m/>
    <n v="156.4"/>
    <n v="27.600000000000005"/>
  </r>
  <r>
    <s v="Backend - OM"/>
    <x v="2"/>
    <s v="Improvement"/>
    <s v="OM-1121"/>
    <s v="Daily Supply Chain / Warehouse Issues"/>
    <s v="Improvement"/>
    <x v="0"/>
    <d v="2016-03-03T18:47:00"/>
    <x v="7"/>
    <x v="1"/>
    <x v="20"/>
    <n v="2"/>
    <m/>
    <n v="156.4"/>
    <n v="27.600000000000005"/>
  </r>
  <r>
    <s v="Backend - OM"/>
    <x v="2"/>
    <s v="Improvement"/>
    <s v="OM-1121"/>
    <s v="Daily Supply Chain / Warehouse Issues"/>
    <s v="Improvement"/>
    <x v="0"/>
    <d v="2016-03-07T16:44:00"/>
    <x v="7"/>
    <x v="1"/>
    <x v="20"/>
    <n v="2"/>
    <m/>
    <n v="156.4"/>
    <n v="27.600000000000005"/>
  </r>
  <r>
    <s v="Backend - OM"/>
    <x v="2"/>
    <s v="Improvement"/>
    <s v="OM-1121"/>
    <s v="Daily Supply Chain / Warehouse Issues"/>
    <s v="Improvement"/>
    <x v="0"/>
    <d v="2016-03-11T16:33:00"/>
    <x v="7"/>
    <x v="1"/>
    <x v="20"/>
    <n v="5"/>
    <m/>
    <n v="156.4"/>
    <n v="27.600000000000005"/>
  </r>
  <r>
    <s v="Backend - OM"/>
    <x v="2"/>
    <s v="Improvement"/>
    <s v="OM-1121"/>
    <s v="Daily Supply Chain / Warehouse Issues"/>
    <s v="Improvement"/>
    <x v="0"/>
    <d v="2016-03-14T09:54:00"/>
    <x v="7"/>
    <x v="1"/>
    <x v="20"/>
    <n v="4"/>
    <m/>
    <n v="156.4"/>
    <n v="27.600000000000005"/>
  </r>
  <r>
    <s v="Backend - OM"/>
    <x v="2"/>
    <s v="Improvement"/>
    <s v="OM-1121"/>
    <s v="Daily Supply Chain / Warehouse Issues"/>
    <s v="Improvement"/>
    <x v="0"/>
    <d v="2016-03-15T18:39:00"/>
    <x v="7"/>
    <x v="1"/>
    <x v="20"/>
    <n v="2"/>
    <m/>
    <n v="156.4"/>
    <n v="27.600000000000005"/>
  </r>
  <r>
    <s v="Backend - OM"/>
    <x v="2"/>
    <s v="Improvement"/>
    <s v="OM-1121"/>
    <s v="Daily Supply Chain / Warehouse Issues"/>
    <s v="Improvement"/>
    <x v="0"/>
    <d v="2016-03-16T09:53:00"/>
    <x v="7"/>
    <x v="1"/>
    <x v="20"/>
    <n v="3"/>
    <m/>
    <n v="156.4"/>
    <n v="27.600000000000005"/>
  </r>
  <r>
    <s v="Backend - OM"/>
    <x v="2"/>
    <s v="Improvement"/>
    <s v="OM-1121"/>
    <s v="Daily Supply Chain / Warehouse Issues"/>
    <s v="Improvement"/>
    <x v="0"/>
    <d v="2016-03-21T18:34:00"/>
    <x v="7"/>
    <x v="1"/>
    <x v="20"/>
    <n v="3"/>
    <m/>
    <n v="156.4"/>
    <n v="27.600000000000005"/>
  </r>
  <r>
    <s v="Backend - OM"/>
    <x v="2"/>
    <s v="Improvement"/>
    <s v="OM-1121"/>
    <s v="Daily Supply Chain / Warehouse Issues"/>
    <s v="Improvement"/>
    <x v="0"/>
    <d v="2016-03-22T15:12:00"/>
    <x v="7"/>
    <x v="1"/>
    <x v="20"/>
    <n v="3"/>
    <m/>
    <n v="156.4"/>
    <n v="27.600000000000005"/>
  </r>
  <r>
    <s v="Backend - OM"/>
    <x v="2"/>
    <s v="Improvement"/>
    <s v="OM-1121"/>
    <s v="Daily Supply Chain / Warehouse Issues"/>
    <s v="Improvement"/>
    <x v="0"/>
    <d v="2016-03-23T18:26:00"/>
    <x v="7"/>
    <x v="1"/>
    <x v="20"/>
    <n v="3"/>
    <m/>
    <n v="156.4"/>
    <n v="27.600000000000005"/>
  </r>
  <r>
    <s v="Backend - OM"/>
    <x v="2"/>
    <s v="Improvement"/>
    <s v="OM-1121"/>
    <s v="Daily Supply Chain / Warehouse Issues"/>
    <s v="Improvement"/>
    <x v="0"/>
    <d v="2016-03-24T18:26:00"/>
    <x v="7"/>
    <x v="1"/>
    <x v="20"/>
    <n v="3"/>
    <m/>
    <n v="156.4"/>
    <n v="27.600000000000005"/>
  </r>
  <r>
    <s v="Backend - OM"/>
    <x v="2"/>
    <s v="Improvement"/>
    <s v="OM-1121"/>
    <s v="Daily Supply Chain / Warehouse Issues"/>
    <s v="Improvement"/>
    <x v="0"/>
    <d v="2016-03-25T14:40:00"/>
    <x v="7"/>
    <x v="1"/>
    <x v="20"/>
    <n v="3"/>
    <m/>
    <n v="156.4"/>
    <n v="27.600000000000005"/>
  </r>
  <r>
    <s v="Backend - OM"/>
    <x v="2"/>
    <s v="Bug"/>
    <s v="OM-1152"/>
    <s v="Please cancel the giftcard refund for order VD0215594003GV"/>
    <s v="Bug"/>
    <x v="1"/>
    <d v="2016-02-22T15:44:00"/>
    <x v="11"/>
    <x v="1"/>
    <x v="9"/>
    <n v="1"/>
    <m/>
    <n v="127.5"/>
    <n v="22.500000000000004"/>
  </r>
  <r>
    <s v="Backend - OM"/>
    <x v="2"/>
    <s v="Bug"/>
    <s v="OM-1260"/>
    <s v="Synchronization Feature - Broken"/>
    <s v="Bug"/>
    <x v="1"/>
    <d v="2016-02-25T17:03:00"/>
    <x v="11"/>
    <x v="1"/>
    <x v="2"/>
    <n v="7"/>
    <m/>
    <n v="127.5"/>
    <n v="22.500000000000004"/>
  </r>
  <r>
    <s v="Backend - OM"/>
    <x v="1"/>
    <s v="Bug"/>
    <s v="OM-1260"/>
    <s v="Synchronization Feature - Broken"/>
    <s v="Bug"/>
    <x v="1"/>
    <d v="2016-03-09T15:06:00"/>
    <x v="7"/>
    <x v="1"/>
    <x v="8"/>
    <n v="2"/>
    <m/>
    <n v="156.4"/>
    <n v="27.600000000000005"/>
  </r>
  <r>
    <s v="Backend - OM"/>
    <x v="2"/>
    <s v="Bug"/>
    <s v="OM-1260"/>
    <s v="Synchronization Feature - Broken"/>
    <s v="Bug"/>
    <x v="1"/>
    <d v="2016-03-10T13:39:00"/>
    <x v="7"/>
    <x v="1"/>
    <x v="2"/>
    <n v="3"/>
    <m/>
    <n v="156.4"/>
    <n v="27.600000000000005"/>
  </r>
  <r>
    <s v="Backend - OM"/>
    <x v="1"/>
    <s v="Bug"/>
    <s v="OM-1260"/>
    <s v="Synchronization Feature - Broken"/>
    <s v="Bug"/>
    <x v="1"/>
    <d v="2016-03-11T18:16:00"/>
    <x v="7"/>
    <x v="1"/>
    <x v="8"/>
    <n v="2"/>
    <m/>
    <n v="156.4"/>
    <n v="27.600000000000005"/>
  </r>
  <r>
    <s v="Backend - OM"/>
    <x v="1"/>
    <s v="Bug"/>
    <s v="OM-1260"/>
    <s v="Synchronization Feature - Broken"/>
    <s v="Bug"/>
    <x v="1"/>
    <d v="2016-03-15T18:24:00"/>
    <x v="7"/>
    <x v="1"/>
    <x v="8"/>
    <n v="2"/>
    <m/>
    <n v="156.4"/>
    <n v="27.600000000000005"/>
  </r>
  <r>
    <s v="Backend - OM"/>
    <x v="2"/>
    <s v="Technical task"/>
    <s v="OM-1294"/>
    <s v="OM-600&gt; Always Show Operator in History Log"/>
    <s v="Technical task"/>
    <x v="0"/>
    <d v="2016-02-19T14:11:00"/>
    <x v="11"/>
    <x v="1"/>
    <x v="27"/>
    <n v="8"/>
    <m/>
    <n v="127.5"/>
    <n v="22.500000000000004"/>
  </r>
  <r>
    <s v="Backend - OM"/>
    <x v="2"/>
    <s v="Improvement"/>
    <s v="OM-1314"/>
    <s v="Improvement on Lab Scan &amp; Lab allocation project"/>
    <s v="Improvement"/>
    <x v="0"/>
    <d v="2016-02-01T11:35:00"/>
    <x v="11"/>
    <x v="1"/>
    <x v="16"/>
    <n v="8"/>
    <m/>
    <n v="127.5"/>
    <n v="22.500000000000004"/>
  </r>
  <r>
    <s v="Backend - OM"/>
    <x v="2"/>
    <s v="Improvement"/>
    <s v="OM-1314"/>
    <s v="Improvement on Lab Scan &amp; Lab allocation project"/>
    <s v="Improvement"/>
    <x v="0"/>
    <d v="2016-02-02T11:35:00"/>
    <x v="11"/>
    <x v="1"/>
    <x v="16"/>
    <n v="8"/>
    <m/>
    <n v="127.5"/>
    <n v="22.500000000000004"/>
  </r>
  <r>
    <s v="Backend - OM"/>
    <x v="2"/>
    <s v="Improvement"/>
    <s v="OM-1314"/>
    <s v="Improvement on Lab Scan &amp; Lab allocation project"/>
    <s v="Improvement"/>
    <x v="0"/>
    <d v="2016-02-03T11:35:00"/>
    <x v="11"/>
    <x v="1"/>
    <x v="16"/>
    <n v="4"/>
    <m/>
    <n v="127.5"/>
    <n v="22.500000000000004"/>
  </r>
  <r>
    <s v="Backend - OM"/>
    <x v="1"/>
    <s v="Improvement"/>
    <s v="OM-1314"/>
    <s v="Improvement on Lab Scan &amp; Lab allocation project"/>
    <s v="Improvement"/>
    <x v="0"/>
    <d v="2016-02-03T18:44:00"/>
    <x v="11"/>
    <x v="1"/>
    <x v="8"/>
    <n v="1"/>
    <m/>
    <n v="127.5"/>
    <n v="22.500000000000004"/>
  </r>
  <r>
    <s v="Backend - OM"/>
    <x v="1"/>
    <s v="Improvement"/>
    <s v="OM-1314"/>
    <s v="Improvement on Lab Scan &amp; Lab allocation project"/>
    <s v="Improvement"/>
    <x v="0"/>
    <d v="2016-02-04T17:19:00"/>
    <x v="11"/>
    <x v="1"/>
    <x v="8"/>
    <n v="0.5"/>
    <m/>
    <n v="127.5"/>
    <n v="22.500000000000004"/>
  </r>
  <r>
    <s v="Backend - OM"/>
    <x v="1"/>
    <s v="Improvement"/>
    <s v="OM-1314"/>
    <s v="Improvement on Lab Scan &amp; Lab allocation project"/>
    <s v="Improvement"/>
    <x v="0"/>
    <d v="2016-02-05T16:57:00"/>
    <x v="11"/>
    <x v="1"/>
    <x v="8"/>
    <n v="4"/>
    <m/>
    <n v="127.5"/>
    <n v="22.500000000000004"/>
  </r>
  <r>
    <s v="Backend - OM"/>
    <x v="1"/>
    <s v="Improvement"/>
    <s v="OM-1314"/>
    <s v="Improvement on Lab Scan &amp; Lab allocation project"/>
    <s v="Improvement"/>
    <x v="0"/>
    <d v="2016-02-06T14:38:00"/>
    <x v="11"/>
    <x v="1"/>
    <x v="8"/>
    <n v="1"/>
    <m/>
    <n v="127.5"/>
    <n v="22.500000000000004"/>
  </r>
  <r>
    <s v="Backend - OM"/>
    <x v="1"/>
    <s v="Improvement"/>
    <s v="OM-1314"/>
    <s v="Improvement on Lab Scan &amp; Lab allocation project"/>
    <s v="Improvement"/>
    <x v="0"/>
    <d v="2016-02-15T15:19:00"/>
    <x v="11"/>
    <x v="1"/>
    <x v="8"/>
    <n v="1"/>
    <m/>
    <n v="127.5"/>
    <n v="22.500000000000004"/>
  </r>
  <r>
    <s v="Backend - OM"/>
    <x v="1"/>
    <s v="Improvement"/>
    <s v="OM-1314"/>
    <s v="Improvement on Lab Scan &amp; Lab allocation project"/>
    <s v="Improvement"/>
    <x v="0"/>
    <d v="2016-02-16T18:24:00"/>
    <x v="11"/>
    <x v="1"/>
    <x v="8"/>
    <n v="1"/>
    <m/>
    <n v="127.5"/>
    <n v="22.500000000000004"/>
  </r>
  <r>
    <s v="Backend - OM"/>
    <x v="2"/>
    <s v="New Feature"/>
    <s v="OM-1331"/>
    <s v="Return Bulk Confirmation"/>
    <s v="New Feature"/>
    <x v="0"/>
    <d v="2016-02-23T11:11:00"/>
    <x v="11"/>
    <x v="1"/>
    <x v="33"/>
    <n v="5"/>
    <m/>
    <n v="127.5"/>
    <n v="22.500000000000004"/>
  </r>
  <r>
    <s v="Backend - OM"/>
    <x v="2"/>
    <s v="New Feature"/>
    <s v="OM-1331"/>
    <s v="Return Bulk Confirmation"/>
    <s v="New Feature"/>
    <x v="0"/>
    <d v="2016-02-24T14:05:00"/>
    <x v="11"/>
    <x v="1"/>
    <x v="33"/>
    <n v="2"/>
    <m/>
    <n v="127.5"/>
    <n v="22.500000000000004"/>
  </r>
  <r>
    <s v="Backend - OM"/>
    <x v="2"/>
    <s v="New Feature"/>
    <s v="OM-1331"/>
    <s v="Return Bulk Confirmation"/>
    <s v="New Feature"/>
    <x v="0"/>
    <d v="2016-02-25T11:26:00"/>
    <x v="11"/>
    <x v="1"/>
    <x v="33"/>
    <n v="3"/>
    <m/>
    <n v="127.5"/>
    <n v="22.500000000000004"/>
  </r>
  <r>
    <s v="Backend - OM"/>
    <x v="2"/>
    <s v="New Feature"/>
    <s v="OM-1331"/>
    <s v="Return Bulk Confirmation"/>
    <s v="New Feature"/>
    <x v="0"/>
    <d v="2016-03-08T18:25:00"/>
    <x v="7"/>
    <x v="1"/>
    <x v="33"/>
    <n v="0.5"/>
    <m/>
    <n v="156.4"/>
    <n v="27.600000000000005"/>
  </r>
  <r>
    <s v="Backend - OM"/>
    <x v="2"/>
    <s v="New Feature"/>
    <s v="OM-1331"/>
    <s v="Return Bulk Confirmation"/>
    <s v="New Feature"/>
    <x v="0"/>
    <d v="2016-03-11T10:44:00"/>
    <x v="7"/>
    <x v="1"/>
    <x v="27"/>
    <n v="4"/>
    <m/>
    <n v="156.4"/>
    <n v="27.600000000000005"/>
  </r>
  <r>
    <s v="Backend - OM"/>
    <x v="2"/>
    <s v="New Feature"/>
    <s v="OM-1331"/>
    <s v="Return Bulk Confirmation"/>
    <s v="New Feature"/>
    <x v="0"/>
    <d v="2016-03-16T01:48:00"/>
    <x v="7"/>
    <x v="1"/>
    <x v="27"/>
    <n v="8"/>
    <m/>
    <n v="156.4"/>
    <n v="27.600000000000005"/>
  </r>
  <r>
    <s v="Backend - OM"/>
    <x v="2"/>
    <s v="New Feature"/>
    <s v="OM-1331"/>
    <s v="Return Bulk Confirmation"/>
    <s v="New Feature"/>
    <x v="0"/>
    <d v="2016-03-17T08:55:00"/>
    <x v="7"/>
    <x v="1"/>
    <x v="27"/>
    <n v="8"/>
    <m/>
    <n v="156.4"/>
    <n v="27.600000000000005"/>
  </r>
  <r>
    <s v="Backend - OM"/>
    <x v="2"/>
    <s v="New Feature"/>
    <s v="OM-1331"/>
    <s v="Return Bulk Confirmation"/>
    <s v="New Feature"/>
    <x v="0"/>
    <d v="2016-03-18T08:54:00"/>
    <x v="7"/>
    <x v="1"/>
    <x v="27"/>
    <n v="8"/>
    <m/>
    <n v="156.4"/>
    <n v="27.600000000000005"/>
  </r>
  <r>
    <s v="Backend - OM"/>
    <x v="2"/>
    <s v="New Feature"/>
    <s v="OM-1331"/>
    <s v="Return Bulk Confirmation"/>
    <s v="New Feature"/>
    <x v="0"/>
    <d v="2016-03-21T08:54:00"/>
    <x v="7"/>
    <x v="1"/>
    <x v="27"/>
    <n v="8"/>
    <m/>
    <n v="156.4"/>
    <n v="27.600000000000005"/>
  </r>
  <r>
    <s v="Backend - OM"/>
    <x v="2"/>
    <s v="New Feature"/>
    <s v="OM-1331"/>
    <s v="Return Bulk Confirmation"/>
    <s v="New Feature"/>
    <x v="0"/>
    <d v="2016-03-22T12:54:00"/>
    <x v="7"/>
    <x v="1"/>
    <x v="27"/>
    <n v="4"/>
    <m/>
    <n v="156.4"/>
    <n v="27.600000000000005"/>
  </r>
  <r>
    <s v="Backend - OM"/>
    <x v="2"/>
    <s v="New Feature"/>
    <s v="OM-1331"/>
    <s v="Return Bulk Confirmation"/>
    <s v="New Feature"/>
    <x v="0"/>
    <d v="2016-03-25T12:23:00"/>
    <x v="7"/>
    <x v="1"/>
    <x v="33"/>
    <n v="1.5"/>
    <m/>
    <n v="156.4"/>
    <n v="27.600000000000005"/>
  </r>
  <r>
    <s v="Backend - OM"/>
    <x v="2"/>
    <s v="New Feature"/>
    <s v="OM-1331"/>
    <s v="Return Bulk Confirmation"/>
    <s v="New Feature"/>
    <x v="0"/>
    <d v="2016-03-28T09:16:00"/>
    <x v="7"/>
    <x v="1"/>
    <x v="27"/>
    <n v="8"/>
    <m/>
    <n v="156.4"/>
    <n v="27.600000000000005"/>
  </r>
  <r>
    <s v="Backend - OM"/>
    <x v="2"/>
    <s v="New Feature"/>
    <s v="OM-1331"/>
    <s v="Return Bulk Confirmation"/>
    <s v="New Feature"/>
    <x v="0"/>
    <d v="2016-03-28T17:26:00"/>
    <x v="7"/>
    <x v="1"/>
    <x v="33"/>
    <n v="2"/>
    <m/>
    <n v="156.4"/>
    <n v="27.600000000000005"/>
  </r>
  <r>
    <s v="Backend - OM"/>
    <x v="2"/>
    <s v="New Feature"/>
    <s v="OM-1331"/>
    <s v="Return Bulk Confirmation"/>
    <s v="New Feature"/>
    <x v="0"/>
    <d v="2016-03-29T17:35:00"/>
    <x v="7"/>
    <x v="1"/>
    <x v="33"/>
    <n v="1"/>
    <m/>
    <n v="156.4"/>
    <n v="27.600000000000005"/>
  </r>
  <r>
    <s v="Backend - OM"/>
    <x v="2"/>
    <s v="New Feature"/>
    <s v="OM-1331"/>
    <s v="Return Bulk Confirmation"/>
    <s v="New Feature"/>
    <x v="0"/>
    <d v="2016-03-30T04:07:00"/>
    <x v="7"/>
    <x v="1"/>
    <x v="27"/>
    <n v="8"/>
    <m/>
    <n v="156.4"/>
    <n v="27.600000000000005"/>
  </r>
  <r>
    <s v="Backend - OM"/>
    <x v="2"/>
    <s v="New Feature"/>
    <s v="OM-1331"/>
    <s v="Return Bulk Confirmation"/>
    <s v="New Feature"/>
    <x v="0"/>
    <d v="2016-03-30T12:14:00"/>
    <x v="7"/>
    <x v="1"/>
    <x v="33"/>
    <n v="1.5"/>
    <m/>
    <n v="156.4"/>
    <n v="27.600000000000005"/>
  </r>
  <r>
    <s v="Backend - OM"/>
    <x v="2"/>
    <s v="New Feature"/>
    <s v="OM-1331"/>
    <s v="Return Bulk Confirmation"/>
    <s v="New Feature"/>
    <x v="0"/>
    <d v="2016-03-31T04:07:00"/>
    <x v="7"/>
    <x v="1"/>
    <x v="27"/>
    <n v="8"/>
    <m/>
    <n v="156.4"/>
    <n v="27.600000000000005"/>
  </r>
  <r>
    <s v="Backend - OM"/>
    <x v="2"/>
    <s v="New Feature"/>
    <s v="OM-1331"/>
    <s v="Return Bulk Confirmation"/>
    <s v="New Feature"/>
    <x v="0"/>
    <d v="2016-03-31T16:48:00"/>
    <x v="7"/>
    <x v="1"/>
    <x v="33"/>
    <n v="0.5"/>
    <m/>
    <n v="156.4"/>
    <n v="27.600000000000005"/>
  </r>
  <r>
    <s v="Backend - OM"/>
    <x v="2"/>
    <s v="Task"/>
    <s v="OM-1388"/>
    <s v="Square and Pilot change to Wayfarer and Aviator"/>
    <s v="Task"/>
    <x v="0"/>
    <d v="2016-03-02T21:30:00"/>
    <x v="7"/>
    <x v="1"/>
    <x v="29"/>
    <n v="3"/>
    <m/>
    <n v="156.4"/>
    <n v="27.600000000000005"/>
  </r>
  <r>
    <s v="Backend - OM"/>
    <x v="2"/>
    <s v="Task"/>
    <s v="OM-1396"/>
    <s v="Update tracking# for ''shipped'' manifest in OM"/>
    <s v="Task"/>
    <x v="0"/>
    <d v="2016-02-18T11:27:00"/>
    <x v="11"/>
    <x v="1"/>
    <x v="20"/>
    <n v="3"/>
    <m/>
    <n v="127.5"/>
    <n v="22.500000000000004"/>
  </r>
  <r>
    <s v="Backend - OM"/>
    <x v="2"/>
    <s v="Task"/>
    <s v="OM-1396"/>
    <s v="Update tracking# for ''shipped'' manifest in OM"/>
    <s v="Task"/>
    <x v="0"/>
    <d v="2016-02-19T18:11:00"/>
    <x v="11"/>
    <x v="1"/>
    <x v="20"/>
    <n v="2"/>
    <m/>
    <n v="127.5"/>
    <n v="22.500000000000004"/>
  </r>
  <r>
    <s v="Backend - OM"/>
    <x v="2"/>
    <s v="Task"/>
    <s v="OM-1425"/>
    <s v="change the mail address CustomerService@motionglobal.com for avoiding spam"/>
    <s v="Task"/>
    <x v="0"/>
    <d v="2016-02-03T18:58:00"/>
    <x v="11"/>
    <x v="1"/>
    <x v="9"/>
    <n v="1"/>
    <m/>
    <n v="127.5"/>
    <n v="22.500000000000004"/>
  </r>
  <r>
    <s v="Backend - OM"/>
    <x v="2"/>
    <s v="Improvement"/>
    <s v="OM-1458"/>
    <s v="Data Crawl Improvement"/>
    <s v="Improvement"/>
    <x v="0"/>
    <d v="2016-02-15T10:20:00"/>
    <x v="11"/>
    <x v="1"/>
    <x v="16"/>
    <n v="5"/>
    <m/>
    <n v="127.5"/>
    <n v="22.500000000000004"/>
  </r>
  <r>
    <s v="Backend - OM"/>
    <x v="2"/>
    <s v="Improvement"/>
    <s v="OM-1458"/>
    <s v="Data Crawl Improvement"/>
    <s v="Improvement"/>
    <x v="0"/>
    <d v="2016-02-16T10:20:00"/>
    <x v="11"/>
    <x v="1"/>
    <x v="16"/>
    <n v="8"/>
    <m/>
    <n v="127.5"/>
    <n v="22.500000000000004"/>
  </r>
  <r>
    <s v="Backend - OM"/>
    <x v="2"/>
    <s v="Improvement"/>
    <s v="OM-1458"/>
    <s v="Data Crawl Improvement"/>
    <s v="Improvement"/>
    <x v="0"/>
    <d v="2016-02-16T14:32:00"/>
    <x v="11"/>
    <x v="1"/>
    <x v="33"/>
    <n v="3"/>
    <m/>
    <n v="127.5"/>
    <n v="22.500000000000004"/>
  </r>
  <r>
    <s v="Backend - OM"/>
    <x v="2"/>
    <s v="Improvement"/>
    <s v="OM-1458"/>
    <s v="Data Crawl Improvement"/>
    <s v="Improvement"/>
    <x v="0"/>
    <d v="2016-02-17T10:20:00"/>
    <x v="11"/>
    <x v="1"/>
    <x v="16"/>
    <n v="8"/>
    <m/>
    <n v="127.5"/>
    <n v="22.500000000000004"/>
  </r>
  <r>
    <s v="Backend - OM"/>
    <x v="2"/>
    <s v="Improvement"/>
    <s v="OM-1458"/>
    <s v="Data Crawl Improvement"/>
    <s v="Improvement"/>
    <x v="0"/>
    <d v="2016-02-17T14:23:00"/>
    <x v="11"/>
    <x v="1"/>
    <x v="33"/>
    <n v="2"/>
    <m/>
    <n v="127.5"/>
    <n v="22.500000000000004"/>
  </r>
  <r>
    <s v="Backend - OM"/>
    <x v="2"/>
    <s v="Improvement"/>
    <s v="OM-1458"/>
    <s v="Data Crawl Improvement"/>
    <s v="Improvement"/>
    <x v="0"/>
    <d v="2016-02-18T10:22:00"/>
    <x v="11"/>
    <x v="1"/>
    <x v="16"/>
    <n v="8"/>
    <m/>
    <n v="127.5"/>
    <n v="22.500000000000004"/>
  </r>
  <r>
    <s v="Backend - OM"/>
    <x v="2"/>
    <s v="Improvement"/>
    <s v="OM-1458"/>
    <s v="Data Crawl Improvement"/>
    <s v="Improvement"/>
    <x v="0"/>
    <d v="2016-02-19T10:22:00"/>
    <x v="11"/>
    <x v="1"/>
    <x v="16"/>
    <n v="8"/>
    <m/>
    <n v="127.5"/>
    <n v="22.500000000000004"/>
  </r>
  <r>
    <s v="Backend - OM"/>
    <x v="2"/>
    <s v="Improvement"/>
    <s v="OM-1458"/>
    <s v="Data Crawl Improvement"/>
    <s v="Improvement"/>
    <x v="0"/>
    <d v="2016-02-22T10:49:00"/>
    <x v="11"/>
    <x v="1"/>
    <x v="16"/>
    <n v="8"/>
    <m/>
    <n v="127.5"/>
    <n v="22.500000000000004"/>
  </r>
  <r>
    <s v="Backend - OM"/>
    <x v="2"/>
    <s v="Improvement"/>
    <s v="OM-1458"/>
    <s v="Data Crawl Improvement"/>
    <s v="Improvement"/>
    <x v="0"/>
    <d v="2016-02-22T17:39:00"/>
    <x v="11"/>
    <x v="1"/>
    <x v="33"/>
    <n v="1"/>
    <m/>
    <n v="127.5"/>
    <n v="22.500000000000004"/>
  </r>
  <r>
    <s v="Backend - OM"/>
    <x v="2"/>
    <s v="Improvement"/>
    <s v="OM-1458"/>
    <s v="Data Crawl Improvement"/>
    <s v="Improvement"/>
    <x v="0"/>
    <d v="2016-02-23T10:50:00"/>
    <x v="11"/>
    <x v="1"/>
    <x v="16"/>
    <n v="8"/>
    <m/>
    <n v="127.5"/>
    <n v="22.500000000000004"/>
  </r>
  <r>
    <s v="Backend - OM"/>
    <x v="2"/>
    <s v="Improvement"/>
    <s v="OM-1458"/>
    <s v="Data Crawl Improvement"/>
    <s v="Improvement"/>
    <x v="0"/>
    <d v="2016-02-23T17:39:00"/>
    <x v="11"/>
    <x v="1"/>
    <x v="33"/>
    <n v="2"/>
    <m/>
    <n v="127.5"/>
    <n v="22.500000000000004"/>
  </r>
  <r>
    <s v="Backend - OM"/>
    <x v="2"/>
    <s v="Improvement"/>
    <s v="OM-1458"/>
    <s v="Data Crawl Improvement"/>
    <s v="Improvement"/>
    <x v="0"/>
    <d v="2016-02-24T10:50:00"/>
    <x v="11"/>
    <x v="1"/>
    <x v="16"/>
    <n v="8"/>
    <m/>
    <n v="127.5"/>
    <n v="22.500000000000004"/>
  </r>
  <r>
    <s v="Backend - OM"/>
    <x v="2"/>
    <s v="Improvement"/>
    <s v="OM-1458"/>
    <s v="Data Crawl Improvement"/>
    <s v="Improvement"/>
    <x v="0"/>
    <d v="2016-02-24T11:32:00"/>
    <x v="11"/>
    <x v="1"/>
    <x v="33"/>
    <n v="1"/>
    <m/>
    <n v="127.5"/>
    <n v="22.500000000000004"/>
  </r>
  <r>
    <s v="Backend - OM"/>
    <x v="2"/>
    <s v="Improvement"/>
    <s v="OM-1458"/>
    <s v="Data Crawl Improvement"/>
    <s v="Improvement"/>
    <x v="0"/>
    <d v="2016-02-25T10:50:00"/>
    <x v="11"/>
    <x v="1"/>
    <x v="16"/>
    <n v="8"/>
    <m/>
    <n v="127.5"/>
    <n v="22.500000000000004"/>
  </r>
  <r>
    <s v="Backend - OM"/>
    <x v="2"/>
    <s v="Improvement"/>
    <s v="OM-1458"/>
    <s v="Data Crawl Improvement"/>
    <s v="Improvement"/>
    <x v="0"/>
    <d v="2016-02-25T10:51:00"/>
    <x v="11"/>
    <x v="1"/>
    <x v="16"/>
    <n v="1"/>
    <m/>
    <n v="127.5"/>
    <n v="22.500000000000004"/>
  </r>
  <r>
    <s v="Backend - OM"/>
    <x v="2"/>
    <s v="Improvement"/>
    <s v="OM-1458"/>
    <s v="Data Crawl Improvement"/>
    <s v="Improvement"/>
    <x v="0"/>
    <d v="2016-02-25T11:11:00"/>
    <x v="11"/>
    <x v="1"/>
    <x v="33"/>
    <n v="1"/>
    <m/>
    <n v="127.5"/>
    <n v="22.500000000000004"/>
  </r>
  <r>
    <s v="Backend - OM"/>
    <x v="2"/>
    <s v="Improvement"/>
    <s v="OM-1458"/>
    <s v="Data Crawl Improvement"/>
    <s v="Improvement"/>
    <x v="0"/>
    <d v="2016-02-26T10:59:00"/>
    <x v="11"/>
    <x v="1"/>
    <x v="16"/>
    <n v="8"/>
    <m/>
    <n v="127.5"/>
    <n v="22.500000000000004"/>
  </r>
  <r>
    <s v="Backend - OM"/>
    <x v="2"/>
    <s v="Improvement"/>
    <s v="OM-1458"/>
    <s v="Data Crawl Improvement"/>
    <s v="Improvement"/>
    <x v="0"/>
    <d v="2016-02-26T11:12:00"/>
    <x v="11"/>
    <x v="1"/>
    <x v="33"/>
    <n v="1"/>
    <m/>
    <n v="127.5"/>
    <n v="22.500000000000004"/>
  </r>
  <r>
    <s v="Backend - OM"/>
    <x v="2"/>
    <s v="Improvement"/>
    <s v="OM-1458"/>
    <s v="Data Crawl Improvement"/>
    <s v="Improvement"/>
    <x v="0"/>
    <d v="2016-02-29T10:02:00"/>
    <x v="11"/>
    <x v="1"/>
    <x v="16"/>
    <n v="8"/>
    <m/>
    <n v="127.5"/>
    <n v="22.500000000000004"/>
  </r>
  <r>
    <s v="Backend - OM"/>
    <x v="2"/>
    <s v="Improvement"/>
    <s v="OM-1458"/>
    <s v="Data Crawl Improvement"/>
    <s v="Improvement"/>
    <x v="0"/>
    <d v="2016-03-01T10:03:00"/>
    <x v="7"/>
    <x v="1"/>
    <x v="16"/>
    <n v="8"/>
    <m/>
    <n v="156.4"/>
    <n v="27.600000000000005"/>
  </r>
  <r>
    <s v="Backend - OM"/>
    <x v="2"/>
    <s v="Improvement"/>
    <s v="OM-1458"/>
    <s v="Data Crawl Improvement"/>
    <s v="Improvement"/>
    <x v="0"/>
    <d v="2016-03-03T17:00:00"/>
    <x v="7"/>
    <x v="1"/>
    <x v="33"/>
    <n v="1"/>
    <m/>
    <n v="156.4"/>
    <n v="27.600000000000005"/>
  </r>
  <r>
    <s v="Backend - OM"/>
    <x v="2"/>
    <s v="New Feature"/>
    <s v="OM-1461"/>
    <s v="Availability Batch Update by Size"/>
    <s v="New Feature"/>
    <x v="0"/>
    <d v="2016-02-22T14:12:00"/>
    <x v="11"/>
    <x v="1"/>
    <x v="27"/>
    <n v="8"/>
    <m/>
    <n v="127.5"/>
    <n v="22.500000000000004"/>
  </r>
  <r>
    <s v="Backend - OM"/>
    <x v="2"/>
    <s v="New Feature"/>
    <s v="OM-1461"/>
    <s v="Availability Batch Update by Size"/>
    <s v="New Feature"/>
    <x v="0"/>
    <d v="2016-02-24T18:20:00"/>
    <x v="11"/>
    <x v="1"/>
    <x v="27"/>
    <n v="4"/>
    <m/>
    <n v="127.5"/>
    <n v="22.500000000000004"/>
  </r>
  <r>
    <s v="Backend - OM"/>
    <x v="1"/>
    <s v="New Feature"/>
    <s v="OM-1461"/>
    <s v="Availability Batch Update by Size"/>
    <s v="New Feature"/>
    <x v="0"/>
    <d v="2016-03-24T16:52:00"/>
    <x v="7"/>
    <x v="1"/>
    <x v="23"/>
    <n v="2"/>
    <m/>
    <n v="156.4"/>
    <n v="27.600000000000005"/>
  </r>
  <r>
    <s v="Backend - OM"/>
    <x v="2"/>
    <s v="New Feature"/>
    <s v="OM-1461"/>
    <s v="Availability Batch Update by Size"/>
    <s v="New Feature"/>
    <x v="0"/>
    <d v="2016-03-25T12:27:00"/>
    <x v="7"/>
    <x v="1"/>
    <x v="33"/>
    <n v="2"/>
    <m/>
    <n v="156.4"/>
    <n v="27.600000000000005"/>
  </r>
  <r>
    <s v="Backend - OM"/>
    <x v="2"/>
    <s v="New Feature"/>
    <s v="OM-1461"/>
    <s v="Availability Batch Update by Size"/>
    <s v="New Feature"/>
    <x v="0"/>
    <d v="2016-03-25T12:27:00"/>
    <x v="7"/>
    <x v="1"/>
    <x v="33"/>
    <n v="1.5"/>
    <m/>
    <n v="156.4"/>
    <n v="27.600000000000005"/>
  </r>
  <r>
    <s v="Backend - OM"/>
    <x v="1"/>
    <s v="Task"/>
    <s v="OM-1478"/>
    <s v="Phase Upload Improvement V1- Process update"/>
    <s v="Task"/>
    <x v="0"/>
    <d v="2016-02-05T16:17:00"/>
    <x v="11"/>
    <x v="1"/>
    <x v="8"/>
    <n v="0.5"/>
    <m/>
    <n v="127.5"/>
    <n v="22.500000000000004"/>
  </r>
  <r>
    <s v="Backend - OM"/>
    <x v="1"/>
    <s v="Task"/>
    <s v="OM-1478"/>
    <s v="Phase Upload Improvement V1- Process update"/>
    <s v="Task"/>
    <x v="0"/>
    <d v="2016-02-15T12:33:00"/>
    <x v="11"/>
    <x v="1"/>
    <x v="8"/>
    <n v="2"/>
    <m/>
    <n v="127.5"/>
    <n v="22.500000000000004"/>
  </r>
  <r>
    <s v="Backend - OM"/>
    <x v="1"/>
    <s v="Task"/>
    <s v="OM-1478"/>
    <s v="Phase Upload Improvement V1- Process update"/>
    <s v="Task"/>
    <x v="0"/>
    <d v="2016-02-16T16:49:00"/>
    <x v="11"/>
    <x v="1"/>
    <x v="8"/>
    <n v="0.5"/>
    <m/>
    <n v="127.5"/>
    <n v="22.500000000000004"/>
  </r>
  <r>
    <s v="Backend - OM"/>
    <x v="2"/>
    <s v="Task"/>
    <s v="OM-1529"/>
    <s v="OM Discount Calculation Error"/>
    <s v="Task"/>
    <x v="0"/>
    <d v="2016-02-19T17:01:00"/>
    <x v="11"/>
    <x v="1"/>
    <x v="20"/>
    <n v="0.5"/>
    <m/>
    <n v="127.5"/>
    <n v="22.500000000000004"/>
  </r>
  <r>
    <s v="Backend - OM"/>
    <x v="2"/>
    <s v="Task"/>
    <s v="OM-1529"/>
    <s v="OM Discount Calculation Error"/>
    <s v="Task"/>
    <x v="0"/>
    <d v="2016-03-16T09:53:00"/>
    <x v="7"/>
    <x v="1"/>
    <x v="20"/>
    <n v="5"/>
    <m/>
    <n v="156.4"/>
    <n v="27.600000000000005"/>
  </r>
  <r>
    <s v="Backend - OM"/>
    <x v="2"/>
    <s v="Task"/>
    <s v="OM-1529"/>
    <s v="OM Discount Calculation Error"/>
    <s v="Task"/>
    <x v="0"/>
    <d v="2016-03-17T09:53:00"/>
    <x v="7"/>
    <x v="1"/>
    <x v="20"/>
    <n v="8"/>
    <m/>
    <n v="156.4"/>
    <n v="27.600000000000005"/>
  </r>
  <r>
    <s v="Backend - OM"/>
    <x v="1"/>
    <s v="Task"/>
    <s v="OM-1529"/>
    <s v="OM Discount Calculation Error"/>
    <s v="Task"/>
    <x v="0"/>
    <d v="2016-03-28T18:01:00"/>
    <x v="7"/>
    <x v="1"/>
    <x v="8"/>
    <n v="2"/>
    <m/>
    <n v="156.4"/>
    <n v="27.600000000000005"/>
  </r>
  <r>
    <s v="Backend - OM"/>
    <x v="2"/>
    <s v="Improvement"/>
    <s v="OM-1530"/>
    <s v="TrustPilot AFS API"/>
    <s v="Improvement"/>
    <x v="0"/>
    <d v="2016-02-03T18:58:00"/>
    <x v="11"/>
    <x v="1"/>
    <x v="9"/>
    <n v="1"/>
    <m/>
    <n v="127.5"/>
    <n v="22.500000000000004"/>
  </r>
  <r>
    <s v="Backend - OM"/>
    <x v="2"/>
    <s v="Improvement"/>
    <s v="OM-1530"/>
    <s v="TrustPilot AFS API"/>
    <s v="Improvement"/>
    <x v="0"/>
    <d v="2016-02-09T18:44:00"/>
    <x v="11"/>
    <x v="1"/>
    <x v="18"/>
    <n v="8"/>
    <m/>
    <n v="127.5"/>
    <n v="22.500000000000004"/>
  </r>
  <r>
    <s v="Backend - OM"/>
    <x v="2"/>
    <s v="Improvement"/>
    <s v="OM-1530"/>
    <s v="TrustPilot AFS API"/>
    <s v="Improvement"/>
    <x v="0"/>
    <d v="2016-02-17T10:41:00"/>
    <x v="11"/>
    <x v="1"/>
    <x v="27"/>
    <n v="8"/>
    <m/>
    <n v="127.5"/>
    <n v="22.500000000000004"/>
  </r>
  <r>
    <s v="Backend - OM"/>
    <x v="2"/>
    <s v="Improvement"/>
    <s v="OM-1530"/>
    <s v="TrustPilot AFS API"/>
    <s v="Improvement"/>
    <x v="0"/>
    <d v="2016-02-24T10:48:00"/>
    <x v="11"/>
    <x v="1"/>
    <x v="18"/>
    <n v="8"/>
    <m/>
    <n v="127.5"/>
    <n v="22.500000000000004"/>
  </r>
  <r>
    <s v="Backend - OM"/>
    <x v="1"/>
    <s v="Improvement"/>
    <s v="OM-1530"/>
    <s v="TrustPilot AFS API"/>
    <s v="Improvement"/>
    <x v="0"/>
    <d v="2016-02-24T15:47:00"/>
    <x v="11"/>
    <x v="1"/>
    <x v="21"/>
    <n v="3"/>
    <m/>
    <n v="127.5"/>
    <n v="22.500000000000004"/>
  </r>
  <r>
    <s v="Backend - OM"/>
    <x v="2"/>
    <s v="Improvement"/>
    <s v="OM-1530"/>
    <s v="TrustPilot AFS API"/>
    <s v="Improvement"/>
    <x v="0"/>
    <d v="2016-03-03T18:25:00"/>
    <x v="7"/>
    <x v="1"/>
    <x v="9"/>
    <n v="0.5"/>
    <s v="support QA test"/>
    <n v="156.4"/>
    <n v="27.600000000000005"/>
  </r>
  <r>
    <s v="Backend - OM"/>
    <x v="2"/>
    <s v="Improvement"/>
    <s v="OM-1592"/>
    <s v="RX Lab Allocation (default values)"/>
    <s v="Improvement"/>
    <x v="0"/>
    <d v="2016-02-03T11:36:00"/>
    <x v="11"/>
    <x v="1"/>
    <x v="16"/>
    <n v="4"/>
    <m/>
    <n v="127.5"/>
    <n v="22.500000000000004"/>
  </r>
  <r>
    <s v="Backend - OM"/>
    <x v="2"/>
    <s v="Improvement"/>
    <s v="OM-1592"/>
    <s v="RX Lab Allocation (default values)"/>
    <s v="Improvement"/>
    <x v="0"/>
    <d v="2016-02-04T11:36:00"/>
    <x v="11"/>
    <x v="1"/>
    <x v="16"/>
    <n v="8"/>
    <m/>
    <n v="127.5"/>
    <n v="22.500000000000004"/>
  </r>
  <r>
    <s v="Backend - OM"/>
    <x v="1"/>
    <s v="Improvement"/>
    <s v="OM-1592"/>
    <s v="RX Lab Allocation (default values)"/>
    <s v="Improvement"/>
    <x v="0"/>
    <d v="2016-02-05T16:57:00"/>
    <x v="11"/>
    <x v="1"/>
    <x v="8"/>
    <n v="1"/>
    <m/>
    <n v="127.5"/>
    <n v="22.500000000000004"/>
  </r>
  <r>
    <s v="Backend - OM"/>
    <x v="1"/>
    <s v="Improvement"/>
    <s v="OM-1592"/>
    <s v="RX Lab Allocation (default values)"/>
    <s v="Improvement"/>
    <x v="0"/>
    <d v="2016-02-06T16:07:00"/>
    <x v="11"/>
    <x v="1"/>
    <x v="8"/>
    <n v="4"/>
    <m/>
    <n v="127.5"/>
    <n v="22.500000000000004"/>
  </r>
  <r>
    <s v="Backend - OM"/>
    <x v="1"/>
    <s v="Improvement"/>
    <s v="OM-1592"/>
    <s v="RX Lab Allocation (default values)"/>
    <s v="Improvement"/>
    <x v="0"/>
    <d v="2016-02-15T15:19:00"/>
    <x v="11"/>
    <x v="1"/>
    <x v="8"/>
    <n v="0.5"/>
    <m/>
    <n v="127.5"/>
    <n v="22.500000000000004"/>
  </r>
  <r>
    <s v="Backend - OM"/>
    <x v="1"/>
    <s v="Improvement"/>
    <s v="OM-1592"/>
    <s v="RX Lab Allocation (default values)"/>
    <s v="Improvement"/>
    <x v="0"/>
    <d v="2016-02-16T18:24:00"/>
    <x v="11"/>
    <x v="1"/>
    <x v="8"/>
    <n v="1"/>
    <m/>
    <n v="127.5"/>
    <n v="22.500000000000004"/>
  </r>
  <r>
    <s v="Backend - OM"/>
    <x v="2"/>
    <s v="Task"/>
    <s v="OM-1599"/>
    <s v="Allow access on OM for web inventory"/>
    <s v="Task"/>
    <x v="0"/>
    <d v="2016-02-01T12:13:00"/>
    <x v="11"/>
    <x v="1"/>
    <x v="9"/>
    <n v="0.5"/>
    <m/>
    <n v="127.5"/>
    <n v="22.500000000000004"/>
  </r>
  <r>
    <s v="Backend - OM"/>
    <x v="2"/>
    <s v="Task"/>
    <s v="OM-1612"/>
    <s v="URL Update Square and Pilot to Wayfarer and Aviator"/>
    <s v="Task"/>
    <x v="0"/>
    <d v="2016-03-02T14:00:00"/>
    <x v="7"/>
    <x v="1"/>
    <x v="29"/>
    <n v="5"/>
    <m/>
    <n v="156.4"/>
    <n v="27.600000000000005"/>
  </r>
  <r>
    <s v="Backend - OM"/>
    <x v="2"/>
    <s v="Task"/>
    <s v="OM-1615"/>
    <s v="Stock Reservation Release"/>
    <s v="Task"/>
    <x v="0"/>
    <d v="2016-02-15T12:32:00"/>
    <x v="11"/>
    <x v="1"/>
    <x v="16"/>
    <n v="3"/>
    <m/>
    <n v="127.5"/>
    <n v="22.500000000000004"/>
  </r>
  <r>
    <s v="Backend - OM"/>
    <x v="2"/>
    <s v="Task"/>
    <s v="OM-1633"/>
    <s v="Link this order to membership account"/>
    <s v="Task"/>
    <x v="0"/>
    <d v="2016-02-17T14:36:00"/>
    <x v="11"/>
    <x v="1"/>
    <x v="20"/>
    <n v="1"/>
    <m/>
    <n v="127.5"/>
    <n v="22.500000000000004"/>
  </r>
  <r>
    <s v="Backend - OM"/>
    <x v="2"/>
    <s v="Task"/>
    <s v="OM-1633"/>
    <s v="Link this order to membership account"/>
    <s v="Task"/>
    <x v="0"/>
    <d v="2016-02-18T14:36:00"/>
    <x v="11"/>
    <x v="1"/>
    <x v="20"/>
    <n v="1"/>
    <m/>
    <n v="127.5"/>
    <n v="22.500000000000004"/>
  </r>
  <r>
    <s v="Backend - OM"/>
    <x v="2"/>
    <s v="Task"/>
    <s v="OM-1633"/>
    <s v="Link this order to membership account"/>
    <s v="Task"/>
    <x v="0"/>
    <d v="2016-02-24T18:14:00"/>
    <x v="11"/>
    <x v="1"/>
    <x v="20"/>
    <n v="2"/>
    <m/>
    <n v="127.5"/>
    <n v="22.500000000000004"/>
  </r>
  <r>
    <s v="Backend - OM"/>
    <x v="2"/>
    <s v="Improvement"/>
    <s v="OM-1664"/>
    <s v="Color Filter for Phaseupload"/>
    <s v="Improvement"/>
    <x v="0"/>
    <d v="2016-02-23T17:43:00"/>
    <x v="11"/>
    <x v="1"/>
    <x v="33"/>
    <n v="3"/>
    <m/>
    <n v="127.5"/>
    <n v="22.500000000000004"/>
  </r>
  <r>
    <s v="Backend - OM"/>
    <x v="2"/>
    <s v="Improvement"/>
    <s v="OM-1664"/>
    <s v="Color Filter for Phaseupload"/>
    <s v="Improvement"/>
    <x v="0"/>
    <d v="2016-02-24T18:19:00"/>
    <x v="11"/>
    <x v="1"/>
    <x v="27"/>
    <n v="4"/>
    <m/>
    <n v="127.5"/>
    <n v="22.500000000000004"/>
  </r>
  <r>
    <s v="Backend - OM"/>
    <x v="2"/>
    <s v="Improvement"/>
    <s v="OM-1664"/>
    <s v="Color Filter for Phaseupload"/>
    <s v="Improvement"/>
    <x v="0"/>
    <d v="2016-02-25T11:29:00"/>
    <x v="11"/>
    <x v="1"/>
    <x v="33"/>
    <n v="1"/>
    <m/>
    <n v="127.5"/>
    <n v="22.500000000000004"/>
  </r>
  <r>
    <s v="Backend - OM"/>
    <x v="2"/>
    <s v="Improvement"/>
    <s v="OM-1664"/>
    <s v="Color Filter for Phaseupload"/>
    <s v="Improvement"/>
    <x v="0"/>
    <d v="2016-02-25T18:20:00"/>
    <x v="11"/>
    <x v="1"/>
    <x v="27"/>
    <n v="8"/>
    <m/>
    <n v="127.5"/>
    <n v="22.500000000000004"/>
  </r>
  <r>
    <s v="Backend - OM"/>
    <x v="2"/>
    <s v="Improvement"/>
    <s v="OM-1664"/>
    <s v="Color Filter for Phaseupload"/>
    <s v="Improvement"/>
    <x v="0"/>
    <d v="2016-02-26T14:26:00"/>
    <x v="11"/>
    <x v="1"/>
    <x v="33"/>
    <n v="2"/>
    <m/>
    <n v="127.5"/>
    <n v="22.500000000000004"/>
  </r>
  <r>
    <s v="Backend - OM"/>
    <x v="2"/>
    <s v="Improvement"/>
    <s v="OM-1664"/>
    <s v="Color Filter for Phaseupload"/>
    <s v="Improvement"/>
    <x v="0"/>
    <d v="2016-02-26T18:20:00"/>
    <x v="11"/>
    <x v="1"/>
    <x v="27"/>
    <n v="8"/>
    <m/>
    <n v="127.5"/>
    <n v="22.500000000000004"/>
  </r>
  <r>
    <s v="Backend - OM"/>
    <x v="2"/>
    <s v="Improvement"/>
    <s v="OM-1664"/>
    <s v="Color Filter for Phaseupload"/>
    <s v="Improvement"/>
    <x v="0"/>
    <d v="2016-03-03T18:02:00"/>
    <x v="7"/>
    <x v="1"/>
    <x v="33"/>
    <n v="1"/>
    <m/>
    <n v="156.4"/>
    <n v="27.600000000000005"/>
  </r>
  <r>
    <s v="Backend - OM"/>
    <x v="2"/>
    <s v="Improvement"/>
    <s v="OM-1664"/>
    <s v="Color Filter for Phaseupload"/>
    <s v="Improvement"/>
    <x v="0"/>
    <d v="2016-03-04T14:27:00"/>
    <x v="7"/>
    <x v="1"/>
    <x v="33"/>
    <n v="1.5"/>
    <m/>
    <n v="156.4"/>
    <n v="27.600000000000005"/>
  </r>
  <r>
    <s v="Backend - OM"/>
    <x v="1"/>
    <s v="Improvement"/>
    <s v="OM-1664"/>
    <s v="Color Filter for Phaseupload"/>
    <s v="Improvement"/>
    <x v="0"/>
    <d v="2016-03-04T15:43:00"/>
    <x v="7"/>
    <x v="1"/>
    <x v="8"/>
    <n v="3"/>
    <m/>
    <n v="156.4"/>
    <n v="27.600000000000005"/>
  </r>
  <r>
    <s v="Backend - OM"/>
    <x v="2"/>
    <s v="Improvement"/>
    <s v="OM-1664"/>
    <s v="Color Filter for Phaseupload"/>
    <s v="Improvement"/>
    <x v="0"/>
    <d v="2016-03-08T17:32:00"/>
    <x v="7"/>
    <x v="1"/>
    <x v="33"/>
    <n v="1"/>
    <m/>
    <n v="156.4"/>
    <n v="27.600000000000005"/>
  </r>
  <r>
    <s v="Backend - OM"/>
    <x v="2"/>
    <s v="Task"/>
    <s v="OM-1686"/>
    <s v="OM Access Update"/>
    <s v="Task"/>
    <x v="0"/>
    <d v="2016-02-01T13:17:00"/>
    <x v="11"/>
    <x v="1"/>
    <x v="27"/>
    <n v="2"/>
    <m/>
    <n v="127.5"/>
    <n v="22.500000000000004"/>
  </r>
  <r>
    <s v="Backend - OM"/>
    <x v="2"/>
    <s v="Improvement"/>
    <s v="OM-1704"/>
    <s v="Including disc. products in color feed - all countries"/>
    <s v="Improvement"/>
    <x v="0"/>
    <d v="2016-03-10T14:07:00"/>
    <x v="7"/>
    <x v="1"/>
    <x v="33"/>
    <n v="1.5"/>
    <m/>
    <n v="156.4"/>
    <n v="27.600000000000005"/>
  </r>
  <r>
    <s v="Backend - OM"/>
    <x v="2"/>
    <s v="Improvement"/>
    <s v="OM-1704"/>
    <s v="Including disc. products in color feed - all countries"/>
    <s v="Improvement"/>
    <x v="0"/>
    <d v="2016-03-10T18:11:00"/>
    <x v="7"/>
    <x v="1"/>
    <x v="33"/>
    <n v="1.5"/>
    <m/>
    <n v="156.4"/>
    <n v="27.600000000000005"/>
  </r>
  <r>
    <s v="Backend - OM"/>
    <x v="2"/>
    <s v="Improvement"/>
    <s v="OM-1704"/>
    <s v="Including disc. products in color feed - all countries"/>
    <s v="Improvement"/>
    <x v="0"/>
    <d v="2016-03-11T16:05:00"/>
    <x v="7"/>
    <x v="1"/>
    <x v="33"/>
    <n v="1.5"/>
    <m/>
    <n v="156.4"/>
    <n v="27.600000000000005"/>
  </r>
  <r>
    <s v="Backend - OM"/>
    <x v="2"/>
    <s v="Improvement"/>
    <s v="OM-1704"/>
    <s v="Including disc. products in color feed - all countries"/>
    <s v="Improvement"/>
    <x v="0"/>
    <d v="2016-03-15T10:44:00"/>
    <x v="7"/>
    <x v="1"/>
    <x v="27"/>
    <n v="4"/>
    <m/>
    <n v="156.4"/>
    <n v="27.600000000000005"/>
  </r>
  <r>
    <s v="Backend - OM"/>
    <x v="2"/>
    <s v="Improvement"/>
    <s v="OM-1758"/>
    <s v="Phase Upload Improvement V2- Category display update"/>
    <s v="Improvement"/>
    <x v="0"/>
    <d v="2016-02-03T16:58:00"/>
    <x v="11"/>
    <x v="1"/>
    <x v="27"/>
    <n v="8"/>
    <m/>
    <n v="127.5"/>
    <n v="22.500000000000004"/>
  </r>
  <r>
    <s v="Backend - OM"/>
    <x v="2"/>
    <s v="Improvement"/>
    <s v="OM-1758"/>
    <s v="Phase Upload Improvement V2- Category display update"/>
    <s v="Improvement"/>
    <x v="0"/>
    <d v="2016-02-15T14:17:00"/>
    <x v="11"/>
    <x v="1"/>
    <x v="33"/>
    <n v="2"/>
    <m/>
    <n v="127.5"/>
    <n v="22.500000000000004"/>
  </r>
  <r>
    <s v="Backend - OM"/>
    <x v="2"/>
    <s v="Improvement"/>
    <s v="OM-1758"/>
    <s v="Phase Upload Improvement V2- Category display update"/>
    <s v="Improvement"/>
    <x v="0"/>
    <d v="2016-02-16T09:50:00"/>
    <x v="11"/>
    <x v="1"/>
    <x v="27"/>
    <n v="8"/>
    <m/>
    <n v="127.5"/>
    <n v="22.500000000000004"/>
  </r>
  <r>
    <s v="Backend - OM"/>
    <x v="1"/>
    <s v="Improvement"/>
    <s v="OM-1758"/>
    <s v="Phase Upload Improvement V2- Category display update"/>
    <s v="Improvement"/>
    <x v="0"/>
    <d v="2016-02-17T17:17:00"/>
    <x v="11"/>
    <x v="1"/>
    <x v="8"/>
    <n v="3"/>
    <m/>
    <n v="127.5"/>
    <n v="22.500000000000004"/>
  </r>
  <r>
    <s v="Backend - OM"/>
    <x v="1"/>
    <s v="Improvement"/>
    <s v="OM-1758"/>
    <s v="Phase Upload Improvement V2- Category display update"/>
    <s v="Improvement"/>
    <x v="0"/>
    <d v="2016-02-19T15:01:00"/>
    <x v="11"/>
    <x v="1"/>
    <x v="8"/>
    <n v="1"/>
    <m/>
    <n v="127.5"/>
    <n v="22.500000000000004"/>
  </r>
  <r>
    <s v="Backend - OM"/>
    <x v="2"/>
    <s v="Improvement"/>
    <s v="OM-1758"/>
    <s v="Phase Upload Improvement V2- Category display update"/>
    <s v="Improvement"/>
    <x v="0"/>
    <d v="2016-02-22T11:31:00"/>
    <x v="11"/>
    <x v="1"/>
    <x v="33"/>
    <n v="2"/>
    <m/>
    <n v="127.5"/>
    <n v="22.500000000000004"/>
  </r>
  <r>
    <s v="Backend - OM"/>
    <x v="2"/>
    <s v="Improvement"/>
    <s v="OM-1758"/>
    <s v="Phase Upload Improvement V2- Category display update"/>
    <s v="Improvement"/>
    <x v="0"/>
    <d v="2016-02-22T17:23:00"/>
    <x v="11"/>
    <x v="1"/>
    <x v="33"/>
    <n v="2"/>
    <m/>
    <n v="127.5"/>
    <n v="22.500000000000004"/>
  </r>
  <r>
    <s v="Backend - OM"/>
    <x v="1"/>
    <s v="Improvement"/>
    <s v="OM-1758"/>
    <s v="Phase Upload Improvement V2- Category display update"/>
    <s v="Improvement"/>
    <x v="0"/>
    <d v="2016-02-23T19:33:00"/>
    <x v="11"/>
    <x v="1"/>
    <x v="8"/>
    <n v="1"/>
    <m/>
    <n v="127.5"/>
    <n v="22.500000000000004"/>
  </r>
  <r>
    <s v="Backend - OM"/>
    <x v="2"/>
    <s v="Task"/>
    <s v="OM-1818"/>
    <s v="Give the access of Clearance Batch Upload to Daniel and Crystal"/>
    <s v="Task"/>
    <x v="0"/>
    <d v="2016-02-01T11:45:00"/>
    <x v="11"/>
    <x v="1"/>
    <x v="27"/>
    <n v="2"/>
    <m/>
    <n v="127.5"/>
    <n v="22.500000000000004"/>
  </r>
  <r>
    <s v="Backend - OM"/>
    <x v="2"/>
    <s v="Task"/>
    <s v="OM-1824"/>
    <s v="Order approved by whom?"/>
    <s v="Task"/>
    <x v="0"/>
    <d v="2016-02-01T17:37:00"/>
    <x v="11"/>
    <x v="1"/>
    <x v="9"/>
    <n v="0.5"/>
    <m/>
    <n v="127.5"/>
    <n v="22.500000000000004"/>
  </r>
  <r>
    <s v="Backend - OM"/>
    <x v="2"/>
    <s v="Task"/>
    <s v="OM-1869"/>
    <s v="Urgent!!! EN0242217209GV please change status to &quot;shipped&quot; so I can create RMA for return exchange"/>
    <s v="Task"/>
    <x v="0"/>
    <d v="2016-02-04T10:42:00"/>
    <x v="11"/>
    <x v="1"/>
    <x v="25"/>
    <n v="1"/>
    <m/>
    <n v="127.5"/>
    <n v="22.500000000000004"/>
  </r>
  <r>
    <s v="Backend - OM"/>
    <x v="2"/>
    <s v="New Feature"/>
    <s v="OM-1961"/>
    <s v="Price Tool Improvement- Delete Data"/>
    <s v="New Feature"/>
    <x v="0"/>
    <d v="2016-03-02T15:56:00"/>
    <x v="7"/>
    <x v="1"/>
    <x v="33"/>
    <n v="1.5"/>
    <m/>
    <n v="156.4"/>
    <n v="27.600000000000005"/>
  </r>
  <r>
    <s v="Backend - OM"/>
    <x v="2"/>
    <s v="New Feature"/>
    <s v="OM-1961"/>
    <s v="Price Tool Improvement- Delete Data"/>
    <s v="New Feature"/>
    <x v="0"/>
    <d v="2016-03-14T15:09:00"/>
    <x v="7"/>
    <x v="1"/>
    <x v="33"/>
    <n v="1"/>
    <m/>
    <n v="156.4"/>
    <n v="27.600000000000005"/>
  </r>
  <r>
    <s v="Backend - OM"/>
    <x v="2"/>
    <s v="Improvement"/>
    <s v="OM-2210"/>
    <s v="Stop old backorder email"/>
    <s v="Improvement"/>
    <x v="0"/>
    <d v="2016-02-26T14:27:00"/>
    <x v="11"/>
    <x v="1"/>
    <x v="20"/>
    <n v="1"/>
    <m/>
    <n v="127.5"/>
    <n v="22.500000000000004"/>
  </r>
  <r>
    <s v="Backend - OM"/>
    <x v="2"/>
    <s v="Improvement"/>
    <s v="OM-2210"/>
    <s v="Stop old backorder email"/>
    <s v="Improvement"/>
    <x v="0"/>
    <d v="2016-02-26T18:13:00"/>
    <x v="11"/>
    <x v="1"/>
    <x v="20"/>
    <n v="3"/>
    <m/>
    <n v="127.5"/>
    <n v="22.500000000000004"/>
  </r>
  <r>
    <s v="Backend - OM"/>
    <x v="2"/>
    <s v="Improvement"/>
    <s v="OM-2210"/>
    <s v="Stop old backorder email"/>
    <s v="Improvement"/>
    <x v="0"/>
    <d v="2016-02-26T19:00:00"/>
    <x v="11"/>
    <x v="1"/>
    <x v="9"/>
    <n v="0.5"/>
    <m/>
    <n v="127.5"/>
    <n v="22.500000000000004"/>
  </r>
  <r>
    <s v="Backend - OM"/>
    <x v="2"/>
    <s v="Improvement"/>
    <s v="OM-2210"/>
    <s v="Stop old backorder email"/>
    <s v="Improvement"/>
    <x v="0"/>
    <d v="2016-03-03T16:01:00"/>
    <x v="7"/>
    <x v="1"/>
    <x v="20"/>
    <n v="0.5"/>
    <m/>
    <n v="156.4"/>
    <n v="27.600000000000005"/>
  </r>
  <r>
    <s v="Backend - OM"/>
    <x v="1"/>
    <s v="Improvement"/>
    <s v="OM-2210"/>
    <s v="Stop old backorder email"/>
    <s v="Improvement"/>
    <x v="0"/>
    <d v="2016-03-03T17:00:00"/>
    <x v="7"/>
    <x v="1"/>
    <x v="8"/>
    <n v="4"/>
    <m/>
    <n v="156.4"/>
    <n v="27.600000000000005"/>
  </r>
  <r>
    <s v="Backend - OM"/>
    <x v="2"/>
    <s v="Improvement"/>
    <s v="OM-2210"/>
    <s v="Stop old backorder email"/>
    <s v="Improvement"/>
    <x v="0"/>
    <d v="2016-03-03T18:26:00"/>
    <x v="7"/>
    <x v="1"/>
    <x v="9"/>
    <n v="0.5"/>
    <s v="support QA test"/>
    <n v="156.4"/>
    <n v="27.600000000000005"/>
  </r>
  <r>
    <s v="Backend - OM"/>
    <x v="2"/>
    <s v="Improvement"/>
    <s v="OM-2210"/>
    <s v="Stop old backorder email"/>
    <s v="Improvement"/>
    <x v="0"/>
    <d v="2016-03-11T17:21:00"/>
    <x v="7"/>
    <x v="1"/>
    <x v="20"/>
    <n v="3"/>
    <m/>
    <n v="156.4"/>
    <n v="27.600000000000005"/>
  </r>
  <r>
    <s v="Backend - OM"/>
    <x v="2"/>
    <s v="Sub-task"/>
    <s v="OM-2214"/>
    <s v="OM-440&gt; Scan shipped orders no reorder email, it should be add"/>
    <s v="Sub-task"/>
    <x v="0"/>
    <d v="2016-03-11T17:22:00"/>
    <x v="7"/>
    <x v="1"/>
    <x v="9"/>
    <n v="6"/>
    <m/>
    <n v="156.4"/>
    <n v="27.600000000000005"/>
  </r>
  <r>
    <s v="Backend - OM"/>
    <x v="2"/>
    <s v="Sub-task"/>
    <s v="OM-2214"/>
    <s v="OM-440&gt; Scan shipped orders no reorder email, it should be add"/>
    <s v="Sub-task"/>
    <x v="0"/>
    <d v="2016-03-15T18:47:00"/>
    <x v="7"/>
    <x v="1"/>
    <x v="9"/>
    <n v="1"/>
    <m/>
    <n v="156.4"/>
    <n v="27.600000000000005"/>
  </r>
  <r>
    <s v="Backend - OM"/>
    <x v="1"/>
    <s v="Sub-task"/>
    <s v="OM-2214"/>
    <s v="OM-440&gt; Scan shipped orders no reorder email, it should be add"/>
    <s v="Sub-task"/>
    <x v="0"/>
    <d v="2016-03-30T18:27:00"/>
    <x v="7"/>
    <x v="1"/>
    <x v="21"/>
    <n v="3"/>
    <m/>
    <n v="156.4"/>
    <n v="27.600000000000005"/>
  </r>
  <r>
    <s v="Backend - OM"/>
    <x v="1"/>
    <s v="Sub-task"/>
    <s v="OM-2214"/>
    <s v="OM-440&gt; Scan shipped orders no reorder email, it should be add"/>
    <s v="Sub-task"/>
    <x v="0"/>
    <d v="2016-03-31T12:23:00"/>
    <x v="7"/>
    <x v="1"/>
    <x v="21"/>
    <n v="2"/>
    <m/>
    <n v="156.4"/>
    <n v="27.600000000000005"/>
  </r>
  <r>
    <s v="Backend - OM"/>
    <x v="2"/>
    <s v="New Feature"/>
    <s v="OM-2215"/>
    <s v="Contact Lens AU Project- Release Stock"/>
    <s v="New Feature"/>
    <x v="0"/>
    <d v="2016-03-01T10:12:00"/>
    <x v="7"/>
    <x v="1"/>
    <x v="20"/>
    <n v="3"/>
    <m/>
    <n v="156.4"/>
    <n v="27.600000000000005"/>
  </r>
  <r>
    <s v="Backend - OM"/>
    <x v="2"/>
    <s v="New Feature"/>
    <s v="OM-2215"/>
    <s v="Contact Lens AU Project- Release Stock"/>
    <s v="New Feature"/>
    <x v="0"/>
    <d v="2016-03-01T14:36:00"/>
    <x v="7"/>
    <x v="1"/>
    <x v="33"/>
    <n v="1.5"/>
    <m/>
    <n v="156.4"/>
    <n v="27.600000000000005"/>
  </r>
  <r>
    <s v="Backend - OM"/>
    <x v="2"/>
    <s v="New Feature"/>
    <s v="OM-2215"/>
    <s v="Contact Lens AU Project- Release Stock"/>
    <s v="New Feature"/>
    <x v="0"/>
    <d v="2016-03-02T10:23:00"/>
    <x v="7"/>
    <x v="1"/>
    <x v="20"/>
    <n v="8"/>
    <m/>
    <n v="156.4"/>
    <n v="27.600000000000005"/>
  </r>
  <r>
    <s v="Backend - OM"/>
    <x v="2"/>
    <s v="New Feature"/>
    <s v="OM-2215"/>
    <s v="Contact Lens AU Project- Release Stock"/>
    <s v="New Feature"/>
    <x v="0"/>
    <d v="2016-03-03T18:47:00"/>
    <x v="7"/>
    <x v="1"/>
    <x v="20"/>
    <n v="4"/>
    <m/>
    <n v="156.4"/>
    <n v="27.600000000000005"/>
  </r>
  <r>
    <s v="Backend - OM"/>
    <x v="2"/>
    <s v="New Feature"/>
    <s v="OM-2215"/>
    <s v="Contact Lens AU Project- Release Stock"/>
    <s v="New Feature"/>
    <x v="0"/>
    <d v="2016-03-07T16:44:00"/>
    <x v="7"/>
    <x v="1"/>
    <x v="20"/>
    <n v="2"/>
    <m/>
    <n v="156.4"/>
    <n v="27.600000000000005"/>
  </r>
  <r>
    <s v="Backend - OM"/>
    <x v="1"/>
    <s v="New Feature"/>
    <s v="OM-2215"/>
    <s v="Contact Lens AU Project- Release Stock"/>
    <s v="New Feature"/>
    <x v="0"/>
    <d v="2016-03-14T16:26:00"/>
    <x v="7"/>
    <x v="1"/>
    <x v="8"/>
    <n v="1"/>
    <m/>
    <n v="156.4"/>
    <n v="27.600000000000005"/>
  </r>
  <r>
    <s v="Backend - OM"/>
    <x v="2"/>
    <s v="New Feature"/>
    <s v="OM-2215"/>
    <s v="Contact Lens AU Project- Release Stock"/>
    <s v="New Feature"/>
    <x v="0"/>
    <d v="2016-03-28T10:15:00"/>
    <x v="7"/>
    <x v="1"/>
    <x v="20"/>
    <n v="2"/>
    <m/>
    <n v="156.4"/>
    <n v="27.600000000000005"/>
  </r>
  <r>
    <s v="Backend - OM"/>
    <x v="2"/>
    <s v="New Feature"/>
    <s v="OM-2215"/>
    <s v="Contact Lens AU Project- Release Stock"/>
    <s v="New Feature"/>
    <x v="0"/>
    <d v="2016-03-31T12:11:00"/>
    <x v="7"/>
    <x v="1"/>
    <x v="33"/>
    <n v="1"/>
    <m/>
    <n v="156.4"/>
    <n v="27.600000000000005"/>
  </r>
  <r>
    <s v="Backend - OM"/>
    <x v="2"/>
    <s v="New Feature"/>
    <s v="OM-2216"/>
    <s v="Contact Lens AU Project- Supplier Rule"/>
    <s v="New Feature"/>
    <x v="0"/>
    <d v="2016-03-01T16:30:00"/>
    <x v="7"/>
    <x v="1"/>
    <x v="33"/>
    <n v="2"/>
    <m/>
    <n v="156.4"/>
    <n v="27.600000000000005"/>
  </r>
  <r>
    <s v="Backend - OM"/>
    <x v="2"/>
    <s v="New Feature"/>
    <s v="OM-2216"/>
    <s v="Contact Lens AU Project- Supplier Rule"/>
    <s v="New Feature"/>
    <x v="0"/>
    <d v="2016-03-04T16:41:00"/>
    <x v="7"/>
    <x v="1"/>
    <x v="20"/>
    <n v="8"/>
    <m/>
    <n v="156.4"/>
    <n v="27.600000000000005"/>
  </r>
  <r>
    <s v="Backend - OM"/>
    <x v="2"/>
    <s v="New Feature"/>
    <s v="OM-2216"/>
    <s v="Contact Lens AU Project- Supplier Rule"/>
    <s v="New Feature"/>
    <x v="0"/>
    <d v="2016-03-07T16:42:00"/>
    <x v="7"/>
    <x v="1"/>
    <x v="20"/>
    <n v="4"/>
    <m/>
    <n v="156.4"/>
    <n v="27.600000000000005"/>
  </r>
  <r>
    <s v="Backend - OM"/>
    <x v="2"/>
    <s v="New Feature"/>
    <s v="OM-2216"/>
    <s v="Contact Lens AU Project- Supplier Rule"/>
    <s v="New Feature"/>
    <x v="0"/>
    <d v="2016-03-08T16:43:00"/>
    <x v="7"/>
    <x v="1"/>
    <x v="20"/>
    <n v="8"/>
    <m/>
    <n v="156.4"/>
    <n v="27.600000000000005"/>
  </r>
  <r>
    <s v="Backend - OM"/>
    <x v="2"/>
    <s v="New Feature"/>
    <s v="OM-2216"/>
    <s v="Contact Lens AU Project- Supplier Rule"/>
    <s v="New Feature"/>
    <x v="0"/>
    <d v="2016-03-09T18:43:00"/>
    <x v="7"/>
    <x v="1"/>
    <x v="20"/>
    <n v="8"/>
    <m/>
    <n v="156.4"/>
    <n v="27.600000000000005"/>
  </r>
  <r>
    <s v="Backend - OM"/>
    <x v="2"/>
    <s v="New Feature"/>
    <s v="OM-2216"/>
    <s v="Contact Lens AU Project- Supplier Rule"/>
    <s v="New Feature"/>
    <x v="0"/>
    <d v="2016-03-09T19:24:00"/>
    <x v="7"/>
    <x v="1"/>
    <x v="9"/>
    <n v="0.5"/>
    <m/>
    <n v="156.4"/>
    <n v="27.600000000000005"/>
  </r>
  <r>
    <s v="Backend - OM"/>
    <x v="1"/>
    <s v="New Feature"/>
    <s v="OM-2216"/>
    <s v="Contact Lens AU Project- Supplier Rule"/>
    <s v="New Feature"/>
    <x v="0"/>
    <d v="2016-03-23T10:00:00"/>
    <x v="7"/>
    <x v="1"/>
    <x v="30"/>
    <n v="2"/>
    <m/>
    <n v="156.4"/>
    <n v="27.600000000000005"/>
  </r>
  <r>
    <s v="Backend - OM"/>
    <x v="2"/>
    <s v="New Feature"/>
    <s v="OM-2216"/>
    <s v="Contact Lens AU Project- Supplier Rule"/>
    <s v="New Feature"/>
    <x v="0"/>
    <d v="2016-03-28T10:14:00"/>
    <x v="7"/>
    <x v="1"/>
    <x v="20"/>
    <n v="2"/>
    <m/>
    <n v="156.4"/>
    <n v="27.600000000000005"/>
  </r>
  <r>
    <s v="Backend - OM"/>
    <x v="2"/>
    <s v="New Feature"/>
    <s v="OM-2216"/>
    <s v="Contact Lens AU Project- Supplier Rule"/>
    <s v="New Feature"/>
    <x v="0"/>
    <d v="2016-03-29T10:14:00"/>
    <x v="7"/>
    <x v="1"/>
    <x v="20"/>
    <n v="4"/>
    <m/>
    <n v="156.4"/>
    <n v="27.600000000000005"/>
  </r>
  <r>
    <s v="Backend - OM"/>
    <x v="2"/>
    <s v="New Feature"/>
    <s v="OM-2216"/>
    <s v="Contact Lens AU Project- Supplier Rule"/>
    <s v="New Feature"/>
    <x v="0"/>
    <d v="2016-03-30T12:11:00"/>
    <x v="7"/>
    <x v="1"/>
    <x v="33"/>
    <n v="2"/>
    <m/>
    <n v="156.4"/>
    <n v="27.600000000000005"/>
  </r>
  <r>
    <s v="Backend - OM"/>
    <x v="1"/>
    <s v="New Feature"/>
    <s v="OM-2216"/>
    <s v="Contact Lens AU Project- Supplier Rule"/>
    <s v="New Feature"/>
    <x v="0"/>
    <d v="2016-03-30T18:29:00"/>
    <x v="7"/>
    <x v="1"/>
    <x v="30"/>
    <n v="3"/>
    <m/>
    <n v="156.4"/>
    <n v="27.600000000000005"/>
  </r>
  <r>
    <s v="Backend - OM"/>
    <x v="2"/>
    <s v="New Feature"/>
    <s v="OM-2216"/>
    <s v="Contact Lens AU Project- Supplier Rule"/>
    <s v="New Feature"/>
    <x v="0"/>
    <d v="2016-03-31T12:17:00"/>
    <x v="7"/>
    <x v="1"/>
    <x v="33"/>
    <n v="1"/>
    <m/>
    <n v="156.4"/>
    <n v="27.600000000000005"/>
  </r>
  <r>
    <s v="Backend - OM"/>
    <x v="2"/>
    <s v="Task"/>
    <s v="OM-2218"/>
    <s v="Use order to find their payment status"/>
    <s v="Task"/>
    <x v="0"/>
    <d v="2016-03-02T17:56:00"/>
    <x v="7"/>
    <x v="1"/>
    <x v="16"/>
    <n v="2"/>
    <m/>
    <n v="156.4"/>
    <n v="27.600000000000005"/>
  </r>
  <r>
    <s v="Backend - OM"/>
    <x v="2"/>
    <s v="Improvement"/>
    <s v="OM-2219"/>
    <s v="Contact Lens Phase"/>
    <s v="Improvement"/>
    <x v="0"/>
    <d v="2016-03-02T12:32:00"/>
    <x v="7"/>
    <x v="1"/>
    <x v="33"/>
    <n v="2"/>
    <m/>
    <n v="156.4"/>
    <n v="27.600000000000005"/>
  </r>
  <r>
    <s v="Backend - OM"/>
    <x v="2"/>
    <s v="Improvement"/>
    <s v="OM-2219"/>
    <s v="Contact Lens Phase"/>
    <s v="Improvement"/>
    <x v="0"/>
    <d v="2016-03-03T17:11:00"/>
    <x v="7"/>
    <x v="1"/>
    <x v="33"/>
    <n v="1.5"/>
    <m/>
    <n v="156.4"/>
    <n v="27.600000000000005"/>
  </r>
  <r>
    <s v="Backend - OM"/>
    <x v="2"/>
    <s v="Improvement"/>
    <s v="OM-2219"/>
    <s v="Contact Lens Phase"/>
    <s v="Improvement"/>
    <x v="0"/>
    <d v="2016-03-04T11:52:00"/>
    <x v="7"/>
    <x v="1"/>
    <x v="33"/>
    <n v="1.5"/>
    <m/>
    <n v="156.4"/>
    <n v="27.600000000000005"/>
  </r>
  <r>
    <s v="Backend - OM"/>
    <x v="2"/>
    <s v="Improvement"/>
    <s v="OM-2219"/>
    <s v="Contact Lens Phase"/>
    <s v="Improvement"/>
    <x v="0"/>
    <d v="2016-03-08T18:24:00"/>
    <x v="7"/>
    <x v="1"/>
    <x v="33"/>
    <n v="1.5"/>
    <m/>
    <n v="156.4"/>
    <n v="27.600000000000005"/>
  </r>
  <r>
    <s v="Backend - OM"/>
    <x v="2"/>
    <s v="Improvement"/>
    <s v="OM-2219"/>
    <s v="Contact Lens Phase"/>
    <s v="Improvement"/>
    <x v="0"/>
    <d v="2016-03-09T15:12:00"/>
    <x v="7"/>
    <x v="1"/>
    <x v="33"/>
    <n v="1.5"/>
    <m/>
    <n v="156.4"/>
    <n v="27.600000000000005"/>
  </r>
  <r>
    <s v="Backend - OM"/>
    <x v="2"/>
    <s v="Improvement"/>
    <s v="OM-2219"/>
    <s v="Contact Lens Phase"/>
    <s v="Improvement"/>
    <x v="0"/>
    <d v="2016-03-14T16:54:00"/>
    <x v="7"/>
    <x v="1"/>
    <x v="33"/>
    <n v="1.5"/>
    <m/>
    <n v="156.4"/>
    <n v="27.600000000000005"/>
  </r>
  <r>
    <s v="Backend - OM"/>
    <x v="2"/>
    <s v="Improvement"/>
    <s v="OM-2219"/>
    <s v="Contact Lens Phase"/>
    <s v="Improvement"/>
    <x v="0"/>
    <d v="2016-03-15T15:03:00"/>
    <x v="7"/>
    <x v="1"/>
    <x v="33"/>
    <n v="3.5"/>
    <m/>
    <n v="156.4"/>
    <n v="27.600000000000005"/>
  </r>
  <r>
    <s v="Backend - OM"/>
    <x v="2"/>
    <s v="Improvement"/>
    <s v="OM-2219"/>
    <s v="Contact Lens Phase"/>
    <s v="Improvement"/>
    <x v="0"/>
    <d v="2016-03-28T17:36:00"/>
    <x v="7"/>
    <x v="1"/>
    <x v="33"/>
    <n v="2"/>
    <m/>
    <n v="156.4"/>
    <n v="27.600000000000005"/>
  </r>
  <r>
    <s v="Backend - OM"/>
    <x v="2"/>
    <s v="Improvement"/>
    <s v="OM-2219"/>
    <s v="Contact Lens Phase"/>
    <s v="Improvement"/>
    <x v="0"/>
    <d v="2016-03-29T17:39:00"/>
    <x v="7"/>
    <x v="1"/>
    <x v="33"/>
    <n v="1.5"/>
    <m/>
    <n v="156.4"/>
    <n v="27.600000000000005"/>
  </r>
  <r>
    <s v="Backend - OM"/>
    <x v="2"/>
    <s v="New Feature"/>
    <s v="OM-2220"/>
    <s v="Wrong source for meta tags for CL products"/>
    <s v="New Feature"/>
    <x v="0"/>
    <d v="2016-03-25T14:44:00"/>
    <x v="7"/>
    <x v="1"/>
    <x v="29"/>
    <n v="4"/>
    <m/>
    <n v="156.4"/>
    <n v="27.600000000000005"/>
  </r>
  <r>
    <s v="Backend - OM"/>
    <x v="1"/>
    <s v="New Feature"/>
    <s v="OM-2220"/>
    <s v="Wrong source for meta tags for CL products"/>
    <s v="New Feature"/>
    <x v="0"/>
    <d v="2016-03-30T16:35:00"/>
    <x v="7"/>
    <x v="1"/>
    <x v="30"/>
    <n v="3"/>
    <m/>
    <n v="156.4"/>
    <n v="27.600000000000005"/>
  </r>
  <r>
    <s v="Backend - OM"/>
    <x v="2"/>
    <s v="Task"/>
    <s v="OM-2222"/>
    <s v="Fix category display for existing data"/>
    <s v="Task"/>
    <x v="0"/>
    <d v="2016-03-02T17:42:00"/>
    <x v="7"/>
    <x v="1"/>
    <x v="33"/>
    <n v="1.5"/>
    <m/>
    <n v="156.4"/>
    <n v="27.600000000000005"/>
  </r>
  <r>
    <s v="Backend - OM"/>
    <x v="2"/>
    <s v="Task"/>
    <s v="OM-2222"/>
    <s v="Fix category display for existing data"/>
    <s v="Task"/>
    <x v="0"/>
    <d v="2016-03-03T15:23:00"/>
    <x v="7"/>
    <x v="1"/>
    <x v="33"/>
    <n v="2"/>
    <m/>
    <n v="156.4"/>
    <n v="27.600000000000005"/>
  </r>
  <r>
    <s v="Backend - OM"/>
    <x v="2"/>
    <s v="Task"/>
    <s v="OM-2223"/>
    <s v="Replace meta tags desktop"/>
    <s v="Task"/>
    <x v="0"/>
    <d v="2016-03-25T14:43:00"/>
    <x v="7"/>
    <x v="1"/>
    <x v="29"/>
    <n v="4"/>
    <m/>
    <n v="156.4"/>
    <n v="27.600000000000005"/>
  </r>
  <r>
    <s v="Backend - OM"/>
    <x v="2"/>
    <s v="Improvement"/>
    <s v="OM-2224"/>
    <s v="Contact Lens - Cost Price Refresh Europe March 2016"/>
    <s v="Improvement"/>
    <x v="0"/>
    <d v="2016-03-03T16:42:00"/>
    <x v="7"/>
    <x v="1"/>
    <x v="33"/>
    <n v="1.5"/>
    <m/>
    <n v="156.4"/>
    <n v="27.600000000000005"/>
  </r>
  <r>
    <s v="Backend - OM"/>
    <x v="2"/>
    <s v="Improvement"/>
    <s v="OM-2224"/>
    <s v="Contact Lens - Cost Price Refresh Europe March 2016"/>
    <s v="Improvement"/>
    <x v="0"/>
    <d v="2016-03-04T14:18:00"/>
    <x v="7"/>
    <x v="1"/>
    <x v="33"/>
    <n v="2"/>
    <m/>
    <n v="156.4"/>
    <n v="27.600000000000005"/>
  </r>
  <r>
    <s v="Backend - OM"/>
    <x v="2"/>
    <s v="Improvement"/>
    <s v="OM-2224"/>
    <s v="Contact Lens - Cost Price Refresh Europe March 2016"/>
    <s v="Improvement"/>
    <x v="0"/>
    <d v="2016-03-07T14:18:00"/>
    <x v="7"/>
    <x v="1"/>
    <x v="33"/>
    <n v="3"/>
    <m/>
    <n v="156.4"/>
    <n v="27.600000000000005"/>
  </r>
  <r>
    <s v="Backend - OM"/>
    <x v="2"/>
    <s v="Improvement"/>
    <s v="OM-2224"/>
    <s v="Contact Lens - Cost Price Refresh Europe March 2016"/>
    <s v="Improvement"/>
    <x v="0"/>
    <d v="2016-03-07T14:37:00"/>
    <x v="7"/>
    <x v="1"/>
    <x v="33"/>
    <n v="3"/>
    <m/>
    <n v="156.4"/>
    <n v="27.600000000000005"/>
  </r>
  <r>
    <s v="Backend - OM"/>
    <x v="2"/>
    <s v="Improvement"/>
    <s v="OM-2224"/>
    <s v="Contact Lens - Cost Price Refresh Europe March 2016"/>
    <s v="Improvement"/>
    <x v="0"/>
    <d v="2016-03-08T14:37:00"/>
    <x v="7"/>
    <x v="1"/>
    <x v="33"/>
    <n v="1.5"/>
    <m/>
    <n v="156.4"/>
    <n v="27.600000000000005"/>
  </r>
  <r>
    <s v="Backend - OM"/>
    <x v="2"/>
    <s v="Improvement"/>
    <s v="OM-2224"/>
    <s v="Contact Lens - Cost Price Refresh Europe March 2016"/>
    <s v="Improvement"/>
    <x v="0"/>
    <d v="2016-03-09T18:16:00"/>
    <x v="7"/>
    <x v="1"/>
    <x v="33"/>
    <n v="1.5"/>
    <m/>
    <n v="156.4"/>
    <n v="27.600000000000005"/>
  </r>
  <r>
    <s v="Backend - OM"/>
    <x v="2"/>
    <s v="Improvement"/>
    <s v="OM-2224"/>
    <s v="Contact Lens - Cost Price Refresh Europe March 2016"/>
    <s v="Improvement"/>
    <x v="0"/>
    <d v="2016-03-15T15:04:00"/>
    <x v="7"/>
    <x v="1"/>
    <x v="33"/>
    <n v="2"/>
    <m/>
    <n v="156.4"/>
    <n v="27.600000000000005"/>
  </r>
  <r>
    <s v="Backend - OM"/>
    <x v="2"/>
    <s v="Bug"/>
    <s v="OM-2225"/>
    <s v="SendGrid problem"/>
    <s v="Bug"/>
    <x v="1"/>
    <d v="2016-03-03T18:43:00"/>
    <x v="7"/>
    <x v="1"/>
    <x v="9"/>
    <n v="0.5"/>
    <s v="check this problem"/>
    <n v="156.4"/>
    <n v="27.600000000000005"/>
  </r>
  <r>
    <s v="Backend - OM"/>
    <x v="2"/>
    <s v="Bug"/>
    <s v="OM-2225"/>
    <s v="SendGrid problem"/>
    <s v="Bug"/>
    <x v="1"/>
    <d v="2016-03-04T18:24:00"/>
    <x v="7"/>
    <x v="1"/>
    <x v="9"/>
    <n v="2.5"/>
    <m/>
    <n v="156.4"/>
    <n v="27.600000000000005"/>
  </r>
  <r>
    <s v="Backend - OM"/>
    <x v="2"/>
    <s v="Bug"/>
    <s v="OM-2225"/>
    <s v="SendGrid problem"/>
    <s v="Bug"/>
    <x v="1"/>
    <d v="2016-03-04T18:26:00"/>
    <x v="7"/>
    <x v="1"/>
    <x v="9"/>
    <n v="0.5"/>
    <s v="[4:01:05 PM] Crystal Liu: 有空不 [4:01:25 PM] Crystal Liu: 我这边创 CLPO出现状况了 [4:01:32 PM] Crystal Liu: SQLSTATE[HY000]: General error: 1205 Lock wait timeout exceeded; try restarting transaction Zend_Db_Statement_Exception Object ( [_chainedException:protected] =&gt; PDOException Object ( [message:protected] =&gt; SQLSTATE[HY000]: General error: 1205 Lock wait timeout exceeded; try restarting transaction [string:private] =&gt; [code:protected] =&gt; HY000 [file:protected] =&gt; /var/www/html/om2012/library/Zend/Db/Statement/Pdo.php [line:protected] =&gt; 228 [trace:private] =&gt; Array ( [0] =&gt; Array ( [file] =&gt; /var/www/html/om2012/library/Zend/Db/Statement/Pdo.php [line] =&gt; 228 [function] =&gt; execute [class] =&gt; PDOStatement [type] =&gt; -&gt; [args] =&gt; Array ( [0] =&gt; Array ( [0] =&gt; 18 ) ) ) [1] =&gt; Array ( [file] =&gt; /var/www/html/om2012/library/Zend/Db/Statement.php [line] =&gt; 320 [function] =&gt; _execute [class] =&gt; Zend_Db_Statement_Pdo [type] =&gt; -&gt; [args] =&gt; Array ( [0] =&gt; Array ( [0] =&gt; 18 ) ) ) [2] =&gt; Array ( [file] =&gt; /var/www/html/om2012/library/Zend/Db/Adapter/Abstract.php [line] =&gt; 467 [function] =&gt; execute [class] =&gt; Zend_Db_Statement [type] =&gt; -&gt; [args] =&gt; Array ( [0] =&gt; Array ( [0] =&gt; 18 ) ) ) [3] =&gt; Array ( [file] =&gt; /var/www/html/om2012/library/Zend/Db/Adapter/Pdo/Abstract.php [line] =&gt; 238 [function] =&gt; query [class] =&gt; Zend_Db_Adapter_Abstract [type] =&gt; -&gt; [args] =&gt; Array ( [0] =&gt; UPDATE `om_email_scheduler` SET `email_type_id` = ? WHERE (order_code='VD0313226901CE') AND (is_active=1) [1] =&gt; Array ( [0] =&gt; 18 ) ) ) [4] =&gt; Array ( [file] =&gt; /var/www/html/om2012/library/Zend/Db/Adapter/Abstract.php [line] =&gt; 603 [function] =&gt; query [class] =&gt; Zend_Db_Adapter_Pdo_Abstract [type] =&gt; -&gt; [args] =&gt; Array ( [0] =&gt; UPDATE `om_email_scheduler` SET `email_type_id` = ? WHERE (order_code='VD0313226901CE') AND (is_active=1) [1] =&gt; Array ( [0] =&gt; 18 ) ) ) [5] =&gt; Array ( [file] =&gt; /var/www/html/om2012/application/default/tables/omEmailSchedulerTable.php [line] =&gt; 14 [function] =&gt; update [class] =&gt; Zend_Db_Adapter_Abstract [type] =&gt; -&gt; [args] =&gt; Array ( [0] =&gt; om_email_scheduler [1] =&gt; Array ( [email_type_id] =&gt; 18 ) [2] =&gt; Array ( [order_code=?] =&gt; VD0313226901CE [is_active=?] =&gt; 1 ) ) ) [6] =&gt; Array ( [file] =&gt; /var/www/html/om2012/application/default/models/OrderUpdate.php [line] =&gt; 753 [function] =&gt; updateItem [class] =&gt; omEmailSchedulerTable [type] =&gt; -&gt; [args] =&gt; Array ( [0] =&gt; Array ( [email_type_id] =&gt; 18 ) [1] =&gt; Array ( [order_code=?] =&gt; VD0313226901CE [is_active=?] =&gt; 1 ) ) ) [7] =&gt; Array ( [file] =&gt; /var/www/html/om2012/application/default/models/OrderUpdate.php [line] =&gt; 802 [function] =&gt; contactEmailSchedular [class] =&gt; OrderUpdate [type] =&gt; -&gt; [args] =&gt; Array ( [0] =&gt; Array ( [country_id] =&gt; 4 [Order_id] =&gt; VD0313226901CE [Product_category] =&gt; Contact Lens [Cart_id] =&gt; 1354295918270943 [Order_Status] =&gt; stock in transition [Shipping_date] =&gt; [Tracking] =&gt; [Courier] =&gt; [partial_qty] =&gt; 1 [partial_qty_other] =&amp;gt.. [4:01:39 PM] Crystal Liu: 每次都只创一个[4:01:05 PM] Crystal Liu: 有空不 [4:01:25 PM] Crystal Liu: 我这边创 CLPO出现状况了 [4:01:32 PM] Crystal Liu: SQLSTATE[HY000]: General error: 1205 Lock wait timeout exceeded; try restarting transaction Zend_Db_Statement_Exception Object ( [_chainedException:protected] =&gt; PDOException Object ( [message:protected] =&gt; SQLSTATE[HY000]: General error: 1205 Lock wait timeout exceeded; try restarting transaction [string:private] =&gt; [code:protected] =&gt; HY000 [file:protected] =&gt; /var/www/html/om2012/library/Zend/Db/Statement/Pdo.php [line:protected] =&gt; 228 [trace:private] =&gt; Array ( [0] =&gt; Array ( [file] =&gt; /var/www/html/om2012/library/Zend/Db/Statement/Pdo.php [line] =&gt; 228 [function] =&gt; execute [class] =&gt; PDOStatement [type] =&gt; -&gt; [args] =&gt; Array ( [0] =&gt; Array ( [0] =&gt; 18 ) ) ) [1] =&gt; Array ( [file] =&gt; /var/www/html/om2012/library/Zend/Db/Statement.php [line] =&gt; 320 [function] =&gt; _execute [class] =&gt; Zend_Db_Statement_Pdo [type] =&gt; -&gt; [args] =&gt; Array ( [0] =&gt; Array ( [0] =&gt; 18 ) ) ) [2] =&gt; Array ( [file] =&gt; /var/www/html/om2012/library/Zend/Db/Adapter/Abstract.php [line] =&gt; 467 [function] =&gt; execute [class] =&gt; Zend_Db_Statement [type] =&gt; -&gt; [args] =&gt; Array ( [0] =&gt; Array ( [0] =&gt; 18 ) ) ) [3] =&gt; Array ( [file] =&gt; /var/www/html/om2012/library/Zend/Db/Adapter/Pdo/Abstract.php [line] =&gt; 238 [function] =&gt; query [class] =&gt; Zend_Db_Adapter_Abstract [type] =&gt; -&gt; [args] =&gt; Array ( [0] =&gt; UPDATE `om_email_scheduler` SET `email_type_id` = ? WHERE (order_code='VD0313226901CE') AND (is_active=1) [1] =&gt; Array ( [0] =&gt; 18 ) ) ) [4] =&gt; Array ( [file] =&gt; /var/www/html/om2012/library/Zend/Db/Adapter/Abstract.php [line] =&gt; 603 [function] =&gt; query [class] =&gt; Zend_Db_Adapter_Pdo_Abstract [type] =&gt; -&gt; [args] =&gt; Array ( [0] =&gt; UPDATE `om_email_scheduler` SET `email_type_id` = ? WHERE (order_code='VD0313226901CE') AND (is_active=1) [1] =&gt; Array ( [0] =&gt; 18 ) ) ) [5] =&gt; Array ( [file] =&gt; /var/www/html/om2012/application/default/tables/omEmailSchedulerTable.php [line] =&gt; 14 [function] =&gt; update [class] =&gt; Zend_Db_Adapter_Abstract [type] =&gt; -&gt; [args] =&gt; Array ( [0] =&gt; om_email_scheduler [1] =&gt; Array ( [email_type_id] =&gt; 18 ) [2] =&gt; Array ( [order_code=?] =&gt; VD0313226901CE [is_active=?] =&gt; 1 ) ) ) [6] =&gt; Array ( [file] =&gt; /var/www/html/om2012/application/default/models/OrderUpdate.php [line] =&gt; 753 [function] =&gt; updateItem [class] =&gt; omEmailSchedulerTable [type] =&gt; -&gt; [args] =&gt; Array ( [0] =&gt; Array ( [email_type_id] =&gt; 18 ) [1] =&gt; Array ( [order_code=?] =&gt; VD0313226901CE [is_active=?] =&gt; 1 ) ) ) [7] =&gt; Array ( [file] =&gt; /var/www/html/om2012/application/default/models/OrderUpdate.php [line] =&gt; 802 [function] =&gt; contactEmailSchedular [class] =&gt; OrderUpdate [type] =&gt; -&gt; [args] =&gt; Array ( [0] =&gt; Array ( [country_id] =&gt; 4 [Order_id] =&gt; VD0313226901CE [Product_category] =&gt; Contact Lens [Cart_id] =&gt; 1354295918270943 [Order_Status] =&gt; stock in transition [Shipping_date] =&gt; [Tracking] =&gt; [Courier] =&gt; [partial_qty] =&gt; 1 [partial_qty_other] =&amp;gt.. [4:01:39 PM] Crystal Liu: 每次都只创一个"/>
    <n v="156.4"/>
    <n v="27.600000000000005"/>
  </r>
  <r>
    <s v="Backend - OM"/>
    <x v="2"/>
    <s v="Bug"/>
    <s v="OM-2225"/>
    <s v="SendGrid problem"/>
    <s v="Bug"/>
    <x v="1"/>
    <d v="2016-03-17T17:52:00"/>
    <x v="7"/>
    <x v="1"/>
    <x v="9"/>
    <n v="3"/>
    <m/>
    <n v="156.4"/>
    <n v="27.600000000000005"/>
  </r>
  <r>
    <s v="Backend - OM"/>
    <x v="2"/>
    <s v="Bug"/>
    <s v="OM-2225"/>
    <s v="SendGrid problem"/>
    <s v="Bug"/>
    <x v="1"/>
    <d v="2016-03-31T11:22:00"/>
    <x v="7"/>
    <x v="1"/>
    <x v="9"/>
    <n v="1"/>
    <m/>
    <n v="156.4"/>
    <n v="27.600000000000005"/>
  </r>
  <r>
    <s v="Backend - OM"/>
    <x v="2"/>
    <s v="Improvement"/>
    <s v="OM-2226"/>
    <s v="[AR] Discount for Discontinued items"/>
    <s v="Improvement"/>
    <x v="0"/>
    <d v="2016-03-07T18:19:00"/>
    <x v="7"/>
    <x v="1"/>
    <x v="9"/>
    <n v="1.5"/>
    <m/>
    <n v="156.4"/>
    <n v="27.600000000000005"/>
  </r>
  <r>
    <s v="Backend - OM"/>
    <x v="1"/>
    <s v="Improvement"/>
    <s v="OM-2226"/>
    <s v="[AR] Discount for Discontinued items"/>
    <s v="Improvement"/>
    <x v="0"/>
    <d v="2016-03-09T18:20:00"/>
    <x v="7"/>
    <x v="1"/>
    <x v="21"/>
    <n v="3"/>
    <m/>
    <n v="156.4"/>
    <n v="27.600000000000005"/>
  </r>
  <r>
    <s v="Backend - OM"/>
    <x v="1"/>
    <s v="Improvement"/>
    <s v="OM-2226"/>
    <s v="[AR] Discount for Discontinued items"/>
    <s v="Improvement"/>
    <x v="0"/>
    <d v="2016-03-10T15:13:00"/>
    <x v="7"/>
    <x v="1"/>
    <x v="21"/>
    <n v="3"/>
    <m/>
    <n v="156.4"/>
    <n v="27.600000000000005"/>
  </r>
  <r>
    <s v="Backend - OM"/>
    <x v="1"/>
    <s v="Improvement"/>
    <s v="OM-2226"/>
    <s v="[AR] Discount for Discontinued items"/>
    <s v="Improvement"/>
    <x v="0"/>
    <d v="2016-03-11T19:14:00"/>
    <x v="7"/>
    <x v="1"/>
    <x v="21"/>
    <n v="3"/>
    <m/>
    <n v="156.4"/>
    <n v="27.600000000000005"/>
  </r>
  <r>
    <s v="Backend - OM"/>
    <x v="1"/>
    <s v="Improvement"/>
    <s v="OM-2226"/>
    <s v="[AR] Discount for Discontinued items"/>
    <s v="Improvement"/>
    <x v="0"/>
    <d v="2016-03-14T16:27:00"/>
    <x v="7"/>
    <x v="1"/>
    <x v="21"/>
    <n v="3"/>
    <m/>
    <n v="156.4"/>
    <n v="27.600000000000005"/>
  </r>
  <r>
    <s v="Backend - OM"/>
    <x v="1"/>
    <s v="Improvement"/>
    <s v="OM-2226"/>
    <s v="[AR] Discount for Discontinued items"/>
    <s v="Improvement"/>
    <x v="0"/>
    <d v="2016-03-15T17:56:00"/>
    <x v="7"/>
    <x v="1"/>
    <x v="21"/>
    <n v="2"/>
    <m/>
    <n v="156.4"/>
    <n v="27.600000000000005"/>
  </r>
  <r>
    <s v="Backend - OM"/>
    <x v="2"/>
    <s v="Bug"/>
    <s v="OM-2229"/>
    <s v="[AR] if order is closed or cancelled, will stop Auto Responder"/>
    <s v="Bug"/>
    <x v="1"/>
    <d v="2016-03-07T15:45:00"/>
    <x v="7"/>
    <x v="1"/>
    <x v="9"/>
    <n v="2.5"/>
    <m/>
    <n v="156.4"/>
    <n v="27.600000000000005"/>
  </r>
  <r>
    <s v="Backend - OM"/>
    <x v="2"/>
    <s v="Bug"/>
    <s v="OM-2229"/>
    <s v="[AR] if order is closed or cancelled, will stop Auto Responder"/>
    <s v="Bug"/>
    <x v="1"/>
    <d v="2016-03-10T18:57:00"/>
    <x v="7"/>
    <x v="1"/>
    <x v="9"/>
    <n v="1"/>
    <s v="support QA test"/>
    <n v="156.4"/>
    <n v="27.600000000000005"/>
  </r>
  <r>
    <s v="Backend - OM"/>
    <x v="1"/>
    <s v="Bug"/>
    <s v="OM-2229"/>
    <s v="[AR] if order is closed or cancelled, will stop Auto Responder"/>
    <s v="Bug"/>
    <x v="1"/>
    <d v="2016-03-11T19:15:00"/>
    <x v="7"/>
    <x v="1"/>
    <x v="21"/>
    <n v="2"/>
    <m/>
    <n v="156.4"/>
    <n v="27.600000000000005"/>
  </r>
  <r>
    <s v="Backend - OM"/>
    <x v="1"/>
    <s v="Bug"/>
    <s v="OM-2229"/>
    <s v="[AR] if order is closed or cancelled, will stop Auto Responder"/>
    <s v="Bug"/>
    <x v="1"/>
    <d v="2016-03-14T16:27:00"/>
    <x v="7"/>
    <x v="1"/>
    <x v="21"/>
    <n v="2"/>
    <m/>
    <n v="156.4"/>
    <n v="27.600000000000005"/>
  </r>
  <r>
    <s v="Backend - OM"/>
    <x v="1"/>
    <s v="Bug"/>
    <s v="OM-2229"/>
    <s v="[AR] if order is closed or cancelled, will stop Auto Responder"/>
    <s v="Bug"/>
    <x v="1"/>
    <d v="2016-03-15T17:56:00"/>
    <x v="7"/>
    <x v="1"/>
    <x v="21"/>
    <n v="3"/>
    <m/>
    <n v="156.4"/>
    <n v="27.600000000000005"/>
  </r>
  <r>
    <s v="Backend - OM"/>
    <x v="2"/>
    <s v="Improvement"/>
    <s v="OM-2230"/>
    <s v="90 Day meeting &amp; Scrum team meeting"/>
    <s v="Improvement"/>
    <x v="0"/>
    <d v="2016-03-01T15:14:00"/>
    <x v="7"/>
    <x v="1"/>
    <x v="33"/>
    <n v="0.5"/>
    <m/>
    <n v="156.4"/>
    <n v="27.600000000000005"/>
  </r>
  <r>
    <s v="Backend - OM"/>
    <x v="2"/>
    <s v="Improvement"/>
    <s v="OM-2230"/>
    <s v="90 Day meeting &amp; Scrum team meeting"/>
    <s v="Improvement"/>
    <x v="0"/>
    <d v="2016-03-07T17:25:00"/>
    <x v="7"/>
    <x v="1"/>
    <x v="33"/>
    <n v="2"/>
    <m/>
    <n v="156.4"/>
    <n v="27.600000000000005"/>
  </r>
  <r>
    <s v="Backend - OM"/>
    <x v="2"/>
    <s v="Improvement"/>
    <s v="OM-2230"/>
    <s v="90 Day meeting &amp; Scrum team meeting"/>
    <s v="Improvement"/>
    <x v="0"/>
    <d v="2016-03-09T18:13:00"/>
    <x v="7"/>
    <x v="1"/>
    <x v="33"/>
    <n v="1"/>
    <s v="Feeds meeting"/>
    <n v="156.4"/>
    <n v="27.600000000000005"/>
  </r>
  <r>
    <s v="Backend - OM"/>
    <x v="2"/>
    <s v="Improvement"/>
    <s v="OM-2230"/>
    <s v="90 Day meeting &amp; Scrum team meeting"/>
    <s v="Improvement"/>
    <x v="0"/>
    <d v="2016-03-10T18:12:00"/>
    <x v="7"/>
    <x v="1"/>
    <x v="33"/>
    <n v="1.5"/>
    <m/>
    <n v="156.4"/>
    <n v="27.600000000000005"/>
  </r>
  <r>
    <s v="Backend - OM"/>
    <x v="2"/>
    <s v="Improvement"/>
    <s v="OM-2230"/>
    <s v="90 Day meeting &amp; Scrum team meeting"/>
    <s v="Improvement"/>
    <x v="0"/>
    <d v="2016-03-11T18:22:00"/>
    <x v="7"/>
    <x v="1"/>
    <x v="33"/>
    <n v="0.5"/>
    <s v="Feeds meeting"/>
    <n v="156.4"/>
    <n v="27.600000000000005"/>
  </r>
  <r>
    <s v="Backend - OM"/>
    <x v="2"/>
    <s v="Improvement"/>
    <s v="OM-2230"/>
    <s v="90 Day meeting &amp; Scrum team meeting"/>
    <s v="Improvement"/>
    <x v="0"/>
    <d v="2016-03-14T16:53:00"/>
    <x v="7"/>
    <x v="1"/>
    <x v="33"/>
    <n v="1"/>
    <s v="AU Project- Alex"/>
    <n v="156.4"/>
    <n v="27.600000000000005"/>
  </r>
  <r>
    <s v="Backend - OM"/>
    <x v="2"/>
    <s v="Improvement"/>
    <s v="OM-2230"/>
    <s v="90 Day meeting &amp; Scrum team meeting"/>
    <s v="Improvement"/>
    <x v="0"/>
    <d v="2016-03-24T14:59:00"/>
    <x v="7"/>
    <x v="1"/>
    <x v="33"/>
    <n v="1.5"/>
    <m/>
    <n v="156.4"/>
    <n v="27.600000000000005"/>
  </r>
  <r>
    <s v="Backend - OM"/>
    <x v="2"/>
    <s v="Improvement"/>
    <s v="OM-2230"/>
    <s v="90 Day meeting &amp; Scrum team meeting"/>
    <s v="Improvement"/>
    <x v="0"/>
    <d v="2016-03-25T12:23:00"/>
    <x v="7"/>
    <x v="1"/>
    <x v="33"/>
    <n v="1"/>
    <m/>
    <n v="156.4"/>
    <n v="27.600000000000005"/>
  </r>
  <r>
    <s v="Backend - OM"/>
    <x v="2"/>
    <s v="Improvement"/>
    <s v="OM-2230"/>
    <s v="90 Day meeting &amp; Scrum team meeting"/>
    <s v="Improvement"/>
    <x v="0"/>
    <d v="2016-03-31T12:12:00"/>
    <x v="7"/>
    <x v="1"/>
    <x v="33"/>
    <n v="2.5"/>
    <s v="Upsell meeting"/>
    <n v="156.4"/>
    <n v="27.600000000000005"/>
  </r>
  <r>
    <s v="Backend - OM"/>
    <x v="2"/>
    <s v="Improvement"/>
    <s v="OM-2230"/>
    <s v="90 Day meeting &amp; Scrum team meeting"/>
    <s v="Improvement"/>
    <x v="0"/>
    <d v="2016-03-31T16:47:00"/>
    <x v="7"/>
    <x v="1"/>
    <x v="33"/>
    <n v="1"/>
    <s v="Upsell Meeting"/>
    <n v="156.4"/>
    <n v="27.600000000000005"/>
  </r>
  <r>
    <s v="Backend - OM"/>
    <x v="2"/>
    <s v="Bug"/>
    <s v="OM-2231"/>
    <s v="[AR] status update email, missing &quot;status name&quot; for mobile email"/>
    <s v="Bug"/>
    <x v="1"/>
    <d v="2016-03-07T18:23:00"/>
    <x v="7"/>
    <x v="1"/>
    <x v="9"/>
    <n v="1"/>
    <m/>
    <n v="156.4"/>
    <n v="27.600000000000005"/>
  </r>
  <r>
    <s v="Backend - OM"/>
    <x v="1"/>
    <s v="Bug"/>
    <s v="OM-2231"/>
    <s v="[AR] status update email, missing &quot;status name&quot; for mobile email"/>
    <s v="Bug"/>
    <x v="1"/>
    <d v="2016-03-09T18:27:00"/>
    <x v="7"/>
    <x v="1"/>
    <x v="30"/>
    <n v="2"/>
    <m/>
    <n v="156.4"/>
    <n v="27.600000000000005"/>
  </r>
  <r>
    <s v="Backend - OM"/>
    <x v="2"/>
    <s v="Bug"/>
    <s v="OM-2231"/>
    <s v="[AR] status update email, missing &quot;status name&quot; for mobile email"/>
    <s v="Bug"/>
    <x v="1"/>
    <d v="2016-03-09T19:23:00"/>
    <x v="7"/>
    <x v="1"/>
    <x v="9"/>
    <n v="0.5"/>
    <m/>
    <n v="156.4"/>
    <n v="27.600000000000005"/>
  </r>
  <r>
    <s v="Backend - OM"/>
    <x v="1"/>
    <s v="Bug"/>
    <s v="OM-2231"/>
    <s v="[AR] status update email, missing &quot;status name&quot; for mobile email"/>
    <s v="Bug"/>
    <x v="1"/>
    <d v="2016-03-10T18:53:00"/>
    <x v="7"/>
    <x v="1"/>
    <x v="30"/>
    <n v="1"/>
    <m/>
    <n v="156.4"/>
    <n v="27.600000000000005"/>
  </r>
  <r>
    <s v="Backend - OM"/>
    <x v="2"/>
    <s v="Bug"/>
    <s v="OM-2231"/>
    <s v="[AR] status update email, missing &quot;status name&quot; for mobile email"/>
    <s v="Bug"/>
    <x v="1"/>
    <d v="2016-03-10T18:58:00"/>
    <x v="7"/>
    <x v="1"/>
    <x v="9"/>
    <n v="1"/>
    <m/>
    <n v="156.4"/>
    <n v="27.600000000000005"/>
  </r>
  <r>
    <s v="Backend - OM"/>
    <x v="2"/>
    <s v="Bug"/>
    <s v="OM-2231"/>
    <s v="[AR] status update email, missing &quot;status name&quot; for mobile email"/>
    <s v="Bug"/>
    <x v="1"/>
    <d v="2016-03-11T17:23:00"/>
    <x v="7"/>
    <x v="1"/>
    <x v="9"/>
    <n v="0.5"/>
    <m/>
    <n v="156.4"/>
    <n v="27.600000000000005"/>
  </r>
  <r>
    <s v="Backend - OM"/>
    <x v="2"/>
    <s v="New Feature"/>
    <s v="OM-2232"/>
    <s v="Planning &amp; Estimating Next 90-Day Projects"/>
    <s v="New Feature"/>
    <x v="0"/>
    <d v="2016-02-21T23:11:00"/>
    <x v="11"/>
    <x v="1"/>
    <x v="25"/>
    <n v="40"/>
    <m/>
    <n v="127.5"/>
    <n v="22.500000000000004"/>
  </r>
  <r>
    <s v="Backend - OM"/>
    <x v="2"/>
    <s v="New Feature"/>
    <s v="OM-2232"/>
    <s v="Planning &amp; Estimating Next 90-Day Projects"/>
    <s v="New Feature"/>
    <x v="0"/>
    <d v="2016-03-07T23:12:00"/>
    <x v="7"/>
    <x v="1"/>
    <x v="25"/>
    <n v="40"/>
    <m/>
    <n v="156.4"/>
    <n v="27.600000000000005"/>
  </r>
  <r>
    <s v="Backend - OM"/>
    <x v="2"/>
    <s v="New Feature"/>
    <s v="OM-2233"/>
    <s v="Refund Bulk Confirmation"/>
    <s v="New Feature"/>
    <x v="0"/>
    <d v="2016-03-08T18:26:00"/>
    <x v="7"/>
    <x v="1"/>
    <x v="33"/>
    <n v="0.5"/>
    <m/>
    <n v="156.4"/>
    <n v="27.600000000000005"/>
  </r>
  <r>
    <s v="Backend - OM"/>
    <x v="2"/>
    <s v="Task"/>
    <s v="OM-2234"/>
    <s v="New Om list for MKT"/>
    <s v="Task"/>
    <x v="0"/>
    <d v="2016-03-08T17:52:00"/>
    <x v="7"/>
    <x v="1"/>
    <x v="33"/>
    <n v="1.5"/>
    <m/>
    <n v="156.4"/>
    <n v="27.600000000000005"/>
  </r>
  <r>
    <s v="Backend - OM"/>
    <x v="2"/>
    <s v="Improvement"/>
    <s v="OM-2235"/>
    <s v="[AR] move old AR data to new AR table"/>
    <s v="Improvement"/>
    <x v="0"/>
    <d v="2016-03-08T12:55:00"/>
    <x v="7"/>
    <x v="1"/>
    <x v="9"/>
    <n v="2"/>
    <m/>
    <n v="156.4"/>
    <n v="27.600000000000005"/>
  </r>
  <r>
    <s v="Backend - OM"/>
    <x v="2"/>
    <s v="Improvement"/>
    <s v="OM-2235"/>
    <s v="[AR] move old AR data to new AR table"/>
    <s v="Improvement"/>
    <x v="0"/>
    <d v="2016-03-14T18:47:00"/>
    <x v="7"/>
    <x v="1"/>
    <x v="9"/>
    <n v="1.5"/>
    <m/>
    <n v="156.4"/>
    <n v="27.600000000000005"/>
  </r>
  <r>
    <s v="Backend - OM"/>
    <x v="2"/>
    <s v="Improvement"/>
    <s v="OM-2235"/>
    <s v="[AR] move old AR data to new AR table"/>
    <s v="Improvement"/>
    <x v="0"/>
    <d v="2016-03-15T18:50:00"/>
    <x v="7"/>
    <x v="1"/>
    <x v="9"/>
    <n v="1.5"/>
    <m/>
    <n v="156.4"/>
    <n v="27.600000000000005"/>
  </r>
  <r>
    <s v="Backend - OM"/>
    <x v="2"/>
    <s v="Improvement"/>
    <s v="OM-2235"/>
    <s v="[AR] move old AR data to new AR table"/>
    <s v="Improvement"/>
    <x v="0"/>
    <d v="2016-03-16T18:20:00"/>
    <x v="7"/>
    <x v="1"/>
    <x v="9"/>
    <n v="1"/>
    <m/>
    <n v="156.4"/>
    <n v="27.600000000000005"/>
  </r>
  <r>
    <s v="Backend - OM"/>
    <x v="2"/>
    <s v="Improvement"/>
    <s v="OM-2235"/>
    <s v="[AR] move old AR data to new AR table"/>
    <s v="Improvement"/>
    <x v="0"/>
    <d v="2016-03-23T18:55:00"/>
    <x v="7"/>
    <x v="1"/>
    <x v="9"/>
    <n v="1"/>
    <m/>
    <n v="156.4"/>
    <n v="27.600000000000005"/>
  </r>
  <r>
    <s v="Backend - OM"/>
    <x v="2"/>
    <s v="Task"/>
    <s v="OM-2237"/>
    <s v="Contact Lens - historical order data clean-up Phase 2 - prescription parameters"/>
    <s v="Task"/>
    <x v="0"/>
    <d v="2016-03-14T16:52:00"/>
    <x v="7"/>
    <x v="1"/>
    <x v="33"/>
    <n v="1.5"/>
    <m/>
    <n v="156.4"/>
    <n v="27.600000000000005"/>
  </r>
  <r>
    <s v="Backend - OM"/>
    <x v="2"/>
    <s v="Task"/>
    <s v="OM-2237"/>
    <s v="Contact Lens - historical order data clean-up Phase 2 - prescription parameters"/>
    <s v="Task"/>
    <x v="0"/>
    <d v="2016-03-30T12:16:00"/>
    <x v="7"/>
    <x v="1"/>
    <x v="33"/>
    <n v="1.5"/>
    <m/>
    <n v="156.4"/>
    <n v="27.600000000000005"/>
  </r>
  <r>
    <s v="Backend - OM"/>
    <x v="2"/>
    <s v="Task"/>
    <s v="OM-2238"/>
    <s v="Order Comment and Notes"/>
    <s v="Task"/>
    <x v="0"/>
    <d v="2016-03-08T14:26:00"/>
    <x v="7"/>
    <x v="1"/>
    <x v="16"/>
    <n v="2"/>
    <m/>
    <n v="156.4"/>
    <n v="27.600000000000005"/>
  </r>
  <r>
    <s v="Backend - OM"/>
    <x v="1"/>
    <s v="Improvement"/>
    <s v="OM-2240"/>
    <s v="Autoresponder Phase 2"/>
    <s v="Improvement"/>
    <x v="0"/>
    <d v="2016-03-09T18:20:00"/>
    <x v="7"/>
    <x v="1"/>
    <x v="21"/>
    <n v="4"/>
    <m/>
    <n v="156.4"/>
    <n v="27.600000000000005"/>
  </r>
  <r>
    <s v="Backend - OM"/>
    <x v="2"/>
    <s v="Improvement"/>
    <s v="OM-2240"/>
    <s v="Autoresponder Phase 2"/>
    <s v="Improvement"/>
    <x v="0"/>
    <d v="2016-03-09T19:22:00"/>
    <x v="7"/>
    <x v="1"/>
    <x v="9"/>
    <n v="1.5"/>
    <s v="support QA test"/>
    <n v="156.4"/>
    <n v="27.600000000000005"/>
  </r>
  <r>
    <s v="Backend - OM"/>
    <x v="1"/>
    <s v="Improvement"/>
    <s v="OM-2240"/>
    <s v="Autoresponder Phase 2"/>
    <s v="Improvement"/>
    <x v="0"/>
    <d v="2016-03-10T15:13:00"/>
    <x v="7"/>
    <x v="1"/>
    <x v="21"/>
    <n v="2"/>
    <m/>
    <n v="156.4"/>
    <n v="27.600000000000005"/>
  </r>
  <r>
    <s v="Backend - OM"/>
    <x v="1"/>
    <s v="Improvement"/>
    <s v="OM-2240"/>
    <s v="Autoresponder Phase 2"/>
    <s v="Improvement"/>
    <x v="0"/>
    <d v="2016-03-11T19:14:00"/>
    <x v="7"/>
    <x v="1"/>
    <x v="21"/>
    <n v="3"/>
    <m/>
    <n v="156.4"/>
    <n v="27.600000000000005"/>
  </r>
  <r>
    <s v="Backend - OM"/>
    <x v="1"/>
    <s v="Improvement"/>
    <s v="OM-2240"/>
    <s v="Autoresponder Phase 2"/>
    <s v="Improvement"/>
    <x v="0"/>
    <d v="2016-03-14T16:27:00"/>
    <x v="7"/>
    <x v="1"/>
    <x v="21"/>
    <n v="3"/>
    <m/>
    <n v="156.4"/>
    <n v="27.600000000000005"/>
  </r>
  <r>
    <s v="Backend - OM"/>
    <x v="1"/>
    <s v="Improvement"/>
    <s v="OM-2240"/>
    <s v="Autoresponder Phase 2"/>
    <s v="Improvement"/>
    <x v="0"/>
    <d v="2016-03-15T17:56:00"/>
    <x v="7"/>
    <x v="1"/>
    <x v="21"/>
    <n v="3"/>
    <m/>
    <n v="156.4"/>
    <n v="27.600000000000005"/>
  </r>
  <r>
    <s v="Backend - OM"/>
    <x v="2"/>
    <s v="Improvement"/>
    <s v="OM-2244"/>
    <s v="New Manifest in OM (YUSEN Logistics)"/>
    <s v="Improvement"/>
    <x v="0"/>
    <d v="2016-03-17T12:30:00"/>
    <x v="7"/>
    <x v="1"/>
    <x v="16"/>
    <n v="0.3"/>
    <m/>
    <n v="156.4"/>
    <n v="27.600000000000005"/>
  </r>
  <r>
    <s v="Backend - OM"/>
    <x v="1"/>
    <s v="Improvement"/>
    <s v="OM-2244"/>
    <s v="New Manifest in OM (YUSEN Logistics)"/>
    <s v="Improvement"/>
    <x v="0"/>
    <d v="2016-03-17T15:14:00"/>
    <x v="7"/>
    <x v="1"/>
    <x v="8"/>
    <n v="0.5"/>
    <s v="train Erik how to test"/>
    <n v="156.4"/>
    <n v="27.600000000000005"/>
  </r>
  <r>
    <s v="Backend - OM"/>
    <x v="1"/>
    <s v="Improvement"/>
    <s v="OM-2244"/>
    <s v="New Manifest in OM (YUSEN Logistics)"/>
    <s v="Improvement"/>
    <x v="0"/>
    <d v="2016-03-18T14:16:00"/>
    <x v="7"/>
    <x v="1"/>
    <x v="30"/>
    <n v="1"/>
    <m/>
    <n v="156.4"/>
    <n v="27.600000000000005"/>
  </r>
  <r>
    <s v="Backend - OM"/>
    <x v="2"/>
    <s v="Improvement"/>
    <s v="OM-2246"/>
    <s v="New Manifest in OM (Belgium Post)"/>
    <s v="Improvement"/>
    <x v="0"/>
    <d v="2016-03-17T12:30:00"/>
    <x v="7"/>
    <x v="1"/>
    <x v="16"/>
    <n v="0.3"/>
    <m/>
    <n v="156.4"/>
    <n v="27.600000000000005"/>
  </r>
  <r>
    <s v="Backend - OM"/>
    <x v="1"/>
    <s v="Improvement"/>
    <s v="OM-2246"/>
    <s v="New Manifest in OM (Belgium Post)"/>
    <s v="Improvement"/>
    <x v="0"/>
    <d v="2016-03-18T14:16:00"/>
    <x v="7"/>
    <x v="1"/>
    <x v="30"/>
    <n v="1"/>
    <m/>
    <n v="156.4"/>
    <n v="27.600000000000005"/>
  </r>
  <r>
    <s v="Backend - OM"/>
    <x v="2"/>
    <s v="Bug"/>
    <s v="OM-2247"/>
    <s v="RMA issue"/>
    <s v="Bug"/>
    <x v="1"/>
    <d v="2016-03-10T10:26:00"/>
    <x v="7"/>
    <x v="1"/>
    <x v="20"/>
    <n v="8"/>
    <m/>
    <n v="156.4"/>
    <n v="27.600000000000005"/>
  </r>
  <r>
    <s v="Backend - OM"/>
    <x v="2"/>
    <s v="Bug"/>
    <s v="OM-2247"/>
    <s v="RMA issue"/>
    <s v="Bug"/>
    <x v="1"/>
    <d v="2016-03-14T09:54:00"/>
    <x v="7"/>
    <x v="1"/>
    <x v="20"/>
    <n v="3"/>
    <m/>
    <n v="156.4"/>
    <n v="27.600000000000005"/>
  </r>
  <r>
    <s v="Backend - OM"/>
    <x v="1"/>
    <s v="Bug"/>
    <s v="OM-2247"/>
    <s v="RMA issue"/>
    <s v="Bug"/>
    <x v="1"/>
    <d v="2016-03-14T18:27:00"/>
    <x v="7"/>
    <x v="1"/>
    <x v="8"/>
    <n v="3"/>
    <m/>
    <n v="156.4"/>
    <n v="27.600000000000005"/>
  </r>
  <r>
    <s v="Backend - OM"/>
    <x v="1"/>
    <s v="Bug"/>
    <s v="OM-2247"/>
    <s v="RMA issue"/>
    <s v="Bug"/>
    <x v="1"/>
    <d v="2016-03-15T14:39:00"/>
    <x v="7"/>
    <x v="1"/>
    <x v="8"/>
    <n v="0.5"/>
    <m/>
    <n v="156.4"/>
    <n v="27.600000000000005"/>
  </r>
  <r>
    <s v="Backend - OM"/>
    <x v="2"/>
    <s v="Improvement"/>
    <s v="OM-2249"/>
    <s v="TrustPilot AFS API part 2"/>
    <s v="Improvement"/>
    <x v="0"/>
    <d v="2016-03-18T18:52:00"/>
    <x v="7"/>
    <x v="1"/>
    <x v="9"/>
    <n v="2.5"/>
    <m/>
    <n v="156.4"/>
    <n v="27.600000000000005"/>
  </r>
  <r>
    <s v="Backend - OM"/>
    <x v="2"/>
    <s v="Improvement"/>
    <s v="OM-2249"/>
    <s v="TrustPilot AFS API part 2"/>
    <s v="Improvement"/>
    <x v="0"/>
    <d v="2016-03-21T14:50:00"/>
    <x v="7"/>
    <x v="1"/>
    <x v="18"/>
    <n v="8"/>
    <m/>
    <n v="156.4"/>
    <n v="27.600000000000005"/>
  </r>
  <r>
    <s v="Backend - OM"/>
    <x v="2"/>
    <s v="Improvement"/>
    <s v="OM-2249"/>
    <s v="TrustPilot AFS API part 2"/>
    <s v="Improvement"/>
    <x v="0"/>
    <d v="2016-03-21T19:05:00"/>
    <x v="7"/>
    <x v="1"/>
    <x v="9"/>
    <n v="3"/>
    <m/>
    <n v="156.4"/>
    <n v="27.600000000000005"/>
  </r>
  <r>
    <s v="Backend - OM"/>
    <x v="1"/>
    <s v="Improvement"/>
    <s v="OM-2249"/>
    <s v="TrustPilot AFS API part 2"/>
    <s v="Improvement"/>
    <x v="0"/>
    <d v="2016-03-22T15:38:00"/>
    <x v="7"/>
    <x v="1"/>
    <x v="21"/>
    <n v="3"/>
    <m/>
    <n v="156.4"/>
    <n v="27.600000000000005"/>
  </r>
  <r>
    <s v="Backend - OM"/>
    <x v="2"/>
    <s v="Improvement"/>
    <s v="OM-2249"/>
    <s v="TrustPilot AFS API part 2"/>
    <s v="Improvement"/>
    <x v="0"/>
    <d v="2016-03-22T18:53:00"/>
    <x v="7"/>
    <x v="1"/>
    <x v="9"/>
    <n v="0.5"/>
    <m/>
    <n v="156.4"/>
    <n v="27.600000000000005"/>
  </r>
  <r>
    <s v="Backend - OM"/>
    <x v="2"/>
    <s v="Improvement"/>
    <s v="OM-2249"/>
    <s v="TrustPilot AFS API part 2"/>
    <s v="Improvement"/>
    <x v="0"/>
    <d v="2016-03-29T18:34:00"/>
    <x v="7"/>
    <x v="1"/>
    <x v="9"/>
    <n v="1"/>
    <m/>
    <n v="156.4"/>
    <n v="27.600000000000005"/>
  </r>
  <r>
    <s v="Backend - OM"/>
    <x v="2"/>
    <s v="Task"/>
    <s v="OM-2252"/>
    <s v="Update Country Multiplier for US and CN"/>
    <s v="Task"/>
    <x v="0"/>
    <d v="2016-03-14T18:30:00"/>
    <x v="7"/>
    <x v="1"/>
    <x v="33"/>
    <n v="1"/>
    <m/>
    <n v="156.4"/>
    <n v="27.600000000000005"/>
  </r>
  <r>
    <s v="Backend - OM"/>
    <x v="2"/>
    <s v="Task"/>
    <s v="OM-2252"/>
    <s v="Update Country Multiplier for US and CN"/>
    <s v="Task"/>
    <x v="0"/>
    <d v="2016-03-15T15:06:00"/>
    <x v="7"/>
    <x v="1"/>
    <x v="33"/>
    <n v="1.5"/>
    <m/>
    <n v="156.4"/>
    <n v="27.600000000000005"/>
  </r>
  <r>
    <s v="Backend - OM"/>
    <x v="2"/>
    <s v="Bug"/>
    <s v="OM-2254"/>
    <s v="messy code in Chinese"/>
    <s v="Bug"/>
    <x v="1"/>
    <d v="2016-02-16T14:00:00"/>
    <x v="11"/>
    <x v="1"/>
    <x v="18"/>
    <n v="1"/>
    <m/>
    <n v="127.5"/>
    <n v="22.500000000000004"/>
  </r>
  <r>
    <s v="Backend - OM"/>
    <x v="2"/>
    <s v="Bug"/>
    <s v="OM-2254"/>
    <s v="messy code in Chinese"/>
    <s v="Bug"/>
    <x v="1"/>
    <d v="2016-02-17T06:59:00"/>
    <x v="11"/>
    <x v="1"/>
    <x v="18"/>
    <n v="8"/>
    <m/>
    <n v="127.5"/>
    <n v="22.500000000000004"/>
  </r>
  <r>
    <s v="Backend - OM"/>
    <x v="2"/>
    <s v="Bug"/>
    <s v="OM-2254"/>
    <s v="messy code in Chinese"/>
    <s v="Bug"/>
    <x v="1"/>
    <d v="2016-03-17T11:20:00"/>
    <x v="7"/>
    <x v="1"/>
    <x v="18"/>
    <n v="8"/>
    <m/>
    <n v="156.4"/>
    <n v="27.600000000000005"/>
  </r>
  <r>
    <s v="Backend - OM"/>
    <x v="1"/>
    <s v="Bug"/>
    <s v="OM-2254"/>
    <s v="messy code in Chinese"/>
    <s v="Bug"/>
    <x v="1"/>
    <d v="2016-03-21T17:41:00"/>
    <x v="7"/>
    <x v="1"/>
    <x v="30"/>
    <n v="2"/>
    <m/>
    <n v="156.4"/>
    <n v="27.600000000000005"/>
  </r>
  <r>
    <s v="Backend - OM"/>
    <x v="2"/>
    <s v="Improvement"/>
    <s v="OM-2256"/>
    <s v="The amount of RMA page is different from origenal order"/>
    <s v="Improvement"/>
    <x v="0"/>
    <d v="2016-03-21T18:35:00"/>
    <x v="7"/>
    <x v="1"/>
    <x v="20"/>
    <n v="5"/>
    <m/>
    <n v="156.4"/>
    <n v="27.600000000000005"/>
  </r>
  <r>
    <s v="Backend - OM"/>
    <x v="2"/>
    <s v="Improvement"/>
    <s v="OM-2256"/>
    <s v="The amount of RMA page is different from origenal order"/>
    <s v="Improvement"/>
    <x v="0"/>
    <d v="2016-03-22T18:37:00"/>
    <x v="7"/>
    <x v="1"/>
    <x v="20"/>
    <n v="4"/>
    <m/>
    <n v="156.4"/>
    <n v="27.600000000000005"/>
  </r>
  <r>
    <s v="Backend - OM"/>
    <x v="2"/>
    <s v="Improvement"/>
    <s v="OM-2256"/>
    <s v="The amount of RMA page is different from origenal order"/>
    <s v="Improvement"/>
    <x v="0"/>
    <d v="2016-03-23T18:25:00"/>
    <x v="7"/>
    <x v="1"/>
    <x v="20"/>
    <n v="3"/>
    <m/>
    <n v="156.4"/>
    <n v="27.600000000000005"/>
  </r>
  <r>
    <s v="Backend - OM"/>
    <x v="2"/>
    <s v="Improvement"/>
    <s v="OM-2256"/>
    <s v="The amount of RMA page is different from origenal order"/>
    <s v="Improvement"/>
    <x v="0"/>
    <d v="2016-03-24T18:25:00"/>
    <x v="7"/>
    <x v="1"/>
    <x v="20"/>
    <n v="5"/>
    <m/>
    <n v="156.4"/>
    <n v="27.600000000000005"/>
  </r>
  <r>
    <s v="Backend - OM"/>
    <x v="2"/>
    <s v="Improvement"/>
    <s v="OM-2258"/>
    <s v="New Manifest in OM (Austria Post)"/>
    <s v="Improvement"/>
    <x v="0"/>
    <d v="2016-03-17T12:29:00"/>
    <x v="7"/>
    <x v="1"/>
    <x v="16"/>
    <n v="0.3"/>
    <m/>
    <n v="156.4"/>
    <n v="27.600000000000005"/>
  </r>
  <r>
    <s v="Backend - OM"/>
    <x v="1"/>
    <s v="Improvement"/>
    <s v="OM-2258"/>
    <s v="New Manifest in OM (Austria Post)"/>
    <s v="Improvement"/>
    <x v="0"/>
    <d v="2016-03-18T14:16:00"/>
    <x v="7"/>
    <x v="1"/>
    <x v="30"/>
    <n v="1"/>
    <m/>
    <n v="156.4"/>
    <n v="27.600000000000005"/>
  </r>
  <r>
    <s v="Backend - OM"/>
    <x v="1"/>
    <s v="Improvement"/>
    <s v="OM-2259"/>
    <s v="[AR] Launch Autoresponder for Vision Direct Australia"/>
    <s v="Improvement"/>
    <x v="0"/>
    <d v="2016-03-17T09:50:00"/>
    <x v="7"/>
    <x v="1"/>
    <x v="21"/>
    <n v="4"/>
    <m/>
    <n v="156.4"/>
    <n v="27.600000000000005"/>
  </r>
  <r>
    <s v="Backend - OM"/>
    <x v="2"/>
    <s v="Improvement"/>
    <s v="OM-2259"/>
    <s v="[AR] Launch Autoresponder for Vision Direct Australia"/>
    <s v="Improvement"/>
    <x v="0"/>
    <d v="2016-03-17T18:51:00"/>
    <x v="7"/>
    <x v="1"/>
    <x v="9"/>
    <n v="1"/>
    <m/>
    <n v="156.4"/>
    <n v="27.600000000000005"/>
  </r>
  <r>
    <s v="Backend - OM"/>
    <x v="1"/>
    <s v="Improvement"/>
    <s v="OM-2259"/>
    <s v="[AR] Launch Autoresponder for Vision Direct Australia"/>
    <s v="Improvement"/>
    <x v="0"/>
    <d v="2016-03-18T10:51:00"/>
    <x v="7"/>
    <x v="1"/>
    <x v="21"/>
    <n v="8"/>
    <m/>
    <n v="156.4"/>
    <n v="27.600000000000005"/>
  </r>
  <r>
    <s v="Backend - OM"/>
    <x v="2"/>
    <s v="Improvement"/>
    <s v="OM-2259"/>
    <s v="[AR] Launch Autoresponder for Vision Direct Australia"/>
    <s v="Improvement"/>
    <x v="0"/>
    <d v="2016-03-18T11:39:00"/>
    <x v="7"/>
    <x v="1"/>
    <x v="18"/>
    <n v="8"/>
    <m/>
    <n v="156.4"/>
    <n v="27.600000000000005"/>
  </r>
  <r>
    <s v="Backend - OM"/>
    <x v="2"/>
    <s v="Improvement"/>
    <s v="OM-2259"/>
    <s v="[AR] Launch Autoresponder for Vision Direct Australia"/>
    <s v="Improvement"/>
    <x v="0"/>
    <d v="2016-03-18T18:51:00"/>
    <x v="7"/>
    <x v="1"/>
    <x v="9"/>
    <n v="3"/>
    <m/>
    <n v="156.4"/>
    <n v="27.600000000000005"/>
  </r>
  <r>
    <s v="Backend - OM"/>
    <x v="2"/>
    <s v="Improvement"/>
    <s v="OM-2259"/>
    <s v="[AR] Launch Autoresponder for Vision Direct Australia"/>
    <s v="Improvement"/>
    <x v="0"/>
    <d v="2016-03-21T19:05:00"/>
    <x v="7"/>
    <x v="1"/>
    <x v="9"/>
    <n v="3"/>
    <m/>
    <n v="156.4"/>
    <n v="27.600000000000005"/>
  </r>
  <r>
    <s v="Backend - OM"/>
    <x v="1"/>
    <s v="Improvement"/>
    <s v="OM-2259"/>
    <s v="[AR] Launch Autoresponder for Vision Direct Australia"/>
    <s v="Improvement"/>
    <x v="0"/>
    <d v="2016-03-22T15:38:00"/>
    <x v="7"/>
    <x v="1"/>
    <x v="21"/>
    <n v="4"/>
    <m/>
    <n v="156.4"/>
    <n v="27.600000000000005"/>
  </r>
  <r>
    <s v="Backend - OM"/>
    <x v="2"/>
    <s v="Improvement"/>
    <s v="OM-2259"/>
    <s v="[AR] Launch Autoresponder for Vision Direct Australia"/>
    <s v="Improvement"/>
    <x v="0"/>
    <d v="2016-03-23T18:55:00"/>
    <x v="7"/>
    <x v="1"/>
    <x v="9"/>
    <n v="1"/>
    <m/>
    <n v="156.4"/>
    <n v="27.600000000000005"/>
  </r>
  <r>
    <s v="Backend - OM"/>
    <x v="2"/>
    <s v="Improvement"/>
    <s v="OM-2260"/>
    <s v="Set Limitation in OM order page"/>
    <s v="Improvement"/>
    <x v="0"/>
    <d v="2016-03-23T17:59:00"/>
    <x v="7"/>
    <x v="1"/>
    <x v="20"/>
    <n v="2"/>
    <m/>
    <n v="156.4"/>
    <n v="27.600000000000005"/>
  </r>
  <r>
    <s v="Backend - OM"/>
    <x v="1"/>
    <s v="Improvement"/>
    <s v="OM-2260"/>
    <s v="Set Limitation in OM order page"/>
    <s v="Improvement"/>
    <x v="0"/>
    <d v="2016-03-25T09:44:00"/>
    <x v="7"/>
    <x v="1"/>
    <x v="26"/>
    <n v="0.5"/>
    <m/>
    <n v="156.4"/>
    <n v="27.600000000000005"/>
  </r>
  <r>
    <s v="Backend - OM"/>
    <x v="2"/>
    <s v="Sub-task"/>
    <s v="OM-2261"/>
    <s v="OM-2225&gt; Add log for email send result"/>
    <s v="Sub-task"/>
    <x v="0"/>
    <d v="2016-03-17T17:52:00"/>
    <x v="7"/>
    <x v="1"/>
    <x v="9"/>
    <n v="3"/>
    <m/>
    <n v="156.4"/>
    <n v="27.600000000000005"/>
  </r>
  <r>
    <s v="Backend - OM"/>
    <x v="2"/>
    <s v="Sub-task"/>
    <s v="OM-2261"/>
    <s v="OM-2225&gt; Add log for email send result"/>
    <s v="Sub-task"/>
    <x v="0"/>
    <d v="2016-03-31T11:23:00"/>
    <x v="7"/>
    <x v="1"/>
    <x v="9"/>
    <n v="1"/>
    <m/>
    <n v="156.4"/>
    <n v="27.600000000000005"/>
  </r>
  <r>
    <s v="Backend - OM"/>
    <x v="2"/>
    <s v="New Feature"/>
    <s v="OM-2267"/>
    <s v="Amazon: Create MG Eyewear Italy warehouse - Change in OM"/>
    <s v="New Feature"/>
    <x v="0"/>
    <d v="2016-03-29T17:38:00"/>
    <x v="7"/>
    <x v="1"/>
    <x v="33"/>
    <n v="2"/>
    <m/>
    <n v="156.4"/>
    <n v="27.600000000000005"/>
  </r>
  <r>
    <s v="Backend - OM"/>
    <x v="2"/>
    <s v="New Feature"/>
    <s v="OM-2267"/>
    <s v="Amazon: Create MG Eyewear Italy warehouse - Change in OM"/>
    <s v="New Feature"/>
    <x v="0"/>
    <d v="2016-03-31T12:20:00"/>
    <x v="7"/>
    <x v="1"/>
    <x v="33"/>
    <n v="2"/>
    <m/>
    <n v="156.4"/>
    <n v="27.600000000000005"/>
  </r>
  <r>
    <s v="Backend - OM"/>
    <x v="2"/>
    <s v="Task"/>
    <s v="OM-2268"/>
    <s v="Need Access to OM SRP Update"/>
    <s v="Task"/>
    <x v="0"/>
    <d v="2016-03-22T17:12:00"/>
    <x v="7"/>
    <x v="1"/>
    <x v="27"/>
    <n v="4"/>
    <m/>
    <n v="156.4"/>
    <n v="27.600000000000005"/>
  </r>
  <r>
    <s v="Backend - OM"/>
    <x v="2"/>
    <s v="Bug"/>
    <s v="OM-2272"/>
    <s v="Scanning printed unassigned courier label"/>
    <s v="Bug"/>
    <x v="1"/>
    <d v="2016-03-25T14:41:00"/>
    <x v="7"/>
    <x v="1"/>
    <x v="20"/>
    <n v="1"/>
    <m/>
    <n v="156.4"/>
    <n v="27.600000000000005"/>
  </r>
  <r>
    <s v="Backend - OM"/>
    <x v="2"/>
    <s v="Task"/>
    <s v="OM-2273"/>
    <s v="Contact Lens - Price changes"/>
    <s v="Task"/>
    <x v="0"/>
    <d v="2016-03-29T14:25:00"/>
    <x v="7"/>
    <x v="1"/>
    <x v="33"/>
    <n v="1.5"/>
    <m/>
    <n v="156.4"/>
    <n v="27.600000000000005"/>
  </r>
  <r>
    <s v="Backend - OM"/>
    <x v="2"/>
    <s v="Task"/>
    <s v="OM-2273"/>
    <s v="Contact Lens - Price changes"/>
    <s v="Task"/>
    <x v="0"/>
    <d v="2016-03-30T15:24:00"/>
    <x v="7"/>
    <x v="1"/>
    <x v="33"/>
    <n v="1.5"/>
    <m/>
    <n v="156.4"/>
    <n v="27.600000000000005"/>
  </r>
  <r>
    <s v="Backend - OM"/>
    <x v="0"/>
    <s v="Task"/>
    <s v="OM-2281"/>
    <s v="Images server CN"/>
    <s v="Task"/>
    <x v="0"/>
    <d v="2016-03-29T16:04:00"/>
    <x v="7"/>
    <x v="1"/>
    <x v="7"/>
    <n v="1.5"/>
    <m/>
    <n v="92"/>
    <n v="92"/>
  </r>
  <r>
    <s v="Backend - OM"/>
    <x v="2"/>
    <s v="Task"/>
    <s v="OM-2281"/>
    <s v="Images server CN"/>
    <s v="Task"/>
    <x v="0"/>
    <d v="2016-03-29T18:34:00"/>
    <x v="7"/>
    <x v="1"/>
    <x v="9"/>
    <n v="0.5"/>
    <m/>
    <n v="156.4"/>
    <n v="27.600000000000005"/>
  </r>
  <r>
    <s v="Backend - OM"/>
    <x v="2"/>
    <s v="Task"/>
    <s v="OM-2281"/>
    <s v="Images server CN"/>
    <s v="Task"/>
    <x v="0"/>
    <d v="2016-03-30T10:26:00"/>
    <x v="7"/>
    <x v="1"/>
    <x v="20"/>
    <n v="8"/>
    <m/>
    <n v="156.4"/>
    <n v="27.600000000000005"/>
  </r>
  <r>
    <s v="SBG Quality Assurance"/>
    <x v="1"/>
    <s v="Task"/>
    <s v="QA-265"/>
    <s v="work log 2016"/>
    <s v="Task"/>
    <x v="0"/>
    <d v="2016-02-01T19:39:00"/>
    <x v="11"/>
    <x v="1"/>
    <x v="8"/>
    <n v="5"/>
    <s v="1. QA meeting 2. JMETER learning 3. other things"/>
    <n v="127.5"/>
    <n v="22.500000000000004"/>
  </r>
  <r>
    <s v="SBG Quality Assurance"/>
    <x v="1"/>
    <s v="Task"/>
    <s v="QA-265"/>
    <s v="work log 2016"/>
    <s v="Task"/>
    <x v="0"/>
    <d v="2016-02-02T18:57:00"/>
    <x v="11"/>
    <x v="1"/>
    <x v="8"/>
    <n v="4"/>
    <s v="1. IT meeting (1h) 2. QA meeting (0.5h) 3. discuss requirement with HK and dev (2h) 4. other thing"/>
    <n v="127.5"/>
    <n v="22.500000000000004"/>
  </r>
  <r>
    <s v="SBG Quality Assurance"/>
    <x v="1"/>
    <s v="Task"/>
    <s v="QA-265"/>
    <s v="work log 2016"/>
    <s v="Task"/>
    <x v="0"/>
    <d v="2016-02-03T18:44:00"/>
    <x v="11"/>
    <x v="1"/>
    <x v="8"/>
    <n v="2"/>
    <s v="1. QA meeting 2. other thing"/>
    <n v="127.5"/>
    <n v="22.500000000000004"/>
  </r>
  <r>
    <s v="SBG Quality Assurance"/>
    <x v="1"/>
    <s v="Task"/>
    <s v="QA-265"/>
    <s v="work log 2016"/>
    <s v="Task"/>
    <x v="0"/>
    <d v="2016-02-05T16:57:00"/>
    <x v="11"/>
    <x v="1"/>
    <x v="8"/>
    <n v="1"/>
    <s v="QA sharing"/>
    <n v="127.5"/>
    <n v="22.500000000000004"/>
  </r>
  <r>
    <s v="SBG Quality Assurance"/>
    <x v="1"/>
    <s v="Task"/>
    <s v="QA-265"/>
    <s v="work log 2016"/>
    <s v="Task"/>
    <x v="0"/>
    <d v="2016-02-06T16:55:00"/>
    <x v="11"/>
    <x v="1"/>
    <x v="8"/>
    <n v="1"/>
    <m/>
    <n v="127.5"/>
    <n v="22.500000000000004"/>
  </r>
  <r>
    <s v="SBG Quality Assurance"/>
    <x v="1"/>
    <s v="Task"/>
    <s v="QA-265"/>
    <s v="work log 2016"/>
    <s v="Task"/>
    <x v="0"/>
    <d v="2016-02-15T18:31:00"/>
    <x v="11"/>
    <x v="1"/>
    <x v="8"/>
    <n v="4"/>
    <s v="1. QA meeting 2. discussion with Tiny 3. Shipping Fee spec reading 4. Jmeter self-learning"/>
    <n v="127.5"/>
    <n v="22.500000000000004"/>
  </r>
  <r>
    <s v="SBG Quality Assurance"/>
    <x v="1"/>
    <s v="Task"/>
    <s v="QA-265"/>
    <s v="work log 2016"/>
    <s v="Task"/>
    <x v="0"/>
    <d v="2016-02-16T19:03:00"/>
    <x v="11"/>
    <x v="1"/>
    <x v="8"/>
    <n v="4.5"/>
    <s v="1. IT meeting 2. management training doc learning 3. check live orders with CSR 4. JMeter doc reading"/>
    <n v="127.5"/>
    <n v="22.500000000000004"/>
  </r>
  <r>
    <s v="SBG Quality Assurance"/>
    <x v="1"/>
    <s v="Task"/>
    <s v="QA-265"/>
    <s v="work log 2016"/>
    <s v="Task"/>
    <x v="0"/>
    <d v="2016-02-17T18:32:00"/>
    <x v="11"/>
    <x v="1"/>
    <x v="8"/>
    <n v="2.5"/>
    <s v="1. QA meeting 2. GIT establishment"/>
    <n v="127.5"/>
    <n v="22.500000000000004"/>
  </r>
  <r>
    <s v="SBG Quality Assurance"/>
    <x v="1"/>
    <s v="Task"/>
    <s v="QA-265"/>
    <s v="work log 2016"/>
    <s v="Task"/>
    <x v="0"/>
    <d v="2016-02-18T18:35:00"/>
    <x v="11"/>
    <x v="1"/>
    <x v="8"/>
    <n v="1.5"/>
    <s v="1. QA meeting 2. JMeter learning"/>
    <n v="127.5"/>
    <n v="22.500000000000004"/>
  </r>
  <r>
    <s v="SBG Quality Assurance"/>
    <x v="1"/>
    <s v="Task"/>
    <s v="QA-265"/>
    <s v="work log 2016"/>
    <s v="Task"/>
    <x v="0"/>
    <d v="2016-02-19T18:34:00"/>
    <x v="11"/>
    <x v="1"/>
    <x v="8"/>
    <n v="5"/>
    <s v="1. Jmeter learning (1h) 2. PMP learning (1h) 3. QA meeting 4. Scrum sharing 5. discussion with Tim and Agnes on Shipping Fee (1h)"/>
    <n v="127.5"/>
    <n v="22.500000000000004"/>
  </r>
  <r>
    <s v="SBG Quality Assurance"/>
    <x v="1"/>
    <s v="Task"/>
    <s v="QA-265"/>
    <s v="work log 2016"/>
    <s v="Task"/>
    <x v="0"/>
    <d v="2016-02-22T18:32:00"/>
    <x v="11"/>
    <x v="1"/>
    <x v="8"/>
    <n v="2"/>
    <s v="1. spec discussion with Tim, Daisy and Agnes 2. QA meeting"/>
    <n v="127.5"/>
    <n v="22.500000000000004"/>
  </r>
  <r>
    <s v="SBG Quality Assurance"/>
    <x v="1"/>
    <s v="Task"/>
    <s v="QA-265"/>
    <s v="work log 2016"/>
    <s v="Task"/>
    <x v="0"/>
    <d v="2016-02-23T19:33:00"/>
    <x v="11"/>
    <x v="1"/>
    <x v="8"/>
    <n v="2.5"/>
    <s v="1. IT meeting 2. spec discussion with Tim"/>
    <n v="127.5"/>
    <n v="22.500000000000004"/>
  </r>
  <r>
    <s v="SBG Quality Assurance"/>
    <x v="1"/>
    <s v="Task"/>
    <s v="QA-265"/>
    <s v="work log 2016"/>
    <s v="Task"/>
    <x v="0"/>
    <d v="2016-02-24T18:29:00"/>
    <x v="11"/>
    <x v="1"/>
    <x v="8"/>
    <n v="2"/>
    <s v="QA meeting"/>
    <n v="127.5"/>
    <n v="22.500000000000004"/>
  </r>
  <r>
    <s v="SBG Quality Assurance"/>
    <x v="1"/>
    <s v="Task"/>
    <s v="QA-265"/>
    <s v="work log 2016"/>
    <s v="Task"/>
    <x v="0"/>
    <d v="2016-02-25T18:35:00"/>
    <x v="11"/>
    <x v="1"/>
    <x v="8"/>
    <n v="2"/>
    <s v="1. Management Training 2. QA meeting"/>
    <n v="127.5"/>
    <n v="22.500000000000004"/>
  </r>
  <r>
    <s v="SBG Quality Assurance"/>
    <x v="1"/>
    <s v="Task"/>
    <s v="QA-265"/>
    <s v="work log 2016"/>
    <s v="Task"/>
    <x v="0"/>
    <d v="2016-02-29T18:38:00"/>
    <x v="11"/>
    <x v="1"/>
    <x v="8"/>
    <n v="1"/>
    <s v="help Vivian to check live CL &amp; JIT orders cannot print slips issue"/>
    <n v="127.5"/>
    <n v="22.500000000000004"/>
  </r>
  <r>
    <s v="SBG Quality Assurance"/>
    <x v="1"/>
    <s v="Task"/>
    <s v="QA-265"/>
    <s v="work log 2016"/>
    <s v="Task"/>
    <x v="0"/>
    <d v="2016-03-01T18:21:00"/>
    <x v="7"/>
    <x v="1"/>
    <x v="8"/>
    <n v="1"/>
    <s v="IT meeting"/>
    <n v="156.4"/>
    <n v="27.600000000000005"/>
  </r>
  <r>
    <s v="SBG Quality Assurance"/>
    <x v="1"/>
    <s v="Task"/>
    <s v="QA-265"/>
    <s v="work log 2016"/>
    <s v="Task"/>
    <x v="0"/>
    <d v="2016-03-08T18:35:00"/>
    <x v="7"/>
    <x v="1"/>
    <x v="8"/>
    <n v="2"/>
    <s v="1. WTI meeting 2. other thing"/>
    <n v="156.4"/>
    <n v="27.600000000000005"/>
  </r>
  <r>
    <s v="SBG Quality Assurance"/>
    <x v="1"/>
    <s v="Task"/>
    <s v="QA-265"/>
    <s v="work log 2016"/>
    <s v="Task"/>
    <x v="0"/>
    <d v="2016-03-09T18:44:00"/>
    <x v="7"/>
    <x v="1"/>
    <x v="8"/>
    <n v="2.5"/>
    <s v="1. IT meeting 2. WTI documentation reading"/>
    <n v="156.4"/>
    <n v="27.600000000000005"/>
  </r>
  <r>
    <s v="SBG Quality Assurance"/>
    <x v="1"/>
    <s v="Task"/>
    <s v="QA-265"/>
    <s v="work log 2016"/>
    <s v="Task"/>
    <x v="0"/>
    <d v="2016-03-10T19:10:00"/>
    <x v="7"/>
    <x v="1"/>
    <x v="8"/>
    <n v="3"/>
    <s v="1. management training (1.5h) 2. help Leo test AR"/>
    <n v="156.4"/>
    <n v="27.600000000000005"/>
  </r>
  <r>
    <s v="SBG Quality Assurance"/>
    <x v="1"/>
    <s v="Task"/>
    <s v="QA-265"/>
    <s v="work log 2016"/>
    <s v="Task"/>
    <x v="0"/>
    <d v="2016-03-11T18:38:00"/>
    <x v="7"/>
    <x v="1"/>
    <x v="8"/>
    <n v="3"/>
    <s v="1. demo meeting 2. help HK fix issues"/>
    <n v="156.4"/>
    <n v="27.600000000000005"/>
  </r>
  <r>
    <s v="SBG Quality Assurance"/>
    <x v="1"/>
    <s v="Task"/>
    <s v="QA-265"/>
    <s v="work log 2016"/>
    <s v="Task"/>
    <x v="0"/>
    <d v="2016-03-14T18:46:00"/>
    <x v="7"/>
    <x v="1"/>
    <x v="8"/>
    <n v="0.5"/>
    <m/>
    <n v="156.4"/>
    <n v="27.600000000000005"/>
  </r>
  <r>
    <s v="SBG Quality Assurance"/>
    <x v="1"/>
    <s v="Task"/>
    <s v="QA-265"/>
    <s v="work log 2016"/>
    <s v="Task"/>
    <x v="0"/>
    <d v="2016-03-16T18:37:00"/>
    <x v="7"/>
    <x v="1"/>
    <x v="8"/>
    <n v="3.5"/>
    <s v="1. IT meeting 2. set up WTI environment"/>
    <n v="156.4"/>
    <n v="27.600000000000005"/>
  </r>
  <r>
    <s v="SBG Quality Assurance"/>
    <x v="1"/>
    <s v="Task"/>
    <s v="QA-265"/>
    <s v="work log 2016"/>
    <s v="Task"/>
    <x v="0"/>
    <d v="2016-03-18T17:25:00"/>
    <x v="7"/>
    <x v="1"/>
    <x v="8"/>
    <n v="2.5"/>
    <s v="help HK check live scanning issues"/>
    <n v="156.4"/>
    <n v="27.600000000000005"/>
  </r>
  <r>
    <s v="SBG Quality Assurance"/>
    <x v="1"/>
    <s v="Task"/>
    <s v="QA-265"/>
    <s v="work log 2016"/>
    <s v="Task"/>
    <x v="0"/>
    <d v="2016-03-21T18:37:00"/>
    <x v="7"/>
    <x v="1"/>
    <x v="8"/>
    <n v="0.5"/>
    <s v="meeting"/>
    <n v="156.4"/>
    <n v="27.600000000000005"/>
  </r>
  <r>
    <s v="SBG Quality Assurance"/>
    <x v="1"/>
    <s v="Task"/>
    <s v="QA-265"/>
    <s v="work log 2016"/>
    <s v="Task"/>
    <x v="0"/>
    <d v="2016-03-22T18:39:00"/>
    <x v="7"/>
    <x v="1"/>
    <x v="8"/>
    <n v="0.5"/>
    <s v="HK environment setting"/>
    <n v="156.4"/>
    <n v="27.600000000000005"/>
  </r>
  <r>
    <s v="SBG Quality Assurance"/>
    <x v="1"/>
    <s v="Task"/>
    <s v="QA-265"/>
    <s v="work log 2016"/>
    <s v="Task"/>
    <x v="0"/>
    <d v="2016-03-23T19:01:00"/>
    <x v="7"/>
    <x v="1"/>
    <x v="8"/>
    <n v="6"/>
    <s v="1. IT meeting 2. BOSS meeting 3. welcome Wednesday 4. train Erik on CL 5. Thus. training doc. reading"/>
    <n v="156.4"/>
    <n v="27.600000000000005"/>
  </r>
  <r>
    <s v="SBG Quality Assurance"/>
    <x v="1"/>
    <s v="Task"/>
    <s v="QA-265"/>
    <s v="work log 2016"/>
    <s v="Task"/>
    <x v="0"/>
    <d v="2016-03-25T18:38:00"/>
    <x v="7"/>
    <x v="1"/>
    <x v="8"/>
    <n v="3"/>
    <s v="1. meeting with Michael 2. train Erik"/>
    <n v="156.4"/>
    <n v="27.600000000000005"/>
  </r>
  <r>
    <s v="SBG Quality Assurance"/>
    <x v="1"/>
    <s v="Task"/>
    <s v="QA-265"/>
    <s v="work log 2016"/>
    <s v="Task"/>
    <x v="0"/>
    <d v="2016-03-30T18:27:00"/>
    <x v="7"/>
    <x v="1"/>
    <x v="8"/>
    <n v="3"/>
    <s v="1. IT meeting 2. BOSS meeting 3. check HK scan issue"/>
    <n v="156.4"/>
    <n v="27.600000000000005"/>
  </r>
  <r>
    <s v="SBG Quality Assurance"/>
    <x v="1"/>
    <s v="Task"/>
    <s v="QA-280"/>
    <s v="Test automation"/>
    <s v="Task"/>
    <x v="0"/>
    <d v="2016-02-01T16:09:00"/>
    <x v="11"/>
    <x v="1"/>
    <x v="26"/>
    <n v="4"/>
    <m/>
    <n v="127.5"/>
    <n v="22.500000000000004"/>
  </r>
  <r>
    <s v="SBG Quality Assurance"/>
    <x v="1"/>
    <s v="Task"/>
    <s v="QA-281"/>
    <s v="release"/>
    <s v="Task"/>
    <x v="0"/>
    <d v="2016-02-02T14:46:00"/>
    <x v="11"/>
    <x v="1"/>
    <x v="26"/>
    <n v="8"/>
    <m/>
    <n v="127.5"/>
    <n v="22.500000000000004"/>
  </r>
  <r>
    <s v="SBG Quality Assurance"/>
    <x v="1"/>
    <s v="Task"/>
    <s v="QA-281"/>
    <s v="release"/>
    <s v="Task"/>
    <x v="0"/>
    <d v="2016-02-02T15:27:00"/>
    <x v="11"/>
    <x v="1"/>
    <x v="1"/>
    <n v="8"/>
    <m/>
    <n v="127.5"/>
    <n v="22.500000000000004"/>
  </r>
  <r>
    <s v="SBG Quality Assurance"/>
    <x v="1"/>
    <s v="Task"/>
    <s v="QA-281"/>
    <s v="release"/>
    <s v="Task"/>
    <x v="0"/>
    <d v="2016-02-02T15:30:00"/>
    <x v="11"/>
    <x v="1"/>
    <x v="23"/>
    <n v="6"/>
    <m/>
    <n v="127.5"/>
    <n v="22.500000000000004"/>
  </r>
  <r>
    <s v="SBG Quality Assurance"/>
    <x v="1"/>
    <s v="Task"/>
    <s v="QA-281"/>
    <s v="release"/>
    <s v="Task"/>
    <x v="0"/>
    <d v="2016-02-02T18:04:00"/>
    <x v="11"/>
    <x v="1"/>
    <x v="30"/>
    <n v="8"/>
    <m/>
    <n v="127.5"/>
    <n v="22.500000000000004"/>
  </r>
  <r>
    <s v="SBG Quality Assurance"/>
    <x v="1"/>
    <s v="Task"/>
    <s v="QA-281"/>
    <s v="release"/>
    <s v="Task"/>
    <x v="0"/>
    <d v="2016-02-02T18:07:00"/>
    <x v="11"/>
    <x v="1"/>
    <x v="8"/>
    <n v="2"/>
    <m/>
    <n v="127.5"/>
    <n v="22.500000000000004"/>
  </r>
  <r>
    <s v="SBG Quality Assurance"/>
    <x v="1"/>
    <s v="Task"/>
    <s v="QA-281"/>
    <s v="release"/>
    <s v="Task"/>
    <x v="0"/>
    <d v="2016-02-02T18:14:00"/>
    <x v="11"/>
    <x v="1"/>
    <x v="23"/>
    <n v="1"/>
    <m/>
    <n v="127.5"/>
    <n v="22.500000000000004"/>
  </r>
  <r>
    <s v="SBG Quality Assurance"/>
    <x v="1"/>
    <s v="Task"/>
    <s v="QA-282"/>
    <s v="Misc assignments"/>
    <s v="Task"/>
    <x v="0"/>
    <d v="2016-02-05T15:50:00"/>
    <x v="11"/>
    <x v="1"/>
    <x v="30"/>
    <n v="1"/>
    <m/>
    <n v="127.5"/>
    <n v="22.500000000000004"/>
  </r>
  <r>
    <s v="SBG Quality Assurance"/>
    <x v="1"/>
    <s v="Task"/>
    <s v="QA-282"/>
    <s v="Misc assignments"/>
    <s v="Task"/>
    <x v="0"/>
    <d v="2016-02-06T15:12:00"/>
    <x v="11"/>
    <x v="1"/>
    <x v="26"/>
    <n v="6"/>
    <m/>
    <n v="127.5"/>
    <n v="22.500000000000004"/>
  </r>
  <r>
    <s v="SBG Quality Assurance"/>
    <x v="1"/>
    <s v="Task"/>
    <s v="QA-282"/>
    <s v="Misc assignments"/>
    <s v="Task"/>
    <x v="0"/>
    <d v="2016-02-15T17:26:00"/>
    <x v="11"/>
    <x v="1"/>
    <x v="30"/>
    <n v="0.5"/>
    <m/>
    <n v="127.5"/>
    <n v="22.500000000000004"/>
  </r>
  <r>
    <s v="SBG Quality Assurance"/>
    <x v="1"/>
    <s v="Task"/>
    <s v="QA-282"/>
    <s v="Misc assignments"/>
    <s v="Task"/>
    <x v="0"/>
    <d v="2016-02-16T14:20:00"/>
    <x v="11"/>
    <x v="1"/>
    <x v="26"/>
    <n v="6"/>
    <m/>
    <n v="127.5"/>
    <n v="22.500000000000004"/>
  </r>
  <r>
    <s v="SBG Quality Assurance"/>
    <x v="1"/>
    <s v="Task"/>
    <s v="QA-282"/>
    <s v="Misc assignments"/>
    <s v="Task"/>
    <x v="0"/>
    <d v="2016-02-16T18:25:00"/>
    <x v="11"/>
    <x v="1"/>
    <x v="30"/>
    <n v="8"/>
    <m/>
    <n v="127.5"/>
    <n v="22.500000000000004"/>
  </r>
  <r>
    <s v="SBG Quality Assurance"/>
    <x v="1"/>
    <s v="Task"/>
    <s v="QA-282"/>
    <s v="Misc assignments"/>
    <s v="Task"/>
    <x v="0"/>
    <d v="2016-02-19T16:28:00"/>
    <x v="11"/>
    <x v="1"/>
    <x v="26"/>
    <n v="2"/>
    <m/>
    <n v="127.5"/>
    <n v="22.500000000000004"/>
  </r>
  <r>
    <s v="SBG Quality Assurance"/>
    <x v="1"/>
    <s v="Task"/>
    <s v="QA-283"/>
    <s v="Misc assignments"/>
    <s v="Task"/>
    <x v="0"/>
    <d v="2016-02-16T16:27:00"/>
    <x v="11"/>
    <x v="1"/>
    <x v="26"/>
    <n v="2"/>
    <m/>
    <n v="127.5"/>
    <n v="22.500000000000004"/>
  </r>
  <r>
    <s v="SBG Quality Assurance"/>
    <x v="1"/>
    <s v="Task"/>
    <s v="QA-283"/>
    <s v="Misc assignments"/>
    <s v="Task"/>
    <x v="0"/>
    <d v="2016-02-18T16:11:00"/>
    <x v="11"/>
    <x v="1"/>
    <x v="26"/>
    <n v="8"/>
    <m/>
    <n v="127.5"/>
    <n v="22.500000000000004"/>
  </r>
  <r>
    <s v="SBG Quality Assurance"/>
    <x v="1"/>
    <s v="Task"/>
    <s v="QA-283"/>
    <s v="Misc assignments"/>
    <s v="Task"/>
    <x v="0"/>
    <d v="2016-02-19T15:50:00"/>
    <x v="11"/>
    <x v="1"/>
    <x v="26"/>
    <n v="6"/>
    <m/>
    <n v="127.5"/>
    <n v="22.500000000000004"/>
  </r>
  <r>
    <s v="SBG Quality Assurance"/>
    <x v="1"/>
    <s v="Task"/>
    <s v="QA-283"/>
    <s v="Misc assignments"/>
    <s v="Task"/>
    <x v="0"/>
    <d v="2016-02-22T16:34:00"/>
    <x v="11"/>
    <x v="1"/>
    <x v="30"/>
    <n v="2"/>
    <m/>
    <n v="127.5"/>
    <n v="22.500000000000004"/>
  </r>
  <r>
    <s v="SBG Quality Assurance"/>
    <x v="1"/>
    <s v="Task"/>
    <s v="QA-283"/>
    <s v="Misc assignments"/>
    <s v="Task"/>
    <x v="0"/>
    <d v="2016-02-22T18:21:00"/>
    <x v="11"/>
    <x v="1"/>
    <x v="23"/>
    <n v="1"/>
    <m/>
    <n v="127.5"/>
    <n v="22.500000000000004"/>
  </r>
  <r>
    <s v="SBG Quality Assurance"/>
    <x v="1"/>
    <s v="Task"/>
    <s v="QA-283"/>
    <s v="Misc assignments"/>
    <s v="Task"/>
    <x v="0"/>
    <d v="2016-02-23T15:21:00"/>
    <x v="11"/>
    <x v="1"/>
    <x v="21"/>
    <n v="4"/>
    <m/>
    <n v="127.5"/>
    <n v="22.500000000000004"/>
  </r>
  <r>
    <s v="SBG Quality Assurance"/>
    <x v="1"/>
    <s v="Task"/>
    <s v="QA-285"/>
    <s v="Misc assignments"/>
    <s v="Task"/>
    <x v="0"/>
    <d v="2016-02-23T10:18:00"/>
    <x v="11"/>
    <x v="1"/>
    <x v="26"/>
    <n v="8"/>
    <m/>
    <n v="127.5"/>
    <n v="22.500000000000004"/>
  </r>
  <r>
    <s v="SBG Quality Assurance"/>
    <x v="1"/>
    <s v="Task"/>
    <s v="QA-285"/>
    <s v="Misc assignments"/>
    <s v="Task"/>
    <x v="0"/>
    <d v="2016-02-25T18:12:00"/>
    <x v="11"/>
    <x v="1"/>
    <x v="26"/>
    <n v="8"/>
    <m/>
    <n v="127.5"/>
    <n v="22.500000000000004"/>
  </r>
  <r>
    <s v="SBG Quality Assurance"/>
    <x v="1"/>
    <s v="Task"/>
    <s v="QA-285"/>
    <s v="Misc assignments"/>
    <s v="Task"/>
    <x v="0"/>
    <d v="2016-02-26T11:19:00"/>
    <x v="11"/>
    <x v="1"/>
    <x v="26"/>
    <n v="7"/>
    <m/>
    <n v="127.5"/>
    <n v="22.500000000000004"/>
  </r>
  <r>
    <s v="SBG Quality Assurance"/>
    <x v="1"/>
    <s v="Task"/>
    <s v="QA-285"/>
    <s v="Misc assignments"/>
    <s v="Task"/>
    <x v="0"/>
    <d v="2016-02-26T16:54:00"/>
    <x v="11"/>
    <x v="1"/>
    <x v="30"/>
    <n v="0.5"/>
    <m/>
    <n v="127.5"/>
    <n v="22.500000000000004"/>
  </r>
  <r>
    <s v="SBG Quality Assurance"/>
    <x v="1"/>
    <s v="Task"/>
    <s v="QA-285"/>
    <s v="Misc assignments"/>
    <s v="Task"/>
    <x v="0"/>
    <d v="2016-02-29T18:25:00"/>
    <x v="11"/>
    <x v="1"/>
    <x v="23"/>
    <n v="1"/>
    <m/>
    <n v="127.5"/>
    <n v="22.500000000000004"/>
  </r>
  <r>
    <s v="SBG Quality Assurance"/>
    <x v="1"/>
    <s v="Task"/>
    <s v="QA-285"/>
    <s v="Misc assignments"/>
    <s v="Task"/>
    <x v="0"/>
    <d v="2016-02-29T18:41:00"/>
    <x v="11"/>
    <x v="1"/>
    <x v="30"/>
    <n v="2"/>
    <m/>
    <n v="127.5"/>
    <n v="22.500000000000004"/>
  </r>
  <r>
    <s v="SBG Quality Assurance"/>
    <x v="1"/>
    <s v="Task"/>
    <s v="QA-285"/>
    <s v="Misc assignments"/>
    <s v="Task"/>
    <x v="0"/>
    <d v="2016-03-01T16:37:00"/>
    <x v="7"/>
    <x v="1"/>
    <x v="21"/>
    <n v="5"/>
    <m/>
    <n v="156.4"/>
    <n v="27.600000000000005"/>
  </r>
  <r>
    <s v="SBG Quality Assurance"/>
    <x v="1"/>
    <s v="Task"/>
    <s v="QA-285"/>
    <s v="Misc assignments"/>
    <s v="Task"/>
    <x v="0"/>
    <d v="2016-03-01T18:25:00"/>
    <x v="7"/>
    <x v="1"/>
    <x v="30"/>
    <n v="7"/>
    <m/>
    <n v="156.4"/>
    <n v="27.600000000000005"/>
  </r>
  <r>
    <s v="SBG Quality Assurance"/>
    <x v="1"/>
    <s v="Task"/>
    <s v="QA-285"/>
    <s v="Misc assignments"/>
    <s v="Task"/>
    <x v="0"/>
    <d v="2016-03-01T18:25:00"/>
    <x v="7"/>
    <x v="1"/>
    <x v="23"/>
    <n v="8"/>
    <m/>
    <n v="156.4"/>
    <n v="27.600000000000005"/>
  </r>
  <r>
    <s v="SBG Quality Assurance"/>
    <x v="1"/>
    <s v="Task"/>
    <s v="QA-285"/>
    <s v="Misc assignments"/>
    <s v="Task"/>
    <x v="0"/>
    <d v="2016-03-02T17:35:00"/>
    <x v="7"/>
    <x v="1"/>
    <x v="30"/>
    <n v="1"/>
    <m/>
    <n v="156.4"/>
    <n v="27.600000000000005"/>
  </r>
  <r>
    <s v="SBG Quality Assurance"/>
    <x v="1"/>
    <s v="Task"/>
    <s v="QA-285"/>
    <s v="Misc assignments"/>
    <s v="Task"/>
    <x v="0"/>
    <d v="2016-03-02T18:12:00"/>
    <x v="7"/>
    <x v="1"/>
    <x v="23"/>
    <n v="2"/>
    <m/>
    <n v="156.4"/>
    <n v="27.600000000000005"/>
  </r>
  <r>
    <s v="SBG Quality Assurance"/>
    <x v="1"/>
    <s v="Task"/>
    <s v="QA-285"/>
    <s v="Misc assignments"/>
    <s v="Task"/>
    <x v="0"/>
    <d v="2016-03-03T09:47:00"/>
    <x v="7"/>
    <x v="1"/>
    <x v="21"/>
    <n v="3"/>
    <m/>
    <n v="156.4"/>
    <n v="27.600000000000005"/>
  </r>
  <r>
    <s v="SBG Quality Assurance"/>
    <x v="1"/>
    <s v="Task"/>
    <s v="QA-285"/>
    <s v="Misc assignments"/>
    <s v="Task"/>
    <x v="0"/>
    <d v="2016-03-03T18:15:00"/>
    <x v="7"/>
    <x v="1"/>
    <x v="30"/>
    <n v="1"/>
    <m/>
    <n v="156.4"/>
    <n v="27.600000000000005"/>
  </r>
  <r>
    <s v="SBG Quality Assurance"/>
    <x v="1"/>
    <s v="Task"/>
    <s v="QA-285"/>
    <s v="Misc assignments"/>
    <s v="Task"/>
    <x v="0"/>
    <d v="2016-03-03T18:43:00"/>
    <x v="7"/>
    <x v="1"/>
    <x v="8"/>
    <n v="2"/>
    <s v="meeting"/>
    <n v="156.4"/>
    <n v="27.600000000000005"/>
  </r>
  <r>
    <s v="SBG Quality Assurance"/>
    <x v="1"/>
    <s v="Task"/>
    <s v="QA-285"/>
    <s v="Misc assignments"/>
    <s v="Task"/>
    <x v="0"/>
    <d v="2016-03-04T10:40:00"/>
    <x v="7"/>
    <x v="1"/>
    <x v="30"/>
    <n v="8"/>
    <m/>
    <n v="156.4"/>
    <n v="27.600000000000005"/>
  </r>
  <r>
    <s v="SBG Quality Assurance"/>
    <x v="1"/>
    <s v="Task"/>
    <s v="QA-285"/>
    <s v="Misc assignments"/>
    <s v="Task"/>
    <x v="0"/>
    <d v="2016-03-04T18:29:00"/>
    <x v="7"/>
    <x v="1"/>
    <x v="23"/>
    <n v="5"/>
    <m/>
    <n v="156.4"/>
    <n v="27.600000000000005"/>
  </r>
  <r>
    <s v="SBG Quality Assurance"/>
    <x v="1"/>
    <s v="Task"/>
    <s v="QA-285"/>
    <s v="Misc assignments"/>
    <s v="Task"/>
    <x v="0"/>
    <d v="2016-03-04T18:31:00"/>
    <x v="7"/>
    <x v="1"/>
    <x v="8"/>
    <n v="1"/>
    <s v="sharing"/>
    <n v="156.4"/>
    <n v="27.600000000000005"/>
  </r>
  <r>
    <s v="SBG Quality Assurance"/>
    <x v="1"/>
    <s v="Task"/>
    <s v="QA-285"/>
    <s v="Misc assignments"/>
    <s v="Task"/>
    <x v="0"/>
    <d v="2016-03-07T09:51:00"/>
    <x v="7"/>
    <x v="1"/>
    <x v="23"/>
    <n v="5"/>
    <m/>
    <n v="156.4"/>
    <n v="27.600000000000005"/>
  </r>
  <r>
    <s v="SBG Quality Assurance"/>
    <x v="1"/>
    <s v="Task"/>
    <s v="QA-285"/>
    <s v="Misc assignments"/>
    <s v="Task"/>
    <x v="0"/>
    <d v="2016-03-07T17:09:00"/>
    <x v="7"/>
    <x v="1"/>
    <x v="30"/>
    <n v="2"/>
    <m/>
    <n v="156.4"/>
    <n v="27.600000000000005"/>
  </r>
  <r>
    <s v="SBG Quality Assurance"/>
    <x v="1"/>
    <s v="Task"/>
    <s v="QA-285"/>
    <s v="Misc assignments"/>
    <s v="Task"/>
    <x v="0"/>
    <d v="2016-03-07T18:29:00"/>
    <x v="7"/>
    <x v="1"/>
    <x v="30"/>
    <n v="1"/>
    <m/>
    <n v="156.4"/>
    <n v="27.600000000000005"/>
  </r>
  <r>
    <s v="SBG Quality Assurance"/>
    <x v="1"/>
    <s v="Task"/>
    <s v="QA-285"/>
    <s v="Misc assignments"/>
    <s v="Task"/>
    <x v="0"/>
    <d v="2016-03-07T19:16:00"/>
    <x v="7"/>
    <x v="1"/>
    <x v="8"/>
    <n v="3"/>
    <s v="meetings"/>
    <n v="156.4"/>
    <n v="27.600000000000005"/>
  </r>
  <r>
    <s v="SBG Quality Assurance"/>
    <x v="1"/>
    <s v="Task"/>
    <s v="QA-285"/>
    <s v="Misc assignments"/>
    <s v="Task"/>
    <x v="0"/>
    <d v="2016-03-08T17:25:00"/>
    <x v="7"/>
    <x v="1"/>
    <x v="30"/>
    <n v="8"/>
    <m/>
    <n v="156.4"/>
    <n v="27.600000000000005"/>
  </r>
  <r>
    <s v="SBG Quality Assurance"/>
    <x v="1"/>
    <s v="Task"/>
    <s v="QA-285"/>
    <s v="Misc assignments"/>
    <s v="Task"/>
    <x v="0"/>
    <d v="2016-03-08T17:46:00"/>
    <x v="7"/>
    <x v="1"/>
    <x v="8"/>
    <n v="2"/>
    <m/>
    <n v="156.4"/>
    <n v="27.600000000000005"/>
  </r>
  <r>
    <s v="SBG Quality Assurance"/>
    <x v="1"/>
    <s v="Task"/>
    <s v="QA-285"/>
    <s v="Misc assignments"/>
    <s v="Task"/>
    <x v="0"/>
    <d v="2016-03-10T17:28:00"/>
    <x v="7"/>
    <x v="1"/>
    <x v="30"/>
    <n v="1.5"/>
    <m/>
    <n v="156.4"/>
    <n v="27.600000000000005"/>
  </r>
  <r>
    <s v="Backend - Scan"/>
    <x v="2"/>
    <s v="Improvement"/>
    <s v="SCAN-484"/>
    <s v="Contact Lens - On-Hold process to check for fulfillment warehouse"/>
    <s v="Improvement"/>
    <x v="0"/>
    <d v="2016-03-23T18:54:00"/>
    <x v="7"/>
    <x v="1"/>
    <x v="9"/>
    <n v="2"/>
    <m/>
    <n v="156.4"/>
    <n v="27.600000000000005"/>
  </r>
  <r>
    <s v="Backend - Scan"/>
    <x v="2"/>
    <s v="Improvement"/>
    <s v="SCAN-484"/>
    <s v="Contact Lens - On-Hold process to check for fulfillment warehouse"/>
    <s v="Improvement"/>
    <x v="0"/>
    <d v="2016-03-24T15:01:00"/>
    <x v="7"/>
    <x v="1"/>
    <x v="33"/>
    <n v="1"/>
    <m/>
    <n v="156.4"/>
    <n v="27.600000000000005"/>
  </r>
  <r>
    <s v="Backend - Scan"/>
    <x v="2"/>
    <s v="Improvement"/>
    <s v="SCAN-484"/>
    <s v="Contact Lens - On-Hold process to check for fulfillment warehouse"/>
    <s v="Improvement"/>
    <x v="0"/>
    <d v="2016-03-24T18:45:00"/>
    <x v="7"/>
    <x v="1"/>
    <x v="9"/>
    <n v="5.5"/>
    <s v="process and confirm some requirement."/>
    <n v="156.4"/>
    <n v="27.600000000000005"/>
  </r>
  <r>
    <s v="Backend - Scan"/>
    <x v="2"/>
    <s v="Improvement"/>
    <s v="SCAN-484"/>
    <s v="Contact Lens - On-Hold process to check for fulfillment warehouse"/>
    <s v="Improvement"/>
    <x v="0"/>
    <d v="2016-03-25T18:39:00"/>
    <x v="7"/>
    <x v="1"/>
    <x v="9"/>
    <n v="6"/>
    <s v="process and Determine the field"/>
    <n v="156.4"/>
    <n v="27.600000000000005"/>
  </r>
  <r>
    <s v="Backend - Scan"/>
    <x v="2"/>
    <s v="Improvement"/>
    <s v="SCAN-484"/>
    <s v="Contact Lens - On-Hold process to check for fulfillment warehouse"/>
    <s v="Improvement"/>
    <x v="0"/>
    <d v="2016-03-26T19:15:00"/>
    <x v="7"/>
    <x v="1"/>
    <x v="9"/>
    <n v="8"/>
    <m/>
    <n v="156.4"/>
    <n v="27.600000000000005"/>
  </r>
  <r>
    <s v="Backend - Scan"/>
    <x v="2"/>
    <s v="Improvement"/>
    <s v="SCAN-484"/>
    <s v="Contact Lens - On-Hold process to check for fulfillment warehouse"/>
    <s v="Improvement"/>
    <x v="0"/>
    <d v="2016-03-28T14:47:00"/>
    <x v="7"/>
    <x v="1"/>
    <x v="33"/>
    <n v="1"/>
    <m/>
    <n v="156.4"/>
    <n v="27.600000000000005"/>
  </r>
  <r>
    <s v="Backend - Scan"/>
    <x v="2"/>
    <s v="Improvement"/>
    <s v="SCAN-484"/>
    <s v="Contact Lens - On-Hold process to check for fulfillment warehouse"/>
    <s v="Improvement"/>
    <x v="0"/>
    <d v="2016-03-30T12:19:00"/>
    <x v="7"/>
    <x v="1"/>
    <x v="33"/>
    <n v="1"/>
    <m/>
    <n v="156.4"/>
    <n v="27.600000000000005"/>
  </r>
  <r>
    <s v="Backend - Scan"/>
    <x v="2"/>
    <s v="Improvement"/>
    <s v="SCAN-484"/>
    <s v="Contact Lens - On-Hold process to check for fulfillment warehouse"/>
    <s v="Improvement"/>
    <x v="0"/>
    <d v="2016-03-31T11:26:00"/>
    <x v="7"/>
    <x v="1"/>
    <x v="9"/>
    <n v="3"/>
    <m/>
    <n v="156.4"/>
    <n v="27.600000000000005"/>
  </r>
  <r>
    <s v="Backend - Scan"/>
    <x v="2"/>
    <s v="New Feature"/>
    <s v="SCAN-492"/>
    <s v="New Courier RPX (API for E-Parcel &amp; E-Express)"/>
    <s v="New Feature"/>
    <x v="0"/>
    <d v="2016-02-17T23:20:00"/>
    <x v="11"/>
    <x v="1"/>
    <x v="25"/>
    <n v="40"/>
    <m/>
    <n v="127.5"/>
    <n v="22.500000000000004"/>
  </r>
  <r>
    <s v="Backend - Scan"/>
    <x v="2"/>
    <s v="New Feature"/>
    <s v="SCAN-492"/>
    <s v="New Courier RPX (API for E-Parcel &amp; E-Express)"/>
    <s v="New Feature"/>
    <x v="0"/>
    <d v="2016-03-02T10:05:00"/>
    <x v="7"/>
    <x v="1"/>
    <x v="16"/>
    <n v="6"/>
    <m/>
    <n v="156.4"/>
    <n v="27.600000000000005"/>
  </r>
  <r>
    <s v="Backend - Scan"/>
    <x v="2"/>
    <s v="New Feature"/>
    <s v="SCAN-492"/>
    <s v="New Courier RPX (API for E-Parcel &amp; E-Express)"/>
    <s v="New Feature"/>
    <x v="0"/>
    <d v="2016-03-03T10:06:00"/>
    <x v="7"/>
    <x v="1"/>
    <x v="16"/>
    <n v="8"/>
    <m/>
    <n v="156.4"/>
    <n v="27.600000000000005"/>
  </r>
  <r>
    <s v="Backend - Scan"/>
    <x v="2"/>
    <s v="New Feature"/>
    <s v="SCAN-492"/>
    <s v="New Courier RPX (API for E-Parcel &amp; E-Express)"/>
    <s v="New Feature"/>
    <x v="0"/>
    <d v="2016-03-04T10:06:00"/>
    <x v="7"/>
    <x v="1"/>
    <x v="16"/>
    <n v="8"/>
    <m/>
    <n v="156.4"/>
    <n v="27.600000000000005"/>
  </r>
  <r>
    <s v="Backend - Scan"/>
    <x v="2"/>
    <s v="New Feature"/>
    <s v="SCAN-492"/>
    <s v="New Courier RPX (API for E-Parcel &amp; E-Express)"/>
    <s v="New Feature"/>
    <x v="0"/>
    <d v="2016-03-07T10:47:00"/>
    <x v="7"/>
    <x v="1"/>
    <x v="16"/>
    <n v="8"/>
    <m/>
    <n v="156.4"/>
    <n v="27.600000000000005"/>
  </r>
  <r>
    <s v="Backend - Scan"/>
    <x v="2"/>
    <s v="New Feature"/>
    <s v="SCAN-492"/>
    <s v="New Courier RPX (API for E-Parcel &amp; E-Express)"/>
    <s v="New Feature"/>
    <x v="0"/>
    <d v="2016-03-07T23:26:00"/>
    <x v="7"/>
    <x v="1"/>
    <x v="25"/>
    <n v="40"/>
    <m/>
    <n v="156.4"/>
    <n v="27.600000000000005"/>
  </r>
  <r>
    <s v="Backend - Scan"/>
    <x v="2"/>
    <s v="New Feature"/>
    <s v="SCAN-492"/>
    <s v="New Courier RPX (API for E-Parcel &amp; E-Express)"/>
    <s v="New Feature"/>
    <x v="0"/>
    <d v="2016-03-08T12:09:00"/>
    <x v="7"/>
    <x v="1"/>
    <x v="16"/>
    <n v="8"/>
    <m/>
    <n v="156.4"/>
    <n v="27.600000000000005"/>
  </r>
  <r>
    <s v="Backend - Scan"/>
    <x v="2"/>
    <s v="Bug"/>
    <s v="SCAN-532"/>
    <s v="Scan submit alter &quot;OM Error&quot;"/>
    <s v="Bug"/>
    <x v="1"/>
    <d v="2016-02-04T15:23:00"/>
    <x v="11"/>
    <x v="1"/>
    <x v="9"/>
    <n v="2"/>
    <m/>
    <n v="127.5"/>
    <n v="22.500000000000004"/>
  </r>
  <r>
    <s v="Backend - Scan"/>
    <x v="1"/>
    <s v="Bug"/>
    <s v="SCAN-532"/>
    <s v="Scan submit alter &quot;OM Error&quot;"/>
    <s v="Bug"/>
    <x v="1"/>
    <d v="2016-02-04T15:31:00"/>
    <x v="11"/>
    <x v="1"/>
    <x v="8"/>
    <n v="4"/>
    <m/>
    <n v="127.5"/>
    <n v="22.500000000000004"/>
  </r>
  <r>
    <s v="Backend - Scan"/>
    <x v="1"/>
    <s v="Bug"/>
    <s v="SCAN-532"/>
    <s v="Scan submit alter &quot;OM Error&quot;"/>
    <s v="Bug"/>
    <x v="1"/>
    <d v="2016-02-16T14:21:00"/>
    <x v="11"/>
    <x v="1"/>
    <x v="8"/>
    <n v="0.5"/>
    <m/>
    <n v="127.5"/>
    <n v="22.500000000000004"/>
  </r>
  <r>
    <s v="Backend - Scan"/>
    <x v="1"/>
    <s v="Bug"/>
    <s v="SCAN-545"/>
    <s v="Italy Office Cannot Stock in Luxottica Products"/>
    <s v="Bug"/>
    <x v="1"/>
    <d v="2016-02-18T11:58:00"/>
    <x v="11"/>
    <x v="1"/>
    <x v="8"/>
    <n v="2"/>
    <m/>
    <n v="127.5"/>
    <n v="22.500000000000004"/>
  </r>
  <r>
    <s v="Backend - Scan"/>
    <x v="2"/>
    <s v="Bug"/>
    <s v="SCAN-545"/>
    <s v="Italy Office Cannot Stock in Luxottica Products"/>
    <s v="Bug"/>
    <x v="1"/>
    <d v="2016-02-22T15:43:00"/>
    <x v="11"/>
    <x v="1"/>
    <x v="9"/>
    <n v="3"/>
    <m/>
    <n v="127.5"/>
    <n v="22.500000000000004"/>
  </r>
  <r>
    <s v="Backend - Scan"/>
    <x v="2"/>
    <s v="Bug"/>
    <s v="SCAN-545"/>
    <s v="Italy Office Cannot Stock in Luxottica Products"/>
    <s v="Bug"/>
    <x v="1"/>
    <d v="2016-02-25T11:27:00"/>
    <x v="11"/>
    <x v="1"/>
    <x v="33"/>
    <n v="0.5"/>
    <m/>
    <n v="127.5"/>
    <n v="22.500000000000004"/>
  </r>
  <r>
    <s v="Backend - Scan"/>
    <x v="2"/>
    <s v="Bug"/>
    <s v="SCAN-545"/>
    <s v="Italy Office Cannot Stock in Luxottica Products"/>
    <s v="Bug"/>
    <x v="1"/>
    <d v="2016-02-26T11:34:00"/>
    <x v="11"/>
    <x v="1"/>
    <x v="9"/>
    <n v="0.5"/>
    <m/>
    <n v="127.5"/>
    <n v="22.500000000000004"/>
  </r>
  <r>
    <s v="Backend - Scan"/>
    <x v="1"/>
    <s v="Bug"/>
    <s v="SCAN-545"/>
    <s v="Italy Office Cannot Stock in Luxottica Products"/>
    <s v="Bug"/>
    <x v="1"/>
    <d v="2016-02-26T12:06:00"/>
    <x v="11"/>
    <x v="1"/>
    <x v="8"/>
    <n v="1"/>
    <m/>
    <n v="127.5"/>
    <n v="22.500000000000004"/>
  </r>
  <r>
    <s v="Backend - Scan"/>
    <x v="1"/>
    <s v="Bug"/>
    <s v="SCAN-545"/>
    <s v="Italy Office Cannot Stock in Luxottica Products"/>
    <s v="Bug"/>
    <x v="1"/>
    <d v="2016-02-26T16:58:00"/>
    <x v="11"/>
    <x v="1"/>
    <x v="8"/>
    <n v="0.1"/>
    <m/>
    <n v="127.5"/>
    <n v="22.500000000000004"/>
  </r>
  <r>
    <s v="Backend - Scan"/>
    <x v="1"/>
    <s v="Task"/>
    <s v="SCAN-565"/>
    <s v="Shpping rules update - Norway"/>
    <s v="Task"/>
    <x v="0"/>
    <d v="2016-03-14T14:33:00"/>
    <x v="7"/>
    <x v="1"/>
    <x v="8"/>
    <n v="0.5"/>
    <m/>
    <n v="156.4"/>
    <n v="27.600000000000005"/>
  </r>
  <r>
    <s v="Backend - Scan"/>
    <x v="2"/>
    <s v="Task"/>
    <s v="SCAN-568"/>
    <s v="New manifest in OM for (DHL Post) &amp; (RPX - EParcel)"/>
    <s v="Task"/>
    <x v="0"/>
    <d v="2016-02-01T17:45:00"/>
    <x v="11"/>
    <x v="1"/>
    <x v="27"/>
    <n v="3"/>
    <m/>
    <n v="127.5"/>
    <n v="22.500000000000004"/>
  </r>
  <r>
    <s v="Backend - Scan"/>
    <x v="1"/>
    <s v="Task"/>
    <s v="SCAN-568"/>
    <s v="New manifest in OM for (DHL Post) &amp; (RPX - EParcel)"/>
    <s v="Task"/>
    <x v="0"/>
    <d v="2016-02-03T17:22:00"/>
    <x v="11"/>
    <x v="1"/>
    <x v="8"/>
    <n v="3"/>
    <m/>
    <n v="127.5"/>
    <n v="22.500000000000004"/>
  </r>
  <r>
    <s v="Backend - Scan"/>
    <x v="2"/>
    <s v="Improvement"/>
    <s v="SCAN-581"/>
    <s v="CA Shipping rules update - Courier Fedex"/>
    <s v="Improvement"/>
    <x v="0"/>
    <d v="2016-02-01T19:38:00"/>
    <x v="11"/>
    <x v="1"/>
    <x v="9"/>
    <n v="1"/>
    <m/>
    <n v="127.5"/>
    <n v="22.500000000000004"/>
  </r>
  <r>
    <s v="Backend - Scan"/>
    <x v="2"/>
    <s v="Improvement"/>
    <s v="SCAN-581"/>
    <s v="CA Shipping rules update - Courier Fedex"/>
    <s v="Improvement"/>
    <x v="0"/>
    <d v="2016-03-01T18:52:00"/>
    <x v="7"/>
    <x v="1"/>
    <x v="9"/>
    <n v="6"/>
    <m/>
    <n v="156.4"/>
    <n v="27.600000000000005"/>
  </r>
  <r>
    <s v="Backend - Scan"/>
    <x v="2"/>
    <s v="Improvement"/>
    <s v="SCAN-581"/>
    <s v="CA Shipping rules update - Courier Fedex"/>
    <s v="Improvement"/>
    <x v="0"/>
    <d v="2016-03-02T18:24:00"/>
    <x v="7"/>
    <x v="1"/>
    <x v="9"/>
    <n v="6"/>
    <m/>
    <n v="156.4"/>
    <n v="27.600000000000005"/>
  </r>
  <r>
    <s v="Backend - Scan"/>
    <x v="2"/>
    <s v="Improvement"/>
    <s v="SCAN-581"/>
    <s v="CA Shipping rules update - Courier Fedex"/>
    <s v="Improvement"/>
    <x v="0"/>
    <d v="2016-03-03T14:36:00"/>
    <x v="7"/>
    <x v="1"/>
    <x v="9"/>
    <n v="2"/>
    <m/>
    <n v="156.4"/>
    <n v="27.600000000000005"/>
  </r>
  <r>
    <s v="Backend - Scan"/>
    <x v="2"/>
    <s v="Improvement"/>
    <s v="SCAN-581"/>
    <s v="CA Shipping rules update - Courier Fedex"/>
    <s v="Improvement"/>
    <x v="0"/>
    <d v="2016-03-08T12:56:00"/>
    <x v="7"/>
    <x v="1"/>
    <x v="9"/>
    <n v="1"/>
    <s v="discuses the table change with wayne and michael."/>
    <n v="156.4"/>
    <n v="27.600000000000005"/>
  </r>
  <r>
    <s v="Backend - Scan"/>
    <x v="1"/>
    <s v="Improvement"/>
    <s v="SCAN-581"/>
    <s v="CA Shipping rules update - Courier Fedex"/>
    <s v="Improvement"/>
    <x v="0"/>
    <d v="2016-03-09T18:22:00"/>
    <x v="7"/>
    <x v="1"/>
    <x v="8"/>
    <n v="3"/>
    <m/>
    <n v="156.4"/>
    <n v="27.600000000000005"/>
  </r>
  <r>
    <s v="Backend - Scan"/>
    <x v="2"/>
    <s v="Improvement"/>
    <s v="SCAN-581"/>
    <s v="CA Shipping rules update - Courier Fedex"/>
    <s v="Improvement"/>
    <x v="0"/>
    <d v="2016-03-09T19:21:00"/>
    <x v="7"/>
    <x v="1"/>
    <x v="9"/>
    <n v="1"/>
    <s v="support QA test"/>
    <n v="156.4"/>
    <n v="27.600000000000005"/>
  </r>
  <r>
    <s v="Backend - Scan"/>
    <x v="2"/>
    <s v="Improvement"/>
    <s v="SCAN-581"/>
    <s v="CA Shipping rules update - Courier Fedex"/>
    <s v="Improvement"/>
    <x v="0"/>
    <d v="2016-03-10T18:57:00"/>
    <x v="7"/>
    <x v="1"/>
    <x v="9"/>
    <n v="1"/>
    <s v="support QA test"/>
    <n v="156.4"/>
    <n v="27.600000000000005"/>
  </r>
  <r>
    <s v="Backend - Scan"/>
    <x v="1"/>
    <s v="Improvement"/>
    <s v="SCAN-581"/>
    <s v="CA Shipping rules update - Courier Fedex"/>
    <s v="Improvement"/>
    <x v="0"/>
    <d v="2016-03-10T19:08:00"/>
    <x v="7"/>
    <x v="1"/>
    <x v="8"/>
    <n v="6"/>
    <m/>
    <n v="156.4"/>
    <n v="27.600000000000005"/>
  </r>
  <r>
    <s v="Backend - Scan"/>
    <x v="1"/>
    <s v="Improvement"/>
    <s v="SCAN-581"/>
    <s v="CA Shipping rules update - Courier Fedex"/>
    <s v="Improvement"/>
    <x v="0"/>
    <d v="2016-03-11T18:16:00"/>
    <x v="7"/>
    <x v="1"/>
    <x v="8"/>
    <n v="2"/>
    <m/>
    <n v="156.4"/>
    <n v="27.600000000000005"/>
  </r>
  <r>
    <s v="Backend - Scan"/>
    <x v="1"/>
    <s v="Improvement"/>
    <s v="SCAN-581"/>
    <s v="CA Shipping rules update - Courier Fedex"/>
    <s v="Improvement"/>
    <x v="0"/>
    <d v="2016-03-15T18:24:00"/>
    <x v="7"/>
    <x v="1"/>
    <x v="8"/>
    <n v="2"/>
    <m/>
    <n v="156.4"/>
    <n v="27.600000000000005"/>
  </r>
  <r>
    <s v="Backend - Scan"/>
    <x v="2"/>
    <s v="Task"/>
    <s v="SCAN-589"/>
    <s v="Add Manifest Download File for (DHL Post) &amp; (RPX - EParcel)"/>
    <s v="Task"/>
    <x v="0"/>
    <d v="2016-02-01T17:46:00"/>
    <x v="11"/>
    <x v="1"/>
    <x v="27"/>
    <n v="0.5"/>
    <m/>
    <n v="127.5"/>
    <n v="22.500000000000004"/>
  </r>
  <r>
    <s v="Backend - Scan"/>
    <x v="2"/>
    <s v="Task"/>
    <s v="SCAN-589"/>
    <s v="Add Manifest Download File for (DHL Post) &amp; (RPX - EParcel)"/>
    <s v="Task"/>
    <x v="0"/>
    <d v="2016-02-02T14:42:00"/>
    <x v="11"/>
    <x v="1"/>
    <x v="27"/>
    <n v="2.5"/>
    <m/>
    <n v="127.5"/>
    <n v="22.500000000000004"/>
  </r>
  <r>
    <s v="Backend - Scan"/>
    <x v="1"/>
    <s v="Task"/>
    <s v="SCAN-589"/>
    <s v="Add Manifest Download File for (DHL Post) &amp; (RPX - EParcel)"/>
    <s v="Task"/>
    <x v="0"/>
    <d v="2016-02-03T16:11:00"/>
    <x v="11"/>
    <x v="1"/>
    <x v="8"/>
    <n v="2"/>
    <m/>
    <n v="127.5"/>
    <n v="22.500000000000004"/>
  </r>
  <r>
    <s v="Backend - Scan"/>
    <x v="2"/>
    <s v="Sub-task"/>
    <s v="SCAN-605"/>
    <s v="SCAN-492&gt; New Courier API Integration for RPX e-Parcel"/>
    <s v="Sub-task"/>
    <x v="0"/>
    <d v="2016-03-14T10:34:00"/>
    <x v="7"/>
    <x v="1"/>
    <x v="16"/>
    <n v="8"/>
    <m/>
    <n v="156.4"/>
    <n v="27.600000000000005"/>
  </r>
  <r>
    <s v="Backend - Scan"/>
    <x v="2"/>
    <s v="Sub-task"/>
    <s v="SCAN-605"/>
    <s v="SCAN-492&gt; New Courier API Integration for RPX e-Parcel"/>
    <s v="Sub-task"/>
    <x v="0"/>
    <d v="2016-03-15T10:34:00"/>
    <x v="7"/>
    <x v="1"/>
    <x v="16"/>
    <n v="6"/>
    <m/>
    <n v="156.4"/>
    <n v="27.600000000000005"/>
  </r>
  <r>
    <s v="Backend - Scan"/>
    <x v="2"/>
    <s v="Sub-task"/>
    <s v="SCAN-605"/>
    <s v="SCAN-492&gt; New Courier API Integration for RPX e-Parcel"/>
    <s v="Sub-task"/>
    <x v="0"/>
    <d v="2016-03-16T18:52:00"/>
    <x v="7"/>
    <x v="1"/>
    <x v="16"/>
    <n v="8"/>
    <m/>
    <n v="156.4"/>
    <n v="27.600000000000005"/>
  </r>
  <r>
    <s v="Backend - Scan"/>
    <x v="2"/>
    <s v="Sub-task"/>
    <s v="SCAN-605"/>
    <s v="SCAN-492&gt; New Courier API Integration for RPX e-Parcel"/>
    <s v="Sub-task"/>
    <x v="0"/>
    <d v="2016-03-18T18:23:00"/>
    <x v="7"/>
    <x v="1"/>
    <x v="16"/>
    <n v="4"/>
    <m/>
    <n v="156.4"/>
    <n v="27.600000000000005"/>
  </r>
  <r>
    <s v="Backend - Scan"/>
    <x v="2"/>
    <s v="Sub-task"/>
    <s v="SCAN-606"/>
    <s v="SCAN-492&gt; New Courier API Integration for RPX e-Express"/>
    <s v="Sub-task"/>
    <x v="0"/>
    <d v="2016-03-09T09:56:00"/>
    <x v="7"/>
    <x v="1"/>
    <x v="16"/>
    <n v="8"/>
    <m/>
    <n v="156.4"/>
    <n v="27.600000000000005"/>
  </r>
  <r>
    <s v="Backend - Scan"/>
    <x v="2"/>
    <s v="Sub-task"/>
    <s v="SCAN-606"/>
    <s v="SCAN-492&gt; New Courier API Integration for RPX e-Express"/>
    <s v="Sub-task"/>
    <x v="0"/>
    <d v="2016-03-10T10:04:00"/>
    <x v="7"/>
    <x v="1"/>
    <x v="16"/>
    <n v="8"/>
    <m/>
    <n v="156.4"/>
    <n v="27.600000000000005"/>
  </r>
  <r>
    <s v="Backend - Scan"/>
    <x v="2"/>
    <s v="Sub-task"/>
    <s v="SCAN-606"/>
    <s v="SCAN-492&gt; New Courier API Integration for RPX e-Express"/>
    <s v="Sub-task"/>
    <x v="0"/>
    <d v="2016-03-11T09:56:00"/>
    <x v="7"/>
    <x v="1"/>
    <x v="16"/>
    <n v="8"/>
    <m/>
    <n v="156.4"/>
    <n v="27.600000000000005"/>
  </r>
  <r>
    <s v="Backend - Scan"/>
    <x v="2"/>
    <s v="Sub-task"/>
    <s v="SCAN-606"/>
    <s v="SCAN-492&gt; New Courier API Integration for RPX e-Express"/>
    <s v="Sub-task"/>
    <x v="0"/>
    <d v="2016-03-21T18:31:00"/>
    <x v="7"/>
    <x v="1"/>
    <x v="16"/>
    <n v="6"/>
    <m/>
    <n v="156.4"/>
    <n v="27.600000000000005"/>
  </r>
  <r>
    <s v="Backend - Scan"/>
    <x v="2"/>
    <s v="Sub-task"/>
    <s v="SCAN-606"/>
    <s v="SCAN-492&gt; New Courier API Integration for RPX e-Express"/>
    <s v="Sub-task"/>
    <x v="0"/>
    <d v="2016-03-22T18:41:00"/>
    <x v="7"/>
    <x v="1"/>
    <x v="16"/>
    <n v="8"/>
    <m/>
    <n v="156.4"/>
    <n v="27.600000000000005"/>
  </r>
  <r>
    <s v="Backend - Scan"/>
    <x v="2"/>
    <s v="Sub-task"/>
    <s v="SCAN-606"/>
    <s v="SCAN-492&gt; New Courier API Integration for RPX e-Express"/>
    <s v="Sub-task"/>
    <x v="0"/>
    <d v="2016-03-28T09:55:00"/>
    <x v="7"/>
    <x v="1"/>
    <x v="16"/>
    <n v="6"/>
    <m/>
    <n v="156.4"/>
    <n v="27.600000000000005"/>
  </r>
  <r>
    <s v="Backend - Scan"/>
    <x v="2"/>
    <s v="Sub-task"/>
    <s v="SCAN-606"/>
    <s v="SCAN-492&gt; New Courier API Integration for RPX e-Express"/>
    <s v="Sub-task"/>
    <x v="0"/>
    <d v="2016-03-28T18:40:00"/>
    <x v="7"/>
    <x v="1"/>
    <x v="16"/>
    <n v="6"/>
    <m/>
    <n v="156.4"/>
    <n v="27.600000000000005"/>
  </r>
  <r>
    <s v="Backend - Scan"/>
    <x v="2"/>
    <s v="Sub-task"/>
    <s v="SCAN-606"/>
    <s v="SCAN-492&gt; New Courier API Integration for RPX e-Express"/>
    <s v="Sub-task"/>
    <x v="0"/>
    <d v="2016-03-29T09:55:00"/>
    <x v="7"/>
    <x v="1"/>
    <x v="16"/>
    <n v="6"/>
    <m/>
    <n v="156.4"/>
    <n v="27.600000000000005"/>
  </r>
  <r>
    <s v="Backend - Scan"/>
    <x v="2"/>
    <s v="Sub-task"/>
    <s v="SCAN-606"/>
    <s v="SCAN-492&gt; New Courier API Integration for RPX e-Express"/>
    <s v="Sub-task"/>
    <x v="0"/>
    <d v="2016-03-30T09:56:00"/>
    <x v="7"/>
    <x v="1"/>
    <x v="16"/>
    <n v="6"/>
    <m/>
    <n v="156.4"/>
    <n v="27.600000000000005"/>
  </r>
  <r>
    <s v="Backend - Scan"/>
    <x v="2"/>
    <s v="Sub-task"/>
    <s v="SCAN-606"/>
    <s v="SCAN-492&gt; New Courier API Integration for RPX e-Express"/>
    <s v="Sub-task"/>
    <x v="0"/>
    <d v="2016-03-30T10:02:00"/>
    <x v="7"/>
    <x v="1"/>
    <x v="16"/>
    <n v="6"/>
    <m/>
    <n v="156.4"/>
    <n v="27.600000000000005"/>
  </r>
  <r>
    <s v="Backend - Scan"/>
    <x v="2"/>
    <s v="Improvement"/>
    <s v="SCAN-607"/>
    <s v="UPS API Shipping Label (2 Copies)"/>
    <s v="Improvement"/>
    <x v="0"/>
    <d v="2016-03-17T17:59:00"/>
    <x v="7"/>
    <x v="1"/>
    <x v="16"/>
    <n v="5"/>
    <m/>
    <n v="156.4"/>
    <n v="27.600000000000005"/>
  </r>
  <r>
    <s v="Backend - Scan"/>
    <x v="1"/>
    <s v="Improvement"/>
    <s v="SCAN-607"/>
    <s v="UPS API Shipping Label (2 Copies)"/>
    <s v="Improvement"/>
    <x v="0"/>
    <d v="2016-03-18T17:21:00"/>
    <x v="7"/>
    <x v="1"/>
    <x v="8"/>
    <n v="0.5"/>
    <m/>
    <n v="156.4"/>
    <n v="27.600000000000005"/>
  </r>
  <r>
    <s v="Backend - Scan"/>
    <x v="2"/>
    <s v="Improvement"/>
    <s v="SCAN-607"/>
    <s v="UPS API Shipping Label (2 Copies)"/>
    <s v="Improvement"/>
    <x v="0"/>
    <d v="2016-03-18T18:09:00"/>
    <x v="7"/>
    <x v="1"/>
    <x v="16"/>
    <n v="3"/>
    <m/>
    <n v="156.4"/>
    <n v="27.600000000000005"/>
  </r>
  <r>
    <s v="Backend - Scan"/>
    <x v="1"/>
    <s v="Improvement"/>
    <s v="SCAN-607"/>
    <s v="UPS API Shipping Label (2 Copies)"/>
    <s v="Improvement"/>
    <x v="0"/>
    <d v="2016-03-21T15:44:00"/>
    <x v="7"/>
    <x v="1"/>
    <x v="8"/>
    <n v="4.5"/>
    <m/>
    <n v="156.4"/>
    <n v="27.600000000000005"/>
  </r>
  <r>
    <s v="Backend - Scan"/>
    <x v="2"/>
    <s v="Improvement"/>
    <s v="SCAN-607"/>
    <s v="UPS API Shipping Label (2 Copies)"/>
    <s v="Improvement"/>
    <x v="0"/>
    <d v="2016-03-21T18:28:00"/>
    <x v="7"/>
    <x v="1"/>
    <x v="16"/>
    <n v="2"/>
    <m/>
    <n v="156.4"/>
    <n v="27.600000000000005"/>
  </r>
  <r>
    <s v="Backend - Scan"/>
    <x v="1"/>
    <s v="Improvement"/>
    <s v="SCAN-607"/>
    <s v="UPS API Shipping Label (2 Copies)"/>
    <s v="Improvement"/>
    <x v="0"/>
    <d v="2016-03-22T16:03:00"/>
    <x v="7"/>
    <x v="1"/>
    <x v="8"/>
    <n v="3"/>
    <m/>
    <n v="156.4"/>
    <n v="27.600000000000005"/>
  </r>
  <r>
    <s v="Backend - Scan"/>
    <x v="2"/>
    <s v="Task"/>
    <s v="SCAN-610"/>
    <s v="order FR0237666910G can't print label when 'RX PO Entry'"/>
    <s v="Task"/>
    <x v="0"/>
    <d v="2016-03-11T17:23:00"/>
    <x v="7"/>
    <x v="1"/>
    <x v="9"/>
    <n v="0.5"/>
    <m/>
    <n v="156.4"/>
    <n v="27.600000000000005"/>
  </r>
  <r>
    <s v="Backend - Scan"/>
    <x v="2"/>
    <s v="New Feature"/>
    <s v="SCAN-611"/>
    <s v="Amazon: Create MG Eyewear Italy warehouse - Change in Scan"/>
    <s v="New Feature"/>
    <x v="0"/>
    <d v="2016-03-29T17:38:00"/>
    <x v="7"/>
    <x v="1"/>
    <x v="33"/>
    <n v="1"/>
    <m/>
    <n v="156.4"/>
    <n v="27.600000000000005"/>
  </r>
  <r>
    <s v="Backend - Scan"/>
    <x v="2"/>
    <s v="Bug"/>
    <s v="SCAN-614"/>
    <s v="Scan system issue"/>
    <s v="Bug"/>
    <x v="1"/>
    <d v="2016-03-22T18:53:00"/>
    <x v="7"/>
    <x v="1"/>
    <x v="9"/>
    <n v="6"/>
    <m/>
    <n v="156.4"/>
    <n v="27.600000000000005"/>
  </r>
  <r>
    <s v="Backend - Scan"/>
    <x v="2"/>
    <s v="Bug"/>
    <s v="SCAN-614"/>
    <s v="Scan system issue"/>
    <s v="Bug"/>
    <x v="1"/>
    <d v="2016-03-23T18:55:00"/>
    <x v="7"/>
    <x v="1"/>
    <x v="9"/>
    <n v="1"/>
    <m/>
    <n v="156.4"/>
    <n v="27.600000000000005"/>
  </r>
  <r>
    <s v="Backend - Scan"/>
    <x v="1"/>
    <s v="Bug"/>
    <s v="SCAN-614"/>
    <s v="Scan system issue"/>
    <s v="Bug"/>
    <x v="1"/>
    <d v="2016-03-31T18:05:00"/>
    <x v="7"/>
    <x v="1"/>
    <x v="8"/>
    <n v="3"/>
    <m/>
    <n v="156.4"/>
    <n v="27.600000000000005"/>
  </r>
  <r>
    <s v="Backend - Scan"/>
    <x v="1"/>
    <s v="Bug"/>
    <s v="SCAN-617"/>
    <s v="CL attributes are a mess in scan"/>
    <s v="Bug"/>
    <x v="1"/>
    <d v="2016-03-30T14:29:00"/>
    <x v="7"/>
    <x v="1"/>
    <x v="8"/>
    <n v="1.5"/>
    <m/>
    <n v="156.4"/>
    <n v="27.600000000000005"/>
  </r>
  <r>
    <s v="Operation Team Task"/>
    <x v="3"/>
    <s v="Develop"/>
    <s v="TASK-3"/>
    <s v="Roll back 219 test env"/>
    <s v="Develop"/>
    <x v="0"/>
    <d v="2016-02-01T18:24:00"/>
    <x v="11"/>
    <x v="1"/>
    <x v="28"/>
    <n v="2"/>
    <m/>
    <n v="75"/>
    <n v="75"/>
  </r>
  <r>
    <s v="Operation Team Task"/>
    <x v="3"/>
    <s v="Develop"/>
    <s v="TASK-4"/>
    <s v="Enable port 3306 for QA AWS server"/>
    <s v="Develop"/>
    <x v="0"/>
    <d v="2016-02-05T14:43:00"/>
    <x v="11"/>
    <x v="1"/>
    <x v="28"/>
    <n v="2"/>
    <m/>
    <n v="75"/>
    <n v="75"/>
  </r>
  <r>
    <s v="Operation Team Task"/>
    <x v="3"/>
    <s v="Develop"/>
    <s v="TASK-5"/>
    <s v="QA AWS server domain name"/>
    <s v="Develop"/>
    <x v="0"/>
    <d v="2016-02-18T10:13:00"/>
    <x v="11"/>
    <x v="1"/>
    <x v="28"/>
    <n v="4"/>
    <m/>
    <n v="75"/>
    <n v="75"/>
  </r>
  <r>
    <s v="Operation Team Task"/>
    <x v="3"/>
    <s v="Maintenance"/>
    <s v="TASK-6"/>
    <s v="vpn fault"/>
    <s v="Maintenance"/>
    <x v="1"/>
    <d v="2016-02-16T14:00:00"/>
    <x v="11"/>
    <x v="1"/>
    <x v="32"/>
    <n v="4"/>
    <m/>
    <n v="75"/>
    <n v="75"/>
  </r>
  <r>
    <s v="Operation Team Task"/>
    <x v="3"/>
    <s v="Maintenance"/>
    <s v="TASK-7"/>
    <s v="Skype problem"/>
    <s v="Maintenance"/>
    <x v="1"/>
    <d v="2016-02-23T12:56:00"/>
    <x v="11"/>
    <x v="1"/>
    <x v="32"/>
    <n v="1"/>
    <s v="Skype can't log in, cleaning up the registry corpus, reinstall, ok"/>
    <n v="75"/>
    <n v="75"/>
  </r>
  <r>
    <s v="Operation Team Task"/>
    <x v="3"/>
    <s v="Maintenance"/>
    <s v="TASK-8"/>
    <s v="Printer installation"/>
    <s v="Maintenance"/>
    <x v="1"/>
    <d v="2016-02-23T17:16:00"/>
    <x v="11"/>
    <x v="1"/>
    <x v="32"/>
    <n v="0.5"/>
    <s v="Printer driver to install."/>
    <n v="75"/>
    <n v="75"/>
  </r>
  <r>
    <s v="Operation Team Task"/>
    <x v="3"/>
    <s v="Maintenance"/>
    <s v="TASK-9"/>
    <s v="outlook problem"/>
    <s v="Maintenance"/>
    <x v="1"/>
    <d v="2016-02-24T10:39:00"/>
    <x v="11"/>
    <x v="1"/>
    <x v="32"/>
    <n v="0.33300000000000002"/>
    <s v="After checking, outlook server close ，After opening the computer to restart，ok"/>
    <n v="75"/>
    <n v="75"/>
  </r>
  <r>
    <s v="Operation Team Task"/>
    <x v="3"/>
    <s v="Maintenance"/>
    <s v="TASK-11"/>
    <s v="skype update"/>
    <s v="Maintenance"/>
    <x v="1"/>
    <d v="2016-02-24T11:44:00"/>
    <x v="11"/>
    <x v="1"/>
    <x v="32"/>
    <n v="0.16700000000000001"/>
    <m/>
    <n v="75"/>
    <n v="75"/>
  </r>
  <r>
    <s v="Operation Team Task"/>
    <x v="3"/>
    <s v="Maintenance"/>
    <s v="TASK-11"/>
    <s v="skype update"/>
    <s v="Maintenance"/>
    <x v="1"/>
    <d v="2016-02-24T12:00:00"/>
    <x v="11"/>
    <x v="1"/>
    <x v="32"/>
    <n v="5"/>
    <m/>
    <n v="75"/>
    <n v="75"/>
  </r>
  <r>
    <s v="Operation Team Task"/>
    <x v="3"/>
    <s v="Maintenance"/>
    <s v="TASK-12"/>
    <s v="Set up Joanna PC and Outlook"/>
    <s v="Maintenance"/>
    <x v="1"/>
    <d v="2016-02-23T11:45:00"/>
    <x v="11"/>
    <x v="1"/>
    <x v="32"/>
    <n v="1"/>
    <m/>
    <n v="75"/>
    <n v="75"/>
  </r>
  <r>
    <s v="Operation Team Task"/>
    <x v="3"/>
    <s v="Maintenance"/>
    <s v="TASK-13"/>
    <s v="new screen"/>
    <s v="Maintenance"/>
    <x v="1"/>
    <d v="2016-02-25T16:09:00"/>
    <x v="11"/>
    <x v="1"/>
    <x v="32"/>
    <n v="1"/>
    <m/>
    <n v="75"/>
    <n v="75"/>
  </r>
  <r>
    <s v="Operation Team Task"/>
    <x v="3"/>
    <s v="Maintenance"/>
    <s v="TASK-14"/>
    <s v="mouse"/>
    <s v="Maintenance"/>
    <x v="1"/>
    <d v="2016-02-25T13:00:00"/>
    <x v="11"/>
    <x v="1"/>
    <x v="32"/>
    <n v="4"/>
    <m/>
    <n v="75"/>
    <n v="75"/>
  </r>
  <r>
    <s v="Operation Team Task"/>
    <x v="3"/>
    <s v="Maintenance"/>
    <s v="TASK-14"/>
    <s v="mouse"/>
    <s v="Maintenance"/>
    <x v="1"/>
    <d v="2016-02-25T16:09:00"/>
    <x v="11"/>
    <x v="1"/>
    <x v="32"/>
    <n v="8.3000000000000004E-2"/>
    <s v="changer mouse"/>
    <n v="75"/>
    <n v="75"/>
  </r>
  <r>
    <s v="Operation Team Task"/>
    <x v="3"/>
    <s v="Maintenance"/>
    <s v="TASK-15"/>
    <s v="显示屏有问题"/>
    <s v="Maintenance"/>
    <x v="1"/>
    <d v="2016-02-29T09:45:00"/>
    <x v="11"/>
    <x v="1"/>
    <x v="32"/>
    <n v="0.5"/>
    <m/>
    <n v="75"/>
    <n v="75"/>
  </r>
  <r>
    <s v="Operation Team Task"/>
    <x v="3"/>
    <s v="Maintenance"/>
    <s v="TASK-16"/>
    <s v="Add new screen"/>
    <s v="Maintenance"/>
    <x v="1"/>
    <d v="2016-02-29T10:50:00"/>
    <x v="11"/>
    <x v="1"/>
    <x v="32"/>
    <n v="1"/>
    <m/>
    <n v="75"/>
    <n v="75"/>
  </r>
  <r>
    <s v="Operation Team Task"/>
    <x v="3"/>
    <s v="Maintenance"/>
    <s v="TASK-17"/>
    <s v="outlook problem"/>
    <s v="Maintenance"/>
    <x v="1"/>
    <d v="2016-02-29T15:30:00"/>
    <x v="11"/>
    <x v="1"/>
    <x v="32"/>
    <n v="0.33300000000000002"/>
    <m/>
    <n v="75"/>
    <n v="75"/>
  </r>
  <r>
    <s v="Operation Team Task"/>
    <x v="3"/>
    <s v="Maintenance"/>
    <s v="TASK-18"/>
    <s v="office excel problem"/>
    <s v="Maintenance"/>
    <x v="1"/>
    <d v="2016-02-29T11:59:00"/>
    <x v="11"/>
    <x v="1"/>
    <x v="32"/>
    <n v="5"/>
    <m/>
    <n v="75"/>
    <n v="75"/>
  </r>
  <r>
    <s v="Operation Team Task"/>
    <x v="3"/>
    <s v="Maintenance"/>
    <s v="TASK-18"/>
    <s v="office excel problem"/>
    <s v="Maintenance"/>
    <x v="1"/>
    <d v="2016-02-29T16:41:00"/>
    <x v="11"/>
    <x v="1"/>
    <x v="32"/>
    <n v="0.16700000000000001"/>
    <m/>
    <n v="75"/>
    <n v="75"/>
  </r>
  <r>
    <s v="Operation Team Task"/>
    <x v="3"/>
    <s v="Maintenance"/>
    <s v="TASK-19"/>
    <s v="CS Klas's Skype can't log in. need to be fixed"/>
    <s v="Maintenance"/>
    <x v="1"/>
    <d v="2016-03-01T12:42:00"/>
    <x v="7"/>
    <x v="1"/>
    <x v="32"/>
    <n v="4"/>
    <m/>
    <n v="92"/>
    <n v="92"/>
  </r>
  <r>
    <s v="Operation Team Task"/>
    <x v="3"/>
    <s v="Maintenance"/>
    <s v="TASK-19"/>
    <s v="CS Klas's Skype can't log in. need to be fixed"/>
    <s v="Maintenance"/>
    <x v="1"/>
    <d v="2016-03-01T13:32:00"/>
    <x v="7"/>
    <x v="1"/>
    <x v="32"/>
    <n v="1"/>
    <m/>
    <n v="92"/>
    <n v="92"/>
  </r>
  <r>
    <s v="Operation Team Task"/>
    <x v="3"/>
    <s v="Maintenance"/>
    <s v="TASK-19"/>
    <s v="CS Klas's Skype can't log in. need to be fixed"/>
    <s v="Maintenance"/>
    <x v="1"/>
    <d v="2016-03-01T16:34:00"/>
    <x v="7"/>
    <x v="1"/>
    <x v="32"/>
    <n v="2"/>
    <m/>
    <n v="92"/>
    <n v="92"/>
  </r>
  <r>
    <s v="Operation Team Task"/>
    <x v="3"/>
    <s v="Develop"/>
    <s v="TASK-20"/>
    <s v="Set up FTP account"/>
    <s v="Develop"/>
    <x v="0"/>
    <d v="2016-03-01T10:06:00"/>
    <x v="7"/>
    <x v="1"/>
    <x v="28"/>
    <n v="4"/>
    <m/>
    <n v="92"/>
    <n v="92"/>
  </r>
  <r>
    <s v="Operation Team Task"/>
    <x v="3"/>
    <s v="Develop"/>
    <s v="TASK-21"/>
    <s v="Set up FTP account"/>
    <s v="Develop"/>
    <x v="0"/>
    <d v="2016-02-15T14:46:00"/>
    <x v="11"/>
    <x v="1"/>
    <x v="28"/>
    <n v="4"/>
    <m/>
    <n v="75"/>
    <n v="75"/>
  </r>
  <r>
    <s v="Operation Team Task"/>
    <x v="3"/>
    <s v="Develop"/>
    <s v="TASK-21"/>
    <s v="Set up FTP account"/>
    <s v="Develop"/>
    <x v="0"/>
    <d v="2016-02-16T18:13:00"/>
    <x v="11"/>
    <x v="1"/>
    <x v="28"/>
    <n v="4"/>
    <m/>
    <n v="75"/>
    <n v="75"/>
  </r>
  <r>
    <s v="Operation Team Task"/>
    <x v="3"/>
    <s v="Develop"/>
    <s v="TASK-22"/>
    <s v="Pls help to give a test environment to call Alipay"/>
    <s v="Develop"/>
    <x v="0"/>
    <d v="2016-02-23T10:18:00"/>
    <x v="11"/>
    <x v="1"/>
    <x v="28"/>
    <n v="4"/>
    <m/>
    <n v="75"/>
    <n v="75"/>
  </r>
  <r>
    <s v="Operation Team Task"/>
    <x v="3"/>
    <s v="Develop"/>
    <s v="TASK-22"/>
    <s v="Pls help to give a test environment to call Alipay"/>
    <s v="Develop"/>
    <x v="0"/>
    <d v="2016-02-24T09:30:00"/>
    <x v="11"/>
    <x v="1"/>
    <x v="28"/>
    <n v="4"/>
    <m/>
    <n v="75"/>
    <n v="75"/>
  </r>
  <r>
    <s v="Operation Team Task"/>
    <x v="3"/>
    <s v="Develop"/>
    <s v="TASK-22"/>
    <s v="Pls help to give a test environment to call Alipay"/>
    <s v="Develop"/>
    <x v="0"/>
    <d v="2016-02-26T09:30:00"/>
    <x v="11"/>
    <x v="1"/>
    <x v="28"/>
    <n v="4"/>
    <m/>
    <n v="75"/>
    <n v="75"/>
  </r>
  <r>
    <s v="Operation Team Task"/>
    <x v="3"/>
    <s v="Develop"/>
    <s v="TASK-23"/>
    <s v="Change daily OM maintenance from 2100 to 1900"/>
    <s v="Develop"/>
    <x v="0"/>
    <d v="2016-02-29T11:08:00"/>
    <x v="11"/>
    <x v="1"/>
    <x v="28"/>
    <n v="1"/>
    <m/>
    <n v="75"/>
    <n v="75"/>
  </r>
  <r>
    <s v="Operation Team Task"/>
    <x v="3"/>
    <s v="Develop"/>
    <s v="TASK-24"/>
    <s v="Remove &quot;accept RMA&quot; function from CSR OM account"/>
    <s v="Develop"/>
    <x v="0"/>
    <d v="2016-02-04T12:31:00"/>
    <x v="11"/>
    <x v="1"/>
    <x v="28"/>
    <n v="2"/>
    <m/>
    <n v="75"/>
    <n v="75"/>
  </r>
  <r>
    <s v="Operation Team Task"/>
    <x v="3"/>
    <s v="Develop"/>
    <s v="TASK-26"/>
    <s v="Set up FTP account"/>
    <s v="Develop"/>
    <x v="0"/>
    <d v="2016-03-03T09:30:00"/>
    <x v="7"/>
    <x v="1"/>
    <x v="28"/>
    <n v="6"/>
    <m/>
    <n v="92"/>
    <n v="92"/>
  </r>
  <r>
    <s v="Operation Team Task"/>
    <x v="3"/>
    <s v="Develop"/>
    <s v="TASK-30"/>
    <s v="AWS Sharing in Jan"/>
    <s v="Develop"/>
    <x v="0"/>
    <d v="2016-03-04T17:00:00"/>
    <x v="7"/>
    <x v="1"/>
    <x v="28"/>
    <n v="8"/>
    <m/>
    <n v="92"/>
    <n v="92"/>
  </r>
  <r>
    <s v="Operation Team Task"/>
    <x v="3"/>
    <s v="Maintenance"/>
    <s v="TASK-32"/>
    <s v="Please help to install a software to transfer PDF to excel"/>
    <s v="Maintenance"/>
    <x v="1"/>
    <d v="2016-02-08T10:14:00"/>
    <x v="11"/>
    <x v="1"/>
    <x v="32"/>
    <n v="1"/>
    <m/>
    <n v="75"/>
    <n v="75"/>
  </r>
  <r>
    <s v="Operation Team Task"/>
    <x v="3"/>
    <s v="Maintenance"/>
    <s v="TASK-33"/>
    <s v="Keyboard request"/>
    <s v="Maintenance"/>
    <x v="1"/>
    <d v="2016-02-15T10:13:00"/>
    <x v="11"/>
    <x v="1"/>
    <x v="32"/>
    <n v="1"/>
    <m/>
    <n v="75"/>
    <n v="75"/>
  </r>
  <r>
    <s v="Operation Team Task"/>
    <x v="3"/>
    <s v="Maintenance"/>
    <s v="TASK-34"/>
    <s v="Configure Jira Boards"/>
    <s v="Maintenance"/>
    <x v="1"/>
    <d v="2016-03-03T16:07:00"/>
    <x v="7"/>
    <x v="1"/>
    <x v="32"/>
    <n v="2"/>
    <m/>
    <n v="92"/>
    <n v="92"/>
  </r>
  <r>
    <s v="Operation Team Task"/>
    <x v="3"/>
    <s v="Maintenance"/>
    <s v="TASK-35"/>
    <s v="Unable to log in Skype"/>
    <s v="Maintenance"/>
    <x v="1"/>
    <d v="2016-03-10T10:13:00"/>
    <x v="7"/>
    <x v="1"/>
    <x v="32"/>
    <n v="2"/>
    <m/>
    <n v="92"/>
    <n v="92"/>
  </r>
  <r>
    <s v="Operation Team Task"/>
    <x v="3"/>
    <s v="Maintenance"/>
    <s v="TASK-36"/>
    <s v="Headphone broken"/>
    <s v="Maintenance"/>
    <x v="1"/>
    <d v="2016-02-01T09:32:00"/>
    <x v="11"/>
    <x v="1"/>
    <x v="32"/>
    <n v="1"/>
    <m/>
    <n v="75"/>
    <n v="75"/>
  </r>
  <r>
    <s v="Operation Team Task"/>
    <x v="3"/>
    <s v="Maintenance"/>
    <s v="TASK-36"/>
    <s v="Headphone broken"/>
    <s v="Maintenance"/>
    <x v="1"/>
    <d v="2016-02-01T12:14:00"/>
    <x v="11"/>
    <x v="1"/>
    <x v="32"/>
    <n v="0.16700000000000001"/>
    <s v="Check the headphones, no sound, replacement headphones, ok"/>
    <n v="75"/>
    <n v="75"/>
  </r>
  <r>
    <s v="Operation Team Task"/>
    <x v="3"/>
    <s v="Maintenance"/>
    <s v="TASK-36"/>
    <s v="Headphone broken"/>
    <s v="Maintenance"/>
    <x v="1"/>
    <d v="2016-02-22T10:12:00"/>
    <x v="11"/>
    <x v="1"/>
    <x v="32"/>
    <n v="1"/>
    <m/>
    <n v="75"/>
    <n v="75"/>
  </r>
  <r>
    <s v="Operation Team Task"/>
    <x v="3"/>
    <s v="Maintenance"/>
    <s v="TASK-37"/>
    <s v="need help for the updating software!"/>
    <s v="Maintenance"/>
    <x v="1"/>
    <d v="2016-03-02T10:11:00"/>
    <x v="7"/>
    <x v="1"/>
    <x v="32"/>
    <n v="2"/>
    <m/>
    <n v="92"/>
    <n v="92"/>
  </r>
  <r>
    <s v="Operation Team Task"/>
    <x v="3"/>
    <s v="Maintenance"/>
    <s v="TASK-38"/>
    <s v="Verena PC The fault can't boot"/>
    <s v="Maintenance"/>
    <x v="1"/>
    <d v="2016-03-01T10:10:00"/>
    <x v="7"/>
    <x v="1"/>
    <x v="32"/>
    <n v="2"/>
    <m/>
    <n v="92"/>
    <n v="92"/>
  </r>
  <r>
    <s v="Operation Team Task"/>
    <x v="3"/>
    <s v="Maintenance"/>
    <s v="TASK-39"/>
    <s v="Disk C full"/>
    <s v="Maintenance"/>
    <x v="1"/>
    <d v="2016-02-17T10:09:00"/>
    <x v="11"/>
    <x v="1"/>
    <x v="32"/>
    <n v="4"/>
    <m/>
    <n v="75"/>
    <n v="75"/>
  </r>
  <r>
    <s v="Operation Team Task"/>
    <x v="3"/>
    <s v="Maintenance"/>
    <s v="TASK-41"/>
    <s v="Fixing Nicky's astrill vpn"/>
    <s v="Maintenance"/>
    <x v="1"/>
    <d v="2016-02-02T10:07:00"/>
    <x v="11"/>
    <x v="1"/>
    <x v="32"/>
    <n v="1"/>
    <m/>
    <n v="75"/>
    <n v="75"/>
  </r>
  <r>
    <s v="Operation Team Task"/>
    <x v="3"/>
    <s v="Maintenance"/>
    <s v="TASK-42"/>
    <s v="Fixing Nicky's email inbox"/>
    <s v="Maintenance"/>
    <x v="1"/>
    <d v="2016-02-09T10:05:00"/>
    <x v="11"/>
    <x v="1"/>
    <x v="32"/>
    <n v="1"/>
    <m/>
    <n v="75"/>
    <n v="75"/>
  </r>
  <r>
    <s v="Operation Team Task"/>
    <x v="3"/>
    <s v="Develop"/>
    <s v="TASK-46"/>
    <s v="need dba query email if send"/>
    <s v="Develop"/>
    <x v="0"/>
    <d v="2016-02-11T22:40:00"/>
    <x v="11"/>
    <x v="1"/>
    <x v="28"/>
    <n v="4"/>
    <m/>
    <n v="75"/>
    <n v="75"/>
  </r>
  <r>
    <s v="Operation Team Task"/>
    <x v="3"/>
    <s v="Develop"/>
    <s v="TASK-48"/>
    <s v="Price Refresh Globally &amp; Clear memory Cache"/>
    <s v="Develop"/>
    <x v="0"/>
    <d v="2016-02-01T12:22:00"/>
    <x v="11"/>
    <x v="1"/>
    <x v="28"/>
    <n v="2"/>
    <m/>
    <n v="75"/>
    <n v="75"/>
  </r>
  <r>
    <s v="Operation Team Task"/>
    <x v="3"/>
    <s v="Develop"/>
    <s v="TASK-48"/>
    <s v="Price Refresh Globally &amp; Clear memory Cache"/>
    <s v="Develop"/>
    <x v="0"/>
    <d v="2016-02-05T12:22:00"/>
    <x v="11"/>
    <x v="1"/>
    <x v="28"/>
    <n v="2"/>
    <m/>
    <n v="75"/>
    <n v="75"/>
  </r>
  <r>
    <s v="Operation Team Task"/>
    <x v="3"/>
    <s v="Develop"/>
    <s v="TASK-50"/>
    <s v="Price Changes 2016/1/22"/>
    <s v="Develop"/>
    <x v="0"/>
    <d v="2016-02-06T12:18:00"/>
    <x v="11"/>
    <x v="1"/>
    <x v="28"/>
    <n v="4"/>
    <m/>
    <n v="75"/>
    <n v="75"/>
  </r>
  <r>
    <s v="Operation Team Task"/>
    <x v="3"/>
    <s v="Develop"/>
    <s v="TASK-51"/>
    <s v="Update sbg_rep_sbg_vd_collection Table"/>
    <s v="Develop"/>
    <x v="0"/>
    <d v="2016-02-03T12:29:00"/>
    <x v="11"/>
    <x v="1"/>
    <x v="28"/>
    <n v="3"/>
    <m/>
    <n v="75"/>
    <n v="75"/>
  </r>
  <r>
    <s v="Operation Team Task"/>
    <x v="3"/>
    <s v="Develop"/>
    <s v="TASK-58"/>
    <s v=" run algolia search script!"/>
    <s v="Develop"/>
    <x v="0"/>
    <d v="2016-02-04T12:39:00"/>
    <x v="11"/>
    <x v="1"/>
    <x v="28"/>
    <n v="2"/>
    <m/>
    <n v="75"/>
    <n v="75"/>
  </r>
  <r>
    <s v="Operation Team Task"/>
    <x v="3"/>
    <s v="Develop"/>
    <s v="TASK-59"/>
    <s v="set up pimcore test environment on 219"/>
    <s v="Develop"/>
    <x v="0"/>
    <d v="2016-02-11T17:41:00"/>
    <x v="11"/>
    <x v="1"/>
    <x v="28"/>
    <n v="3"/>
    <m/>
    <n v="75"/>
    <n v="75"/>
  </r>
  <r>
    <s v="Operation Team Task"/>
    <x v="3"/>
    <s v="Develop"/>
    <s v="TASK-59"/>
    <s v="set up pimcore test environment on 219"/>
    <s v="Develop"/>
    <x v="0"/>
    <d v="2016-02-25T17:43:00"/>
    <x v="11"/>
    <x v="1"/>
    <x v="28"/>
    <n v="4"/>
    <m/>
    <n v="75"/>
    <n v="75"/>
  </r>
  <r>
    <s v="Operation Team Task"/>
    <x v="3"/>
    <s v="Maintenance"/>
    <s v="TASK-82"/>
    <s v="Delete the Innovation Lab website"/>
    <s v="Maintenance"/>
    <x v="1"/>
    <d v="2016-02-22T18:19:00"/>
    <x v="11"/>
    <x v="1"/>
    <x v="17"/>
    <n v="8"/>
    <m/>
    <n v="75"/>
    <n v="75"/>
  </r>
  <r>
    <s v="Operation Team Task"/>
    <x v="3"/>
    <s v="Maintenance"/>
    <s v="TASK-85"/>
    <s v="Delete the Innovation Lab website"/>
    <s v="Maintenance"/>
    <x v="1"/>
    <d v="2016-02-01T18:18:00"/>
    <x v="11"/>
    <x v="1"/>
    <x v="17"/>
    <n v="8"/>
    <m/>
    <n v="75"/>
    <n v="75"/>
  </r>
  <r>
    <s v="Operation Team Task"/>
    <x v="3"/>
    <s v="Maintenance"/>
    <s v="TASK-92"/>
    <s v="Italy Warehouse IP Address Issue"/>
    <s v="Maintenance"/>
    <x v="1"/>
    <d v="2016-02-11T18:29:00"/>
    <x v="11"/>
    <x v="1"/>
    <x v="17"/>
    <n v="0.5"/>
    <s v="done"/>
    <n v="75"/>
    <n v="75"/>
  </r>
  <r>
    <s v="Operation Team Task"/>
    <x v="3"/>
    <s v="Maintenance"/>
    <s v="TASK-127"/>
    <s v="HK internet issue"/>
    <s v="Maintenance"/>
    <x v="1"/>
    <d v="2016-03-21T13:09:00"/>
    <x v="7"/>
    <x v="1"/>
    <x v="17"/>
    <n v="4"/>
    <m/>
    <n v="92"/>
    <n v="92"/>
  </r>
  <r>
    <s v="Operation Team Task"/>
    <x v="3"/>
    <s v="Maintenance"/>
    <s v="TASK-174"/>
    <s v="image upload"/>
    <s v="Maintenance"/>
    <x v="1"/>
    <d v="2016-02-16T18:20:00"/>
    <x v="11"/>
    <x v="1"/>
    <x v="17"/>
    <n v="8"/>
    <m/>
    <n v="75"/>
    <n v="75"/>
  </r>
  <r>
    <s v="Operation Team Task"/>
    <x v="3"/>
    <s v="Maintenance"/>
    <s v="TASK-175"/>
    <s v="image upload &amp; web clear cache"/>
    <s v="Maintenance"/>
    <x v="1"/>
    <d v="2016-02-17T18:23:00"/>
    <x v="11"/>
    <x v="1"/>
    <x v="17"/>
    <n v="4"/>
    <m/>
    <n v="75"/>
    <n v="75"/>
  </r>
  <r>
    <s v="Operation Team Task"/>
    <x v="3"/>
    <s v="Maintenance"/>
    <s v="TASK-177"/>
    <s v="image upload"/>
    <s v="Maintenance"/>
    <x v="1"/>
    <d v="2016-02-03T18:20:00"/>
    <x v="11"/>
    <x v="1"/>
    <x v="17"/>
    <n v="8"/>
    <m/>
    <n v="75"/>
    <n v="75"/>
  </r>
  <r>
    <s v="Operation Team Task"/>
    <x v="3"/>
    <s v="Maintenance"/>
    <s v="TASK-184"/>
    <s v="web cache"/>
    <s v="Maintenance"/>
    <x v="1"/>
    <d v="2016-02-23T18:21:00"/>
    <x v="11"/>
    <x v="1"/>
    <x v="17"/>
    <n v="2"/>
    <m/>
    <n v="75"/>
    <n v="75"/>
  </r>
  <r>
    <s v="Operation Team Task"/>
    <x v="3"/>
    <s v="Maintenance"/>
    <s v="TASK-188"/>
    <s v="SB &amp; VD Table"/>
    <s v="Maintenance"/>
    <x v="1"/>
    <d v="2016-02-17T18:21:00"/>
    <x v="11"/>
    <x v="1"/>
    <x v="17"/>
    <n v="4"/>
    <m/>
    <n v="75"/>
    <n v="75"/>
  </r>
  <r>
    <s v="Operation Team Task"/>
    <x v="3"/>
    <s v="Maintenance"/>
    <s v="TASK-209"/>
    <s v="Image upload &amp; clear cache"/>
    <s v="Maintenance"/>
    <x v="1"/>
    <d v="2016-02-15T18:22:00"/>
    <x v="11"/>
    <x v="1"/>
    <x v="17"/>
    <n v="8"/>
    <m/>
    <n v="75"/>
    <n v="75"/>
  </r>
  <r>
    <s v="Operation Team Task"/>
    <x v="3"/>
    <s v="Maintenance"/>
    <s v="TASK-220"/>
    <s v="image flag"/>
    <s v="Maintenance"/>
    <x v="1"/>
    <d v="2016-02-24T18:22:00"/>
    <x v="11"/>
    <x v="1"/>
    <x v="17"/>
    <n v="2"/>
    <m/>
    <n v="75"/>
    <n v="75"/>
  </r>
  <r>
    <s v="Operation Team Task"/>
    <x v="3"/>
    <s v="Maintenance"/>
    <s v="TASK-231"/>
    <s v="web cache"/>
    <s v="Maintenance"/>
    <x v="1"/>
    <d v="2016-02-11T18:28:00"/>
    <x v="11"/>
    <x v="1"/>
    <x v="17"/>
    <n v="0.5"/>
    <m/>
    <n v="75"/>
    <n v="75"/>
  </r>
  <r>
    <s v="Operation Team Task"/>
    <x v="3"/>
    <s v="Maintenance"/>
    <s v="TASK-232"/>
    <s v="Price Refresh"/>
    <s v="Maintenance"/>
    <x v="1"/>
    <d v="2016-02-24T18:23:00"/>
    <x v="11"/>
    <x v="1"/>
    <x v="17"/>
    <n v="2"/>
    <m/>
    <n v="75"/>
    <n v="75"/>
  </r>
  <r>
    <s v="Operation Team Task"/>
    <x v="3"/>
    <s v="Maintenance"/>
    <s v="TASK-238"/>
    <s v="Logo image upload and web clear cache"/>
    <s v="Maintenance"/>
    <x v="1"/>
    <d v="2016-02-24T18:24:00"/>
    <x v="11"/>
    <x v="1"/>
    <x v="17"/>
    <n v="4"/>
    <m/>
    <n v="75"/>
    <n v="75"/>
  </r>
  <r>
    <s v="Operation Team Task"/>
    <x v="3"/>
    <s v="Maintenance"/>
    <s v="TASK-240"/>
    <s v="web cache and OM list export"/>
    <s v="Maintenance"/>
    <x v="1"/>
    <d v="2016-03-01T18:24:00"/>
    <x v="7"/>
    <x v="1"/>
    <x v="17"/>
    <n v="4"/>
    <m/>
    <n v="92"/>
    <n v="92"/>
  </r>
  <r>
    <s v="Operation Team Task"/>
    <x v="3"/>
    <s v="Maintenance"/>
    <s v="TASK-242"/>
    <s v="OM list &amp; Clear Cache"/>
    <s v="Maintenance"/>
    <x v="1"/>
    <d v="2016-03-04T18:24:00"/>
    <x v="7"/>
    <x v="1"/>
    <x v="17"/>
    <n v="4"/>
    <m/>
    <n v="92"/>
    <n v="92"/>
  </r>
  <r>
    <s v="Operation Team Task"/>
    <x v="3"/>
    <s v="Maintenance"/>
    <s v="TASK-247"/>
    <s v="Image Flag"/>
    <s v="Maintenance"/>
    <x v="1"/>
    <d v="2016-02-26T19:00:00"/>
    <x v="11"/>
    <x v="1"/>
    <x v="17"/>
    <n v="4"/>
    <m/>
    <n v="75"/>
    <n v="75"/>
  </r>
  <r>
    <s v="Operation Team Task"/>
    <x v="3"/>
    <s v="Maintenance"/>
    <s v="TASK-250"/>
    <s v="Brand update- lafont"/>
    <s v="Maintenance"/>
    <x v="1"/>
    <d v="2016-02-29T18:25:00"/>
    <x v="11"/>
    <x v="1"/>
    <x v="17"/>
    <n v="2"/>
    <m/>
    <n v="75"/>
    <n v="75"/>
  </r>
  <r>
    <s v="Operation Team Task"/>
    <x v="3"/>
    <s v="Maintenance"/>
    <s v="TASK-256"/>
    <s v="image upload"/>
    <s v="Maintenance"/>
    <x v="1"/>
    <d v="2016-02-02T18:18:00"/>
    <x v="11"/>
    <x v="1"/>
    <x v="17"/>
    <n v="8"/>
    <m/>
    <n v="75"/>
    <n v="75"/>
  </r>
  <r>
    <s v="Operation Team Task"/>
    <x v="3"/>
    <s v="Maintenance"/>
    <s v="TASK-263"/>
    <s v="Color and material filter refresh"/>
    <s v="Maintenance"/>
    <x v="1"/>
    <d v="2016-02-25T17:21:00"/>
    <x v="11"/>
    <x v="1"/>
    <x v="17"/>
    <n v="1"/>
    <s v="finished"/>
    <n v="75"/>
    <n v="75"/>
  </r>
  <r>
    <s v="Operation Team Task"/>
    <x v="3"/>
    <s v="Maintenance"/>
    <s v="TASK-265"/>
    <s v="Update photos and image flag"/>
    <s v="Maintenance"/>
    <x v="1"/>
    <d v="2016-02-01T16:15:00"/>
    <x v="11"/>
    <x v="1"/>
    <x v="17"/>
    <n v="0.5"/>
    <s v="done"/>
    <n v="75"/>
    <n v="75"/>
  </r>
  <r>
    <s v="Operation Team Task"/>
    <x v="3"/>
    <s v="Maintenance"/>
    <s v="TASK-301"/>
    <s v="Price Refresh"/>
    <s v="Maintenance"/>
    <x v="1"/>
    <d v="2016-02-23T19:00:00"/>
    <x v="11"/>
    <x v="1"/>
    <x v="17"/>
    <n v="4"/>
    <m/>
    <n v="75"/>
    <n v="75"/>
  </r>
  <r>
    <s v="Operation Team Task"/>
    <x v="3"/>
    <s v="Technical task"/>
    <s v="TASK-1541"/>
    <s v="TASK-120&gt; aws project"/>
    <s v="Technical task"/>
    <x v="0"/>
    <d v="2016-02-29T15:51:00"/>
    <x v="11"/>
    <x v="1"/>
    <x v="17"/>
    <n v="8"/>
    <s v="aws CN server test"/>
    <n v="75"/>
    <n v="75"/>
  </r>
  <r>
    <s v="Operation Team Task"/>
    <x v="3"/>
    <s v="Technical task"/>
    <s v="TASK-1553"/>
    <s v="TASK-120&gt; maintenance support"/>
    <s v="Technical task"/>
    <x v="0"/>
    <d v="2016-02-25T19:07:00"/>
    <x v="11"/>
    <x v="1"/>
    <x v="17"/>
    <n v="8"/>
    <m/>
    <n v="75"/>
    <n v="75"/>
  </r>
  <r>
    <s v="Operation Team Task"/>
    <x v="3"/>
    <s v="Maintenance"/>
    <s v="TASK-1555"/>
    <s v="Phone installation"/>
    <s v="Maintenance"/>
    <x v="1"/>
    <d v="2016-03-03T17:02:00"/>
    <x v="7"/>
    <x v="1"/>
    <x v="32"/>
    <n v="1"/>
    <m/>
    <n v="92"/>
    <n v="92"/>
  </r>
  <r>
    <s v="Operation Team Task"/>
    <x v="3"/>
    <s v="Maintenance"/>
    <s v="TASK-1556"/>
    <s v="Data cralwer improvement"/>
    <s v="Maintenance"/>
    <x v="1"/>
    <d v="2016-03-01T12:47:00"/>
    <x v="7"/>
    <x v="1"/>
    <x v="28"/>
    <n v="4"/>
    <m/>
    <n v="92"/>
    <n v="92"/>
  </r>
  <r>
    <s v="Operation Team Task"/>
    <x v="3"/>
    <s v="Maintenance"/>
    <s v="TASK-1556"/>
    <s v="Data cralwer improvement"/>
    <s v="Maintenance"/>
    <x v="1"/>
    <d v="2016-03-02T09:30:00"/>
    <x v="7"/>
    <x v="1"/>
    <x v="28"/>
    <n v="8"/>
    <m/>
    <n v="92"/>
    <n v="92"/>
  </r>
  <r>
    <s v="Operation Team Task"/>
    <x v="3"/>
    <s v="Maintenance"/>
    <s v="TASK-1557"/>
    <s v="excel显示乱码"/>
    <s v="Maintenance"/>
    <x v="1"/>
    <d v="2016-03-07T12:14:00"/>
    <x v="7"/>
    <x v="1"/>
    <x v="32"/>
    <n v="2"/>
    <s v="Need to install the Chinese language pack"/>
    <n v="92"/>
    <n v="92"/>
  </r>
  <r>
    <s v="Operation Team Task"/>
    <x v="1"/>
    <s v="Develop"/>
    <s v="TASK-1588"/>
    <s v="Product Name missing in Report tab"/>
    <s v="Develop"/>
    <x v="0"/>
    <d v="2016-02-24T12:27:00"/>
    <x v="11"/>
    <x v="1"/>
    <x v="8"/>
    <n v="1"/>
    <m/>
    <n v="127.5"/>
    <n v="22.500000000000004"/>
  </r>
  <r>
    <s v="Operation Team Task"/>
    <x v="2"/>
    <s v="Develop"/>
    <s v="TASK-1599"/>
    <s v="CL Phase &amp; Refresh color filter"/>
    <s v="Develop"/>
    <x v="0"/>
    <d v="2016-03-03T16:54:00"/>
    <x v="7"/>
    <x v="1"/>
    <x v="33"/>
    <n v="1.5"/>
    <m/>
    <n v="156.4"/>
    <n v="27.600000000000005"/>
  </r>
  <r>
    <s v="Operation Team Task"/>
    <x v="2"/>
    <s v="Develop"/>
    <s v="TASK-1599"/>
    <s v="CL Phase &amp; Refresh color filter"/>
    <s v="Develop"/>
    <x v="0"/>
    <d v="2016-03-04T11:51:00"/>
    <x v="7"/>
    <x v="1"/>
    <x v="33"/>
    <n v="2"/>
    <m/>
    <n v="156.4"/>
    <n v="27.600000000000005"/>
  </r>
  <r>
    <s v="Operation Team Task"/>
    <x v="3"/>
    <s v="Develop"/>
    <s v="TASK-1640"/>
    <s v="Solution to sync rackCDN with S3 server"/>
    <s v="Develop"/>
    <x v="0"/>
    <d v="2016-02-04T06:25:00"/>
    <x v="11"/>
    <x v="1"/>
    <x v="17"/>
    <n v="8"/>
    <m/>
    <n v="75"/>
    <n v="75"/>
  </r>
  <r>
    <s v="Operation Team Task"/>
    <x v="3"/>
    <s v="Develop"/>
    <s v="TASK-1640"/>
    <s v="Solution to sync rackCDN with S3 server"/>
    <s v="Develop"/>
    <x v="0"/>
    <d v="2016-02-05T06:32:00"/>
    <x v="11"/>
    <x v="1"/>
    <x v="17"/>
    <n v="8"/>
    <m/>
    <n v="75"/>
    <n v="75"/>
  </r>
  <r>
    <s v="Operation Team Task"/>
    <x v="3"/>
    <s v="Develop"/>
    <s v="TASK-1640"/>
    <s v="Solution to sync rackCDN with S3 server"/>
    <s v="Develop"/>
    <x v="0"/>
    <d v="2016-02-08T06:25:00"/>
    <x v="11"/>
    <x v="1"/>
    <x v="17"/>
    <n v="8"/>
    <m/>
    <n v="75"/>
    <n v="75"/>
  </r>
  <r>
    <s v="Operation Team Task"/>
    <x v="3"/>
    <s v="Develop"/>
    <s v="TASK-1640"/>
    <s v="Solution to sync rackCDN with S3 server"/>
    <s v="Develop"/>
    <x v="0"/>
    <d v="2016-02-09T06:26:00"/>
    <x v="11"/>
    <x v="1"/>
    <x v="17"/>
    <n v="8"/>
    <m/>
    <n v="75"/>
    <n v="75"/>
  </r>
  <r>
    <s v="Operation Team Task"/>
    <x v="3"/>
    <s v="Develop"/>
    <s v="TASK-1640"/>
    <s v="Solution to sync rackCDN with S3 server"/>
    <s v="Develop"/>
    <x v="0"/>
    <d v="2016-02-10T06:26:00"/>
    <x v="11"/>
    <x v="1"/>
    <x v="17"/>
    <n v="8"/>
    <m/>
    <n v="75"/>
    <n v="75"/>
  </r>
  <r>
    <s v="Operation Team Task"/>
    <x v="3"/>
    <s v="Develop"/>
    <s v="TASK-1640"/>
    <s v="Solution to sync rackCDN with S3 server"/>
    <s v="Develop"/>
    <x v="0"/>
    <d v="2016-02-11T06:26:00"/>
    <x v="11"/>
    <x v="1"/>
    <x v="17"/>
    <n v="8"/>
    <m/>
    <n v="75"/>
    <n v="75"/>
  </r>
  <r>
    <s v="Operation Team Task"/>
    <x v="3"/>
    <s v="Develop"/>
    <s v="TASK-1640"/>
    <s v="Solution to sync rackCDN with S3 server"/>
    <s v="Develop"/>
    <x v="0"/>
    <d v="2016-02-12T06:26:00"/>
    <x v="11"/>
    <x v="1"/>
    <x v="17"/>
    <n v="8"/>
    <m/>
    <n v="75"/>
    <n v="75"/>
  </r>
  <r>
    <s v="Operation Team Task"/>
    <x v="3"/>
    <s v="Develop"/>
    <s v="TASK-1640"/>
    <s v="Solution to sync rackCDN with S3 server"/>
    <s v="Develop"/>
    <x v="0"/>
    <d v="2016-02-18T06:26:00"/>
    <x v="11"/>
    <x v="1"/>
    <x v="17"/>
    <n v="8"/>
    <m/>
    <n v="75"/>
    <n v="75"/>
  </r>
  <r>
    <s v="Operation Team Task"/>
    <x v="3"/>
    <s v="Develop"/>
    <s v="TASK-1640"/>
    <s v="Solution to sync rackCDN with S3 server"/>
    <s v="Develop"/>
    <x v="0"/>
    <d v="2016-02-19T06:26:00"/>
    <x v="11"/>
    <x v="1"/>
    <x v="17"/>
    <n v="8"/>
    <m/>
    <n v="75"/>
    <n v="75"/>
  </r>
  <r>
    <s v="Operation Team Task"/>
    <x v="3"/>
    <s v="Develop"/>
    <s v="TASK-1640"/>
    <s v="Solution to sync rackCDN with S3 server"/>
    <s v="Develop"/>
    <x v="0"/>
    <d v="2016-02-23T12:32:00"/>
    <x v="11"/>
    <x v="1"/>
    <x v="17"/>
    <n v="2"/>
    <m/>
    <n v="75"/>
    <n v="75"/>
  </r>
  <r>
    <s v="Operation Team Task"/>
    <x v="1"/>
    <s v="Develop"/>
    <s v="TASK-1640"/>
    <s v="Solution to sync rackCDN with S3 server"/>
    <s v="Develop"/>
    <x v="0"/>
    <d v="2016-02-24T11:17:00"/>
    <x v="11"/>
    <x v="1"/>
    <x v="1"/>
    <n v="2"/>
    <m/>
    <n v="127.5"/>
    <n v="22.500000000000004"/>
  </r>
  <r>
    <s v="Operation Team Task"/>
    <x v="3"/>
    <s v="Develop"/>
    <s v="TASK-1640"/>
    <s v="Solution to sync rackCDN with S3 server"/>
    <s v="Develop"/>
    <x v="0"/>
    <d v="2016-02-26T10:30:00"/>
    <x v="11"/>
    <x v="1"/>
    <x v="17"/>
    <n v="4"/>
    <m/>
    <n v="75"/>
    <n v="75"/>
  </r>
  <r>
    <s v="Operation Team Task"/>
    <x v="3"/>
    <s v="Maintenance"/>
    <s v="TASK-1662"/>
    <s v="Jira authorization"/>
    <s v="Maintenance"/>
    <x v="1"/>
    <d v="2016-03-08T10:19:00"/>
    <x v="7"/>
    <x v="1"/>
    <x v="32"/>
    <n v="1"/>
    <m/>
    <n v="92"/>
    <n v="92"/>
  </r>
  <r>
    <s v="Operation Team Task"/>
    <x v="1"/>
    <s v="Maintenance"/>
    <s v="TASK-1664"/>
    <s v="Get EDM data from live DB"/>
    <s v="Maintenance"/>
    <x v="1"/>
    <d v="2016-03-08T18:02:00"/>
    <x v="7"/>
    <x v="1"/>
    <x v="1"/>
    <n v="2"/>
    <m/>
    <n v="156.4"/>
    <n v="27.600000000000005"/>
  </r>
  <r>
    <s v="Operation Team Task"/>
    <x v="3"/>
    <s v="Maintenance"/>
    <s v="TASK-1665"/>
    <s v="Create informacion@smartbuyglasses.com"/>
    <s v="Maintenance"/>
    <x v="1"/>
    <d v="2016-03-03T16:38:00"/>
    <x v="7"/>
    <x v="1"/>
    <x v="28"/>
    <n v="1"/>
    <m/>
    <n v="92"/>
    <n v="92"/>
  </r>
  <r>
    <s v="Operation Team Task"/>
    <x v="3"/>
    <s v="Maintenance"/>
    <s v="TASK-1666"/>
    <s v="Fetch payment log"/>
    <s v="Maintenance"/>
    <x v="1"/>
    <d v="2016-03-07T09:30:00"/>
    <x v="7"/>
    <x v="1"/>
    <x v="28"/>
    <n v="8"/>
    <m/>
    <n v="92"/>
    <n v="92"/>
  </r>
  <r>
    <s v="Operation Team Task"/>
    <x v="3"/>
    <s v="Maintenance"/>
    <s v="TASK-1668"/>
    <s v="Run Sql"/>
    <s v="Maintenance"/>
    <x v="1"/>
    <d v="2016-03-03T09:30:00"/>
    <x v="7"/>
    <x v="1"/>
    <x v="28"/>
    <n v="1"/>
    <m/>
    <n v="92"/>
    <n v="92"/>
  </r>
  <r>
    <s v="Operation Team Task"/>
    <x v="2"/>
    <s v="Maintenance"/>
    <s v="TASK-1673"/>
    <s v="Get EDM data from live DB"/>
    <s v="Maintenance"/>
    <x v="1"/>
    <d v="2016-03-09T14:46:00"/>
    <x v="7"/>
    <x v="1"/>
    <x v="22"/>
    <n v="4"/>
    <m/>
    <n v="156.4"/>
    <n v="27.600000000000005"/>
  </r>
  <r>
    <s v="Operation Team Task"/>
    <x v="3"/>
    <s v="Develop"/>
    <s v="TASK-1678"/>
    <s v="A Shared server installed undelete the software"/>
    <s v="Develop"/>
    <x v="0"/>
    <d v="2016-02-16T09:55:00"/>
    <x v="11"/>
    <x v="1"/>
    <x v="32"/>
    <n v="1"/>
    <m/>
    <n v="75"/>
    <n v="75"/>
  </r>
  <r>
    <s v="Operation Team Task"/>
    <x v="3"/>
    <s v="Maintenance"/>
    <s v="TASK-1679"/>
    <s v="PC domain"/>
    <s v="Maintenance"/>
    <x v="1"/>
    <d v="2016-02-01T09:58:00"/>
    <x v="11"/>
    <x v="1"/>
    <x v="32"/>
    <n v="5"/>
    <s v="marketing PC domain"/>
    <n v="75"/>
    <n v="75"/>
  </r>
  <r>
    <s v="Operation Team Task"/>
    <x v="3"/>
    <s v="Maintenance"/>
    <s v="TASK-1680"/>
    <s v="PC domain"/>
    <s v="Maintenance"/>
    <x v="1"/>
    <d v="2016-02-08T10:01:00"/>
    <x v="11"/>
    <x v="1"/>
    <x v="32"/>
    <n v="4"/>
    <m/>
    <n v="75"/>
    <n v="75"/>
  </r>
  <r>
    <s v="Operation Team Task"/>
    <x v="3"/>
    <s v="Maintenance"/>
    <s v="TASK-1681"/>
    <s v="upgrade chrome"/>
    <s v="Maintenance"/>
    <x v="1"/>
    <d v="2016-03-10T10:36:00"/>
    <x v="7"/>
    <x v="1"/>
    <x v="32"/>
    <n v="1"/>
    <m/>
    <n v="92"/>
    <n v="92"/>
  </r>
  <r>
    <s v="Operation Team Task"/>
    <x v="3"/>
    <s v="Maintenance"/>
    <s v="TASK-1685"/>
    <s v="Printer in MKT Dept not working"/>
    <s v="Maintenance"/>
    <x v="1"/>
    <d v="2016-03-07T15:18:00"/>
    <x v="7"/>
    <x v="1"/>
    <x v="32"/>
    <n v="1"/>
    <m/>
    <n v="92"/>
    <n v="92"/>
  </r>
  <r>
    <s v="Operation Team Task"/>
    <x v="3"/>
    <s v="Develop"/>
    <s v="TASK-1686"/>
    <s v="can you help delete the account saga_lagergren@hotmail.com?"/>
    <s v="Develop"/>
    <x v="0"/>
    <d v="2016-03-10T11:35:00"/>
    <x v="7"/>
    <x v="1"/>
    <x v="32"/>
    <n v="1"/>
    <m/>
    <n v="92"/>
    <n v="92"/>
  </r>
  <r>
    <s v="Operation Team Task"/>
    <x v="3"/>
    <s v="Develop"/>
    <s v="TASK-1687"/>
    <s v="Laptop's touch pad is not working"/>
    <s v="Develop"/>
    <x v="0"/>
    <d v="2016-03-08T12:21:00"/>
    <x v="7"/>
    <x v="1"/>
    <x v="32"/>
    <n v="2"/>
    <s v="Download the new driver"/>
    <n v="92"/>
    <n v="92"/>
  </r>
  <r>
    <s v="Operation Team Task"/>
    <x v="3"/>
    <s v="Develop"/>
    <s v="TASK-1688"/>
    <s v="Sync Outlook across devices - Arvin Mahanta"/>
    <s v="Develop"/>
    <x v="0"/>
    <d v="2016-03-07T12:09:00"/>
    <x v="7"/>
    <x v="1"/>
    <x v="32"/>
    <n v="2"/>
    <s v="Help set the laptop outlook, mobile phone mail set up synchronization"/>
    <n v="92"/>
    <n v="92"/>
  </r>
  <r>
    <s v="Operation Team Task"/>
    <x v="3"/>
    <s v="Develop"/>
    <s v="TASK-1691"/>
    <s v="PC domain"/>
    <s v="Develop"/>
    <x v="0"/>
    <d v="2016-02-02T21:47:00"/>
    <x v="11"/>
    <x v="1"/>
    <x v="32"/>
    <n v="4"/>
    <m/>
    <n v="75"/>
    <n v="75"/>
  </r>
  <r>
    <s v="Operation Team Task"/>
    <x v="3"/>
    <s v="Maintenance"/>
    <s v="TASK-1692"/>
    <s v="vpn fault"/>
    <s v="Maintenance"/>
    <x v="1"/>
    <d v="2016-02-02T12:48:00"/>
    <x v="11"/>
    <x v="1"/>
    <x v="32"/>
    <n v="4"/>
    <m/>
    <n v="75"/>
    <n v="75"/>
  </r>
  <r>
    <s v="Operation Team Task"/>
    <x v="3"/>
    <s v="Develop"/>
    <s v="TASK-1693"/>
    <s v="go across"/>
    <s v="Develop"/>
    <x v="0"/>
    <d v="2016-02-03T13:54:00"/>
    <x v="11"/>
    <x v="1"/>
    <x v="32"/>
    <n v="4"/>
    <m/>
    <n v="75"/>
    <n v="75"/>
  </r>
  <r>
    <s v="Operation Team Task"/>
    <x v="3"/>
    <s v="Maintenance"/>
    <s v="TASK-1694"/>
    <s v="Installation of the PC system"/>
    <s v="Maintenance"/>
    <x v="1"/>
    <d v="2016-02-03T12:52:00"/>
    <x v="11"/>
    <x v="1"/>
    <x v="32"/>
    <n v="4"/>
    <m/>
    <n v="75"/>
    <n v="75"/>
  </r>
  <r>
    <s v="Operation Team Task"/>
    <x v="3"/>
    <s v="Maintenance"/>
    <s v="TASK-1694"/>
    <s v="Installation of the PC system"/>
    <s v="Maintenance"/>
    <x v="1"/>
    <d v="2016-02-03T12:53:00"/>
    <x v="11"/>
    <x v="1"/>
    <x v="32"/>
    <n v="0.16700000000000001"/>
    <m/>
    <n v="75"/>
    <n v="75"/>
  </r>
  <r>
    <s v="Operation Team Task"/>
    <x v="3"/>
    <s v="Develop"/>
    <s v="TASK-1695"/>
    <s v="go across"/>
    <s v="Develop"/>
    <x v="0"/>
    <d v="2016-02-04T12:57:00"/>
    <x v="11"/>
    <x v="1"/>
    <x v="32"/>
    <n v="4"/>
    <m/>
    <n v="75"/>
    <n v="75"/>
  </r>
  <r>
    <s v="Operation Team Task"/>
    <x v="3"/>
    <s v="Develop"/>
    <s v="TASK-1696"/>
    <s v="PC domain"/>
    <s v="Develop"/>
    <x v="0"/>
    <d v="2016-02-04T14:02:00"/>
    <x v="11"/>
    <x v="1"/>
    <x v="32"/>
    <n v="4"/>
    <m/>
    <n v="75"/>
    <n v="75"/>
  </r>
  <r>
    <s v="Operation Team Task"/>
    <x v="3"/>
    <s v="Maintenance"/>
    <s v="TASK-1697"/>
    <s v="go across"/>
    <s v="Maintenance"/>
    <x v="1"/>
    <d v="2016-02-05T14:32:00"/>
    <x v="11"/>
    <x v="1"/>
    <x v="32"/>
    <n v="0.16700000000000001"/>
    <m/>
    <n v="75"/>
    <n v="75"/>
  </r>
  <r>
    <s v="Operation Team Task"/>
    <x v="3"/>
    <s v="Maintenance"/>
    <s v="TASK-1697"/>
    <s v="go across"/>
    <s v="Maintenance"/>
    <x v="1"/>
    <d v="2016-02-05T14:34:00"/>
    <x v="11"/>
    <x v="1"/>
    <x v="32"/>
    <n v="4"/>
    <m/>
    <n v="75"/>
    <n v="75"/>
  </r>
  <r>
    <s v="Operation Team Task"/>
    <x v="3"/>
    <s v="Maintenance"/>
    <s v="TASK-1697"/>
    <s v="go across"/>
    <s v="Maintenance"/>
    <x v="1"/>
    <d v="2016-03-05T14:31:00"/>
    <x v="7"/>
    <x v="1"/>
    <x v="32"/>
    <n v="4"/>
    <m/>
    <n v="92"/>
    <n v="92"/>
  </r>
  <r>
    <s v="Operation Team Task"/>
    <x v="3"/>
    <s v="Develop"/>
    <s v="TASK-1698"/>
    <s v="PC domain"/>
    <s v="Develop"/>
    <x v="0"/>
    <d v="2016-02-05T14:32:00"/>
    <x v="11"/>
    <x v="1"/>
    <x v="32"/>
    <n v="3"/>
    <m/>
    <n v="75"/>
    <n v="75"/>
  </r>
  <r>
    <s v="Operation Team Task"/>
    <x v="3"/>
    <s v="Develop"/>
    <s v="TASK-1701"/>
    <s v="Installation of the PC system"/>
    <s v="Develop"/>
    <x v="0"/>
    <d v="2016-02-08T09:37:00"/>
    <x v="11"/>
    <x v="1"/>
    <x v="32"/>
    <n v="4"/>
    <m/>
    <n v="75"/>
    <n v="75"/>
  </r>
  <r>
    <s v="Operation Team Task"/>
    <x v="3"/>
    <s v="Develop"/>
    <s v="TASK-1703"/>
    <s v="PC domain"/>
    <s v="Develop"/>
    <x v="0"/>
    <d v="2016-02-09T14:59:00"/>
    <x v="11"/>
    <x v="1"/>
    <x v="32"/>
    <n v="4"/>
    <m/>
    <n v="75"/>
    <n v="75"/>
  </r>
  <r>
    <s v="Operation Team Task"/>
    <x v="3"/>
    <s v="Develop"/>
    <s v="TASK-1703"/>
    <s v="PC domain"/>
    <s v="Develop"/>
    <x v="0"/>
    <d v="2016-02-09T14:59:00"/>
    <x v="11"/>
    <x v="1"/>
    <x v="32"/>
    <n v="3"/>
    <m/>
    <n v="75"/>
    <n v="75"/>
  </r>
  <r>
    <s v="Operation Team Task"/>
    <x v="3"/>
    <s v="Develop"/>
    <s v="TASK-1704"/>
    <s v="go across"/>
    <s v="Develop"/>
    <x v="0"/>
    <d v="2016-02-10T15:03:00"/>
    <x v="11"/>
    <x v="1"/>
    <x v="32"/>
    <n v="4"/>
    <m/>
    <n v="75"/>
    <n v="75"/>
  </r>
  <r>
    <s v="Operation Team Task"/>
    <x v="3"/>
    <s v="Develop"/>
    <s v="TASK-1705"/>
    <s v="A Shared server installed undelete the software"/>
    <s v="Develop"/>
    <x v="0"/>
    <d v="2016-02-10T10:03:00"/>
    <x v="11"/>
    <x v="1"/>
    <x v="32"/>
    <n v="4"/>
    <m/>
    <n v="75"/>
    <n v="75"/>
  </r>
  <r>
    <s v="Operation Team Task"/>
    <x v="3"/>
    <s v="Maintenance"/>
    <s v="TASK-1707"/>
    <s v="Installation of the PC system"/>
    <s v="Maintenance"/>
    <x v="1"/>
    <d v="2016-02-11T15:29:00"/>
    <x v="11"/>
    <x v="1"/>
    <x v="32"/>
    <n v="4"/>
    <m/>
    <n v="75"/>
    <n v="75"/>
  </r>
  <r>
    <s v="Operation Team Task"/>
    <x v="3"/>
    <s v="Develop"/>
    <s v="TASK-1708"/>
    <s v="Global AWS migration plan and supplier compare"/>
    <s v="Develop"/>
    <x v="0"/>
    <d v="2016-02-02T09:30:00"/>
    <x v="11"/>
    <x v="1"/>
    <x v="28"/>
    <n v="4"/>
    <m/>
    <n v="75"/>
    <n v="75"/>
  </r>
  <r>
    <s v="Operation Team Task"/>
    <x v="3"/>
    <s v="Develop"/>
    <s v="TASK-1708"/>
    <s v="Global AWS migration plan and supplier compare"/>
    <s v="Develop"/>
    <x v="0"/>
    <d v="2016-02-14T09:30:00"/>
    <x v="11"/>
    <x v="1"/>
    <x v="28"/>
    <n v="4"/>
    <m/>
    <n v="75"/>
    <n v="75"/>
  </r>
  <r>
    <s v="Operation Team Task"/>
    <x v="3"/>
    <s v="Develop"/>
    <s v="TASK-1708"/>
    <s v="Global AWS migration plan and supplier compare"/>
    <s v="Develop"/>
    <x v="0"/>
    <d v="2016-02-17T09:30:00"/>
    <x v="11"/>
    <x v="1"/>
    <x v="28"/>
    <n v="4"/>
    <m/>
    <n v="75"/>
    <n v="75"/>
  </r>
  <r>
    <s v="Operation Team Task"/>
    <x v="3"/>
    <s v="Develop"/>
    <s v="TASK-1708"/>
    <s v="Global AWS migration plan and supplier compare"/>
    <s v="Develop"/>
    <x v="0"/>
    <d v="2016-02-19T09:30:00"/>
    <x v="11"/>
    <x v="1"/>
    <x v="28"/>
    <n v="4"/>
    <m/>
    <n v="75"/>
    <n v="75"/>
  </r>
  <r>
    <s v="Operation Team Task"/>
    <x v="3"/>
    <s v="Develop"/>
    <s v="TASK-1708"/>
    <s v="Global AWS migration plan and supplier compare"/>
    <s v="Develop"/>
    <x v="0"/>
    <d v="2016-02-22T09:30:00"/>
    <x v="11"/>
    <x v="1"/>
    <x v="28"/>
    <n v="4"/>
    <m/>
    <n v="75"/>
    <n v="75"/>
  </r>
  <r>
    <s v="Operation Team Task"/>
    <x v="3"/>
    <s v="Maintenance"/>
    <s v="TASK-1709"/>
    <s v="DR plan set up and testing"/>
    <s v="Maintenance"/>
    <x v="1"/>
    <d v="2016-02-01T14:00:00"/>
    <x v="11"/>
    <x v="1"/>
    <x v="28"/>
    <n v="4"/>
    <m/>
    <n v="75"/>
    <n v="75"/>
  </r>
  <r>
    <s v="Operation Team Task"/>
    <x v="3"/>
    <s v="Maintenance"/>
    <s v="TASK-1709"/>
    <s v="DR plan set up and testing"/>
    <s v="Maintenance"/>
    <x v="1"/>
    <d v="2016-02-02T14:00:00"/>
    <x v="11"/>
    <x v="1"/>
    <x v="28"/>
    <n v="4"/>
    <m/>
    <n v="75"/>
    <n v="75"/>
  </r>
  <r>
    <s v="Operation Team Task"/>
    <x v="3"/>
    <s v="Maintenance"/>
    <s v="TASK-1709"/>
    <s v="DR plan set up and testing"/>
    <s v="Maintenance"/>
    <x v="1"/>
    <d v="2016-02-03T14:00:00"/>
    <x v="11"/>
    <x v="1"/>
    <x v="28"/>
    <n v="4"/>
    <m/>
    <n v="75"/>
    <n v="75"/>
  </r>
  <r>
    <s v="Operation Team Task"/>
    <x v="3"/>
    <s v="Maintenance"/>
    <s v="TASK-1709"/>
    <s v="DR plan set up and testing"/>
    <s v="Maintenance"/>
    <x v="1"/>
    <d v="2016-02-04T14:00:00"/>
    <x v="11"/>
    <x v="1"/>
    <x v="28"/>
    <n v="4"/>
    <m/>
    <n v="75"/>
    <n v="75"/>
  </r>
  <r>
    <s v="Operation Team Task"/>
    <x v="3"/>
    <s v="Maintenance"/>
    <s v="TASK-1709"/>
    <s v="DR plan set up and testing"/>
    <s v="Maintenance"/>
    <x v="1"/>
    <d v="2016-02-05T14:00:00"/>
    <x v="11"/>
    <x v="1"/>
    <x v="28"/>
    <n v="4"/>
    <m/>
    <n v="75"/>
    <n v="75"/>
  </r>
  <r>
    <s v="Operation Team Task"/>
    <x v="3"/>
    <s v="Maintenance"/>
    <s v="TASK-1709"/>
    <s v="DR plan set up and testing"/>
    <s v="Maintenance"/>
    <x v="1"/>
    <d v="2016-02-06T14:00:00"/>
    <x v="11"/>
    <x v="1"/>
    <x v="28"/>
    <n v="3"/>
    <m/>
    <n v="75"/>
    <n v="75"/>
  </r>
  <r>
    <s v="Operation Team Task"/>
    <x v="3"/>
    <s v="Maintenance"/>
    <s v="TASK-1709"/>
    <s v="DR plan set up and testing"/>
    <s v="Maintenance"/>
    <x v="1"/>
    <d v="2016-02-14T14:00:00"/>
    <x v="11"/>
    <x v="1"/>
    <x v="28"/>
    <n v="4"/>
    <m/>
    <n v="75"/>
    <n v="75"/>
  </r>
  <r>
    <s v="Operation Team Task"/>
    <x v="3"/>
    <s v="Maintenance"/>
    <s v="TASK-1709"/>
    <s v="DR plan set up and testing"/>
    <s v="Maintenance"/>
    <x v="1"/>
    <d v="2016-02-15T14:00:00"/>
    <x v="11"/>
    <x v="1"/>
    <x v="28"/>
    <n v="4"/>
    <m/>
    <n v="75"/>
    <n v="75"/>
  </r>
  <r>
    <s v="Operation Team Task"/>
    <x v="3"/>
    <s v="Maintenance"/>
    <s v="TASK-1709"/>
    <s v="DR plan set up and testing"/>
    <s v="Maintenance"/>
    <x v="1"/>
    <d v="2016-02-16T14:00:00"/>
    <x v="11"/>
    <x v="1"/>
    <x v="28"/>
    <n v="4"/>
    <m/>
    <n v="75"/>
    <n v="75"/>
  </r>
  <r>
    <s v="Operation Team Task"/>
    <x v="3"/>
    <s v="Maintenance"/>
    <s v="TASK-1709"/>
    <s v="DR plan set up and testing"/>
    <s v="Maintenance"/>
    <x v="1"/>
    <d v="2016-02-17T14:00:00"/>
    <x v="11"/>
    <x v="1"/>
    <x v="28"/>
    <n v="4"/>
    <m/>
    <n v="75"/>
    <n v="75"/>
  </r>
  <r>
    <s v="Operation Team Task"/>
    <x v="3"/>
    <s v="Maintenance"/>
    <s v="TASK-1709"/>
    <s v="DR plan set up and testing"/>
    <s v="Maintenance"/>
    <x v="1"/>
    <d v="2016-02-18T14:00:00"/>
    <x v="11"/>
    <x v="1"/>
    <x v="28"/>
    <n v="4"/>
    <m/>
    <n v="75"/>
    <n v="75"/>
  </r>
  <r>
    <s v="Operation Team Task"/>
    <x v="3"/>
    <s v="Maintenance"/>
    <s v="TASK-1709"/>
    <s v="DR plan set up and testing"/>
    <s v="Maintenance"/>
    <x v="1"/>
    <d v="2016-02-19T14:00:00"/>
    <x v="11"/>
    <x v="1"/>
    <x v="28"/>
    <n v="4"/>
    <m/>
    <n v="75"/>
    <n v="75"/>
  </r>
  <r>
    <s v="Operation Team Task"/>
    <x v="3"/>
    <s v="Maintenance"/>
    <s v="TASK-1709"/>
    <s v="DR plan set up and testing"/>
    <s v="Maintenance"/>
    <x v="1"/>
    <d v="2016-02-22T14:00:00"/>
    <x v="11"/>
    <x v="1"/>
    <x v="28"/>
    <n v="4"/>
    <m/>
    <n v="75"/>
    <n v="75"/>
  </r>
  <r>
    <s v="Operation Team Task"/>
    <x v="3"/>
    <s v="Maintenance"/>
    <s v="TASK-1709"/>
    <s v="DR plan set up and testing"/>
    <s v="Maintenance"/>
    <x v="1"/>
    <d v="2016-02-23T14:00:00"/>
    <x v="11"/>
    <x v="1"/>
    <x v="28"/>
    <n v="4"/>
    <m/>
    <n v="75"/>
    <n v="75"/>
  </r>
  <r>
    <s v="Operation Team Task"/>
    <x v="3"/>
    <s v="Maintenance"/>
    <s v="TASK-1709"/>
    <s v="DR plan set up and testing"/>
    <s v="Maintenance"/>
    <x v="1"/>
    <d v="2016-02-24T14:00:00"/>
    <x v="11"/>
    <x v="1"/>
    <x v="28"/>
    <n v="4"/>
    <m/>
    <n v="75"/>
    <n v="75"/>
  </r>
  <r>
    <s v="Operation Team Task"/>
    <x v="3"/>
    <s v="Maintenance"/>
    <s v="TASK-1709"/>
    <s v="DR plan set up and testing"/>
    <s v="Maintenance"/>
    <x v="1"/>
    <d v="2016-02-25T14:00:00"/>
    <x v="11"/>
    <x v="1"/>
    <x v="28"/>
    <n v="4"/>
    <m/>
    <n v="75"/>
    <n v="75"/>
  </r>
  <r>
    <s v="Operation Team Task"/>
    <x v="3"/>
    <s v="Maintenance"/>
    <s v="TASK-1709"/>
    <s v="DR plan set up and testing"/>
    <s v="Maintenance"/>
    <x v="1"/>
    <d v="2016-02-26T14:00:00"/>
    <x v="11"/>
    <x v="1"/>
    <x v="28"/>
    <n v="4"/>
    <m/>
    <n v="75"/>
    <n v="75"/>
  </r>
  <r>
    <s v="Operation Team Task"/>
    <x v="3"/>
    <s v="Maintenance"/>
    <s v="TASK-1709"/>
    <s v="DR plan set up and testing"/>
    <s v="Maintenance"/>
    <x v="1"/>
    <d v="2016-02-29T14:00:00"/>
    <x v="11"/>
    <x v="1"/>
    <x v="28"/>
    <n v="7"/>
    <m/>
    <n v="75"/>
    <n v="75"/>
  </r>
  <r>
    <s v="Operation Team Task"/>
    <x v="3"/>
    <s v="Develop"/>
    <s v="TASK-1710"/>
    <s v="go across"/>
    <s v="Develop"/>
    <x v="0"/>
    <d v="2016-02-11T15:30:00"/>
    <x v="11"/>
    <x v="1"/>
    <x v="32"/>
    <n v="4"/>
    <m/>
    <n v="75"/>
    <n v="75"/>
  </r>
  <r>
    <s v="Operation Team Task"/>
    <x v="3"/>
    <s v="Develop"/>
    <s v="TASK-1711"/>
    <s v="Installation of the PC system"/>
    <s v="Develop"/>
    <x v="0"/>
    <d v="2016-02-12T15:31:00"/>
    <x v="11"/>
    <x v="1"/>
    <x v="32"/>
    <n v="4"/>
    <m/>
    <n v="75"/>
    <n v="75"/>
  </r>
  <r>
    <s v="Operation Team Task"/>
    <x v="3"/>
    <s v="Maintenance"/>
    <s v="TASK-1712"/>
    <s v="office excel problem"/>
    <s v="Maintenance"/>
    <x v="1"/>
    <d v="2016-02-12T15:32:00"/>
    <x v="11"/>
    <x v="1"/>
    <x v="32"/>
    <n v="4"/>
    <m/>
    <n v="75"/>
    <n v="75"/>
  </r>
  <r>
    <s v="Operation Team Task"/>
    <x v="3"/>
    <s v="Develop"/>
    <s v="TASK-1713"/>
    <s v="go across"/>
    <s v="Develop"/>
    <x v="0"/>
    <d v="2016-02-15T15:33:00"/>
    <x v="11"/>
    <x v="1"/>
    <x v="32"/>
    <n v="5"/>
    <m/>
    <n v="75"/>
    <n v="75"/>
  </r>
  <r>
    <s v="Operation Team Task"/>
    <x v="3"/>
    <s v="Develop"/>
    <s v="TASK-1714"/>
    <s v="Installation of the PC system"/>
    <s v="Develop"/>
    <x v="0"/>
    <d v="2016-02-17T15:36:00"/>
    <x v="11"/>
    <x v="1"/>
    <x v="32"/>
    <n v="4"/>
    <m/>
    <n v="75"/>
    <n v="75"/>
  </r>
  <r>
    <s v="Operation Team Task"/>
    <x v="3"/>
    <s v="Develop"/>
    <s v="TASK-1715"/>
    <s v="PC domain"/>
    <s v="Develop"/>
    <x v="0"/>
    <d v="2016-02-18T15:42:00"/>
    <x v="11"/>
    <x v="1"/>
    <x v="32"/>
    <n v="4"/>
    <m/>
    <n v="75"/>
    <n v="75"/>
  </r>
  <r>
    <s v="Operation Team Task"/>
    <x v="3"/>
    <s v="Develop"/>
    <s v="TASK-1716"/>
    <s v="PC domain"/>
    <s v="Develop"/>
    <x v="0"/>
    <d v="2016-02-19T15:57:00"/>
    <x v="11"/>
    <x v="1"/>
    <x v="32"/>
    <n v="8"/>
    <m/>
    <n v="75"/>
    <n v="75"/>
  </r>
  <r>
    <s v="Operation Team Task"/>
    <x v="3"/>
    <s v="Maintenance"/>
    <s v="TASK-1717"/>
    <s v="outlook problem"/>
    <s v="Maintenance"/>
    <x v="1"/>
    <d v="2016-02-18T15:59:00"/>
    <x v="11"/>
    <x v="1"/>
    <x v="32"/>
    <n v="4"/>
    <m/>
    <n v="75"/>
    <n v="75"/>
  </r>
  <r>
    <s v="Operation Team Task"/>
    <x v="2"/>
    <s v="Maintenance"/>
    <s v="TASK-1718"/>
    <s v="the data of om_product_upc can't sync to scan database"/>
    <s v="Maintenance"/>
    <x v="1"/>
    <d v="2016-03-10T18:58:00"/>
    <x v="7"/>
    <x v="1"/>
    <x v="9"/>
    <n v="3"/>
    <m/>
    <n v="156.4"/>
    <n v="27.600000000000005"/>
  </r>
  <r>
    <s v="Operation Team Task"/>
    <x v="2"/>
    <s v="Maintenance"/>
    <s v="TASK-1718"/>
    <s v="the data of om_product_upc can't sync to scan database"/>
    <s v="Maintenance"/>
    <x v="1"/>
    <d v="2016-03-18T18:52:00"/>
    <x v="7"/>
    <x v="1"/>
    <x v="9"/>
    <n v="1"/>
    <m/>
    <n v="156.4"/>
    <n v="27.600000000000005"/>
  </r>
  <r>
    <s v="Operation Team Task"/>
    <x v="3"/>
    <s v="Develop"/>
    <s v="TASK-1719"/>
    <s v="go across"/>
    <s v="Develop"/>
    <x v="0"/>
    <d v="2016-02-22T16:17:00"/>
    <x v="11"/>
    <x v="1"/>
    <x v="32"/>
    <n v="4"/>
    <m/>
    <n v="75"/>
    <n v="75"/>
  </r>
  <r>
    <s v="Operation Team Task"/>
    <x v="3"/>
    <s v="Develop"/>
    <s v="TASK-1720"/>
    <s v="go across"/>
    <s v="Develop"/>
    <x v="0"/>
    <d v="2016-02-23T16:18:00"/>
    <x v="11"/>
    <x v="1"/>
    <x v="32"/>
    <n v="3"/>
    <m/>
    <n v="75"/>
    <n v="75"/>
  </r>
  <r>
    <s v="Operation Team Task"/>
    <x v="3"/>
    <s v="Maintenance"/>
    <s v="TASK-1721"/>
    <s v="office excel problem"/>
    <s v="Maintenance"/>
    <x v="1"/>
    <d v="2016-02-26T13:57:00"/>
    <x v="11"/>
    <x v="1"/>
    <x v="32"/>
    <n v="3"/>
    <m/>
    <n v="75"/>
    <n v="75"/>
  </r>
  <r>
    <s v="Operation Team Task"/>
    <x v="3"/>
    <s v="Maintenance"/>
    <s v="TASK-1722"/>
    <s v="outlook problem"/>
    <s v="Maintenance"/>
    <x v="1"/>
    <d v="2016-02-26T16:39:00"/>
    <x v="11"/>
    <x v="1"/>
    <x v="32"/>
    <n v="5"/>
    <m/>
    <n v="75"/>
    <n v="75"/>
  </r>
  <r>
    <s v="Operation Team Task"/>
    <x v="3"/>
    <s v="Maintenance"/>
    <s v="TASK-1724"/>
    <s v="Switching network"/>
    <s v="Maintenance"/>
    <x v="1"/>
    <d v="2016-03-10T14:58:00"/>
    <x v="7"/>
    <x v="1"/>
    <x v="32"/>
    <n v="3"/>
    <m/>
    <n v="92"/>
    <n v="92"/>
  </r>
  <r>
    <s v="Operation Team Task"/>
    <x v="3"/>
    <s v="Maintenance"/>
    <s v="TASK-1725"/>
    <s v="Set Access in Sharefolder"/>
    <s v="Maintenance"/>
    <x v="1"/>
    <d v="2016-03-10T11:57:00"/>
    <x v="7"/>
    <x v="1"/>
    <x v="32"/>
    <n v="1"/>
    <m/>
    <n v="92"/>
    <n v="92"/>
  </r>
  <r>
    <s v="Operation Team Task"/>
    <x v="3"/>
    <s v="Maintenance"/>
    <s v="TASK-1726"/>
    <s v="Activate Windows"/>
    <s v="Maintenance"/>
    <x v="1"/>
    <d v="2016-03-11T09:53:00"/>
    <x v="7"/>
    <x v="1"/>
    <x v="32"/>
    <n v="4"/>
    <m/>
    <n v="92"/>
    <n v="92"/>
  </r>
  <r>
    <s v="Operation Team Task"/>
    <x v="3"/>
    <s v="Maintenance"/>
    <s v="TASK-1727"/>
    <s v="vpn fault"/>
    <s v="Maintenance"/>
    <x v="1"/>
    <d v="2016-03-11T19:13:00"/>
    <x v="7"/>
    <x v="1"/>
    <x v="32"/>
    <n v="3"/>
    <m/>
    <n v="92"/>
    <n v="92"/>
  </r>
  <r>
    <s v="Operation Team Task"/>
    <x v="3"/>
    <s v="Maintenance"/>
    <s v="TASK-1728"/>
    <s v="Installation of the PC system"/>
    <s v="Maintenance"/>
    <x v="1"/>
    <d v="2016-03-11T19:13:00"/>
    <x v="7"/>
    <x v="1"/>
    <x v="32"/>
    <n v="1"/>
    <m/>
    <n v="92"/>
    <n v="92"/>
  </r>
  <r>
    <s v="Operation Team Task"/>
    <x v="3"/>
    <s v="Maintenance"/>
    <s v="TASK-1730"/>
    <s v="XML files combination"/>
    <s v="Maintenance"/>
    <x v="1"/>
    <d v="2016-03-17T15:40:00"/>
    <x v="7"/>
    <x v="1"/>
    <x v="32"/>
    <n v="1"/>
    <m/>
    <n v="92"/>
    <n v="92"/>
  </r>
  <r>
    <s v="Operation Team Task"/>
    <x v="3"/>
    <s v="Maintenance"/>
    <s v="TASK-1731"/>
    <s v="Installation of the PC system"/>
    <s v="Maintenance"/>
    <x v="1"/>
    <d v="2016-03-14T11:30:00"/>
    <x v="7"/>
    <x v="1"/>
    <x v="32"/>
    <n v="3"/>
    <m/>
    <n v="92"/>
    <n v="92"/>
  </r>
  <r>
    <s v="Operation Team Task"/>
    <x v="3"/>
    <s v="Maintenance"/>
    <s v="TASK-1732"/>
    <s v="vpn fault"/>
    <s v="Maintenance"/>
    <x v="1"/>
    <d v="2016-03-14T21:32:00"/>
    <x v="7"/>
    <x v="1"/>
    <x v="32"/>
    <n v="2"/>
    <m/>
    <n v="92"/>
    <n v="92"/>
  </r>
  <r>
    <s v="Operation Team Task"/>
    <x v="3"/>
    <s v="Maintenance"/>
    <s v="TASK-1732"/>
    <s v="vpn fault"/>
    <s v="Maintenance"/>
    <x v="1"/>
    <d v="2016-03-17T17:26:00"/>
    <x v="7"/>
    <x v="1"/>
    <x v="32"/>
    <n v="1"/>
    <m/>
    <n v="92"/>
    <n v="92"/>
  </r>
  <r>
    <s v="Operation Team Task"/>
    <x v="3"/>
    <s v="Maintenance"/>
    <s v="TASK-1733"/>
    <s v="go across"/>
    <s v="Maintenance"/>
    <x v="1"/>
    <d v="2016-03-14T17:17:00"/>
    <x v="7"/>
    <x v="1"/>
    <x v="32"/>
    <n v="2"/>
    <m/>
    <n v="92"/>
    <n v="92"/>
  </r>
  <r>
    <s v="Operation Team Task"/>
    <x v="3"/>
    <s v="Maintenance"/>
    <s v="TASK-1733"/>
    <s v="go across"/>
    <s v="Maintenance"/>
    <x v="1"/>
    <d v="2016-03-15T16:53:00"/>
    <x v="7"/>
    <x v="1"/>
    <x v="32"/>
    <n v="6"/>
    <m/>
    <n v="92"/>
    <n v="92"/>
  </r>
  <r>
    <s v="Operation Team Task"/>
    <x v="3"/>
    <s v="Maintenance"/>
    <s v="TASK-1733"/>
    <s v="go across"/>
    <s v="Maintenance"/>
    <x v="1"/>
    <d v="2016-03-17T14:26:00"/>
    <x v="7"/>
    <x v="1"/>
    <x v="32"/>
    <n v="4"/>
    <m/>
    <n v="92"/>
    <n v="92"/>
  </r>
  <r>
    <s v="Operation Team Task"/>
    <x v="3"/>
    <s v="Maintenance"/>
    <s v="TASK-1735"/>
    <s v="skype automatically log out"/>
    <s v="Maintenance"/>
    <x v="1"/>
    <d v="2016-03-15T10:24:00"/>
    <x v="7"/>
    <x v="1"/>
    <x v="32"/>
    <n v="1"/>
    <m/>
    <n v="92"/>
    <n v="92"/>
  </r>
  <r>
    <s v="Operation Team Task"/>
    <x v="3"/>
    <s v="Maintenance"/>
    <s v="TASK-1737"/>
    <s v="CS printer says &quot;to purchase 碳粉盒&quot;"/>
    <s v="Maintenance"/>
    <x v="1"/>
    <d v="2016-03-15T16:23:00"/>
    <x v="7"/>
    <x v="1"/>
    <x v="32"/>
    <n v="0.16700000000000001"/>
    <s v="changer printer 墨盒"/>
    <n v="92"/>
    <n v="92"/>
  </r>
  <r>
    <s v="Operation Team Task"/>
    <x v="3"/>
    <s v="Maintenance"/>
    <s v="TASK-1739"/>
    <s v="ArvinM"/>
    <s v="Maintenance"/>
    <x v="1"/>
    <d v="2016-03-16T12:40:00"/>
    <x v="7"/>
    <x v="1"/>
    <x v="32"/>
    <n v="0.16700000000000001"/>
    <s v="Other website can open, the network is normal，Re-open the chorme browser normal."/>
    <n v="92"/>
    <n v="92"/>
  </r>
  <r>
    <s v="Operation Team Task"/>
    <x v="3"/>
    <s v="Maintenance"/>
    <s v="TASK-1739"/>
    <s v="ArvinM"/>
    <s v="Maintenance"/>
    <x v="1"/>
    <d v="2016-03-18T16:49:00"/>
    <x v="7"/>
    <x v="1"/>
    <x v="32"/>
    <n v="0.16700000000000001"/>
    <s v="[16:13:35] Arvin Mahanta: well mines not working [16:13:45] Arvin Mahanta: can you come down to fix i need to make a skype call， Was repaired, is to set up problem, headphones is no problem"/>
    <n v="92"/>
    <n v="92"/>
  </r>
  <r>
    <s v="Operation Team Task"/>
    <x v="3"/>
    <s v="Maintenance"/>
    <s v="TASK-1740"/>
    <s v="setup Printer"/>
    <s v="Maintenance"/>
    <x v="1"/>
    <d v="2016-03-16T17:04:00"/>
    <x v="7"/>
    <x v="1"/>
    <x v="32"/>
    <n v="1"/>
    <s v="help Mandy set printer"/>
    <n v="92"/>
    <n v="92"/>
  </r>
  <r>
    <s v="Operation Team Task"/>
    <x v="3"/>
    <s v="Maintenance"/>
    <s v="TASK-1741"/>
    <s v="Please activate the &quot;SBG-Desktop&quot; project option for me"/>
    <s v="Maintenance"/>
    <x v="1"/>
    <d v="2016-03-16T17:32:00"/>
    <x v="7"/>
    <x v="1"/>
    <x v="32"/>
    <n v="0.16700000000000001"/>
    <m/>
    <n v="92"/>
    <n v="92"/>
  </r>
  <r>
    <s v="Operation Team Task"/>
    <x v="3"/>
    <s v="Maintenance"/>
    <s v="TASK-1741"/>
    <s v="Please activate the &quot;SBG-Desktop&quot; project option for me"/>
    <s v="Maintenance"/>
    <x v="1"/>
    <d v="2016-03-16T17:32:00"/>
    <x v="7"/>
    <x v="1"/>
    <x v="32"/>
    <n v="2"/>
    <m/>
    <n v="92"/>
    <n v="92"/>
  </r>
  <r>
    <s v="Operation Team Task"/>
    <x v="3"/>
    <s v="Maintenance"/>
    <s v="TASK-1742"/>
    <s v="Installation of the PC system"/>
    <s v="Maintenance"/>
    <x v="1"/>
    <d v="2016-03-16T09:33:00"/>
    <x v="7"/>
    <x v="1"/>
    <x v="32"/>
    <n v="5"/>
    <m/>
    <n v="92"/>
    <n v="92"/>
  </r>
  <r>
    <s v="Operation Team Task"/>
    <x v="3"/>
    <s v="Maintenance"/>
    <s v="TASK-1743"/>
    <s v="Fixing Mandy's printer"/>
    <s v="Maintenance"/>
    <x v="1"/>
    <d v="2016-03-17T14:41:00"/>
    <x v="7"/>
    <x v="1"/>
    <x v="32"/>
    <n v="1"/>
    <s v="To install the driver"/>
    <n v="92"/>
    <n v="92"/>
  </r>
  <r>
    <s v="Operation Team Task"/>
    <x v="3"/>
    <s v="Maintenance"/>
    <s v="TASK-1746"/>
    <s v="FIN INT"/>
    <s v="Maintenance"/>
    <x v="1"/>
    <d v="2016-03-18T14:25:00"/>
    <x v="7"/>
    <x v="1"/>
    <x v="32"/>
    <n v="2"/>
    <s v="Prepare a desktop computer, make the database for finance department"/>
    <n v="92"/>
    <n v="92"/>
  </r>
  <r>
    <s v="Operation Team Task"/>
    <x v="3"/>
    <s v="Maintenance"/>
    <s v="TASK-1746"/>
    <s v="FIN INT"/>
    <s v="Maintenance"/>
    <x v="1"/>
    <d v="2016-03-21T12:38:00"/>
    <x v="7"/>
    <x v="1"/>
    <x v="32"/>
    <n v="1"/>
    <m/>
    <n v="92"/>
    <n v="92"/>
  </r>
  <r>
    <s v="Operation Team Task"/>
    <x v="3"/>
    <s v="Maintenance"/>
    <s v="TASK-1747"/>
    <s v="installation MYOB Server"/>
    <s v="Maintenance"/>
    <x v="1"/>
    <d v="2016-03-21T12:40:00"/>
    <x v="7"/>
    <x v="1"/>
    <x v="32"/>
    <n v="1"/>
    <m/>
    <n v="92"/>
    <n v="92"/>
  </r>
  <r>
    <s v="Operation Team Task"/>
    <x v="3"/>
    <s v="Maintenance"/>
    <s v="TASK-1747"/>
    <s v="installation MYOB Server"/>
    <s v="Maintenance"/>
    <x v="1"/>
    <d v="2016-03-21T22:38:00"/>
    <x v="7"/>
    <x v="1"/>
    <x v="32"/>
    <n v="2"/>
    <m/>
    <n v="92"/>
    <n v="92"/>
  </r>
  <r>
    <s v="Operation Team Task"/>
    <x v="3"/>
    <s v="Maintenance"/>
    <s v="TASK-1749"/>
    <s v="Shirley's internet &amp; outlook is not working"/>
    <s v="Maintenance"/>
    <x v="1"/>
    <d v="2016-03-18T12:24:00"/>
    <x v="7"/>
    <x v="1"/>
    <x v="32"/>
    <n v="2"/>
    <m/>
    <n v="92"/>
    <n v="92"/>
  </r>
  <r>
    <s v="Operation Team Task"/>
    <x v="3"/>
    <s v="Maintenance"/>
    <s v="TASK-1750"/>
    <s v="Installation of the PC system"/>
    <s v="Maintenance"/>
    <x v="1"/>
    <d v="2016-03-21T13:31:00"/>
    <x v="7"/>
    <x v="1"/>
    <x v="32"/>
    <n v="4"/>
    <m/>
    <n v="92"/>
    <n v="92"/>
  </r>
  <r>
    <s v="Operation Team Task"/>
    <x v="3"/>
    <s v="Maintenance"/>
    <s v="TASK-1753"/>
    <s v="vpn fault"/>
    <s v="Maintenance"/>
    <x v="1"/>
    <d v="2016-03-23T16:35:00"/>
    <x v="7"/>
    <x v="1"/>
    <x v="32"/>
    <n v="2"/>
    <m/>
    <n v="92"/>
    <n v="92"/>
  </r>
  <r>
    <s v="Operation Team Task"/>
    <x v="3"/>
    <s v="Maintenance"/>
    <s v="TASK-1757"/>
    <s v="Laptop Setup"/>
    <s v="Maintenance"/>
    <x v="1"/>
    <d v="2016-03-25T10:11:00"/>
    <x v="7"/>
    <x v="1"/>
    <x v="32"/>
    <n v="1"/>
    <m/>
    <n v="92"/>
    <n v="92"/>
  </r>
  <r>
    <s v="Operation Team Task"/>
    <x v="3"/>
    <s v="Maintenance"/>
    <s v="TASK-1759"/>
    <s v="Update Astrill for Americas CS Team"/>
    <s v="Maintenance"/>
    <x v="1"/>
    <d v="2016-03-24T00:20:00"/>
    <x v="7"/>
    <x v="1"/>
    <x v="32"/>
    <n v="3"/>
    <m/>
    <n v="92"/>
    <n v="92"/>
  </r>
  <r>
    <s v="Operation Team Task"/>
    <x v="3"/>
    <s v="Maintenance"/>
    <s v="TASK-1760"/>
    <s v="Setup Lifesize for Welcome Wednesday"/>
    <s v="Maintenance"/>
    <x v="1"/>
    <d v="2016-03-23T14:07:00"/>
    <x v="7"/>
    <x v="1"/>
    <x v="32"/>
    <n v="1"/>
    <m/>
    <n v="92"/>
    <n v="92"/>
  </r>
  <r>
    <s v="Operation Team Task"/>
    <x v="3"/>
    <s v="Maintenance"/>
    <s v="TASK-1763"/>
    <s v="Please update VPN, thanks!"/>
    <s v="Maintenance"/>
    <x v="1"/>
    <d v="2016-03-22T14:32:00"/>
    <x v="7"/>
    <x v="1"/>
    <x v="32"/>
    <n v="4"/>
    <m/>
    <n v="92"/>
    <n v="92"/>
  </r>
  <r>
    <s v="Operation Team Task"/>
    <x v="3"/>
    <s v="Maintenance"/>
    <s v="TASK-1763"/>
    <s v="Please update VPN, thanks!"/>
    <s v="Maintenance"/>
    <x v="1"/>
    <d v="2016-03-24T18:21:00"/>
    <x v="7"/>
    <x v="1"/>
    <x v="32"/>
    <n v="1"/>
    <m/>
    <n v="92"/>
    <n v="92"/>
  </r>
  <r>
    <s v="Operation Team Task"/>
    <x v="3"/>
    <s v="Maintenance"/>
    <s v="TASK-1765"/>
    <s v="Prepare 3rd floor CS and Mkt areas desks for the move"/>
    <s v="Maintenance"/>
    <x v="1"/>
    <d v="2016-03-25T14:09:00"/>
    <x v="7"/>
    <x v="1"/>
    <x v="32"/>
    <n v="5"/>
    <m/>
    <n v="92"/>
    <n v="92"/>
  </r>
  <r>
    <s v="Operation Team Task"/>
    <x v="3"/>
    <s v="Maintenance"/>
    <s v="TASK-1766"/>
    <s v="No VPN at new desk in marketing"/>
    <s v="Maintenance"/>
    <x v="1"/>
    <d v="2016-03-25T10:13:00"/>
    <x v="7"/>
    <x v="1"/>
    <x v="32"/>
    <n v="1"/>
    <m/>
    <n v="92"/>
    <n v="92"/>
  </r>
  <r>
    <s v="Operation Team Task"/>
    <x v="3"/>
    <s v="Maintenance"/>
    <s v="TASK-1767"/>
    <s v="Could you please update astrill on my computer - thanks"/>
    <s v="Maintenance"/>
    <x v="1"/>
    <d v="2016-03-25T13:08:00"/>
    <x v="7"/>
    <x v="1"/>
    <x v="32"/>
    <n v="1"/>
    <m/>
    <n v="92"/>
    <n v="92"/>
  </r>
  <r>
    <s v="Operation Team Task"/>
    <x v="3"/>
    <s v="Maintenance"/>
    <s v="TASK-1768"/>
    <s v="Change CPU cooler"/>
    <s v="Maintenance"/>
    <x v="1"/>
    <d v="2016-03-28T11:12:00"/>
    <x v="7"/>
    <x v="1"/>
    <x v="32"/>
    <n v="3"/>
    <m/>
    <n v="92"/>
    <n v="92"/>
  </r>
  <r>
    <s v="Operation Team Task"/>
    <x v="3"/>
    <s v="Maintenance"/>
    <s v="TASK-1771"/>
    <s v="Add Pony Wang to JIRA"/>
    <s v="Maintenance"/>
    <x v="1"/>
    <d v="2016-03-29T11:13:00"/>
    <x v="7"/>
    <x v="1"/>
    <x v="32"/>
    <n v="1"/>
    <m/>
    <n v="92"/>
    <n v="92"/>
  </r>
  <r>
    <s v="Operation Team Task"/>
    <x v="3"/>
    <s v="Maintenance"/>
    <s v="TASK-1774"/>
    <s v="Helping 5F company to setup internet and phone lines"/>
    <s v="Maintenance"/>
    <x v="1"/>
    <d v="2016-03-30T11:14:00"/>
    <x v="7"/>
    <x v="1"/>
    <x v="32"/>
    <n v="2"/>
    <m/>
    <n v="92"/>
    <n v="92"/>
  </r>
  <r>
    <s v="Operation Team Task"/>
    <x v="3"/>
    <s v="Maintenance"/>
    <s v="TASK-1774"/>
    <s v="Helping 5F company to setup internet and phone lines"/>
    <s v="Maintenance"/>
    <x v="1"/>
    <d v="2016-03-30T15:15:00"/>
    <x v="7"/>
    <x v="1"/>
    <x v="32"/>
    <n v="1"/>
    <m/>
    <n v="92"/>
    <n v="92"/>
  </r>
  <r>
    <s v="Operation Team Task"/>
    <x v="3"/>
    <s v="Maintenance"/>
    <s v="TASK-1776"/>
    <s v="Please help to upgrate skype / vpn and connect the printer in third floor for SC"/>
    <s v="Maintenance"/>
    <x v="1"/>
    <d v="2016-03-30T11:14:00"/>
    <x v="7"/>
    <x v="1"/>
    <x v="32"/>
    <n v="3"/>
    <m/>
    <n v="92"/>
    <n v="92"/>
  </r>
  <r>
    <s v="Operation Team Task"/>
    <x v="3"/>
    <s v="Maintenance"/>
    <s v="TASK-1777"/>
    <s v="DNS address could not be found when i load all pages. Please help!"/>
    <s v="Maintenance"/>
    <x v="1"/>
    <d v="2016-03-30T11:15:00"/>
    <x v="7"/>
    <x v="1"/>
    <x v="32"/>
    <n v="2"/>
    <m/>
    <n v="92"/>
    <n v="92"/>
  </r>
  <r>
    <s v="Operation Team Task"/>
    <x v="3"/>
    <s v="Maintenance"/>
    <s v="TASK-1777"/>
    <s v="DNS address could not be found when i load all pages. Please help!"/>
    <s v="Maintenance"/>
    <x v="1"/>
    <d v="2016-03-30T21:16:00"/>
    <x v="7"/>
    <x v="1"/>
    <x v="32"/>
    <n v="2"/>
    <m/>
    <n v="92"/>
    <n v="92"/>
  </r>
  <r>
    <s v="Operation Team Task"/>
    <x v="3"/>
    <s v="Maintenance"/>
    <s v="TASK-1782"/>
    <s v="Abby can't log in Astrill"/>
    <s v="Maintenance"/>
    <x v="1"/>
    <d v="2016-03-28T16:37:00"/>
    <x v="7"/>
    <x v="1"/>
    <x v="32"/>
    <n v="2"/>
    <m/>
    <n v="92"/>
    <n v="92"/>
  </r>
  <r>
    <s v="Operation Team Task"/>
    <x v="3"/>
    <s v="Maintenance"/>
    <s v="TASK-1782"/>
    <s v="Abby can't log in Astrill"/>
    <s v="Maintenance"/>
    <x v="1"/>
    <d v="2016-03-29T16:37:00"/>
    <x v="7"/>
    <x v="1"/>
    <x v="32"/>
    <n v="2"/>
    <m/>
    <n v="92"/>
    <n v="92"/>
  </r>
  <r>
    <s v="Operation Team Task"/>
    <x v="3"/>
    <s v="Maintenance"/>
    <s v="TASK-1782"/>
    <s v="Abby can't log in Astrill"/>
    <s v="Maintenance"/>
    <x v="1"/>
    <d v="2016-03-30T13:18:00"/>
    <x v="7"/>
    <x v="1"/>
    <x v="32"/>
    <n v="1"/>
    <s v="Line problem, help upgrade astrill ok"/>
    <n v="92"/>
    <n v="92"/>
  </r>
  <r>
    <s v="Operation Team Task"/>
    <x v="3"/>
    <s v="Maintenance"/>
    <s v="TASK-1783"/>
    <s v="Set up FTP account"/>
    <s v="Maintenance"/>
    <x v="1"/>
    <d v="2016-03-30T13:08:00"/>
    <x v="7"/>
    <x v="1"/>
    <x v="28"/>
    <n v="4"/>
    <m/>
    <n v="92"/>
    <n v="92"/>
  </r>
  <r>
    <s v="Operation Team Task"/>
    <x v="3"/>
    <s v="Maintenance"/>
    <s v="TASK-1784"/>
    <s v="Installation of the PC system"/>
    <s v="Maintenance"/>
    <x v="1"/>
    <d v="2016-03-30T17:20:00"/>
    <x v="7"/>
    <x v="1"/>
    <x v="32"/>
    <n v="4"/>
    <m/>
    <n v="92"/>
    <n v="92"/>
  </r>
  <r>
    <s v="Operation Team Task"/>
    <x v="3"/>
    <s v="Maintenance"/>
    <s v="TASK-1786"/>
    <s v="Printer ink replacement"/>
    <s v="Maintenance"/>
    <x v="1"/>
    <d v="2016-03-31T15:14:00"/>
    <x v="7"/>
    <x v="1"/>
    <x v="32"/>
    <n v="1"/>
    <m/>
    <n v="92"/>
    <n v="92"/>
  </r>
  <r>
    <s v="Operation Team Task"/>
    <x v="3"/>
    <s v="Maintenance"/>
    <s v="TASK-1787"/>
    <s v="电脑不能上外网"/>
    <s v="Maintenance"/>
    <x v="1"/>
    <d v="2016-03-31T13:05:00"/>
    <x v="7"/>
    <x v="1"/>
    <x v="32"/>
    <n v="1"/>
    <m/>
    <n v="92"/>
    <n v="92"/>
  </r>
  <r>
    <s v="Operation Team Task"/>
    <x v="3"/>
    <s v="Maintenance"/>
    <s v="TASK-1791"/>
    <s v="email transfer"/>
    <s v="Maintenance"/>
    <x v="1"/>
    <d v="2016-03-30T18:01:00"/>
    <x v="7"/>
    <x v="1"/>
    <x v="32"/>
    <n v="1"/>
    <m/>
    <n v="92"/>
    <n v="92"/>
  </r>
  <r>
    <s v="Operation Team Task"/>
    <x v="3"/>
    <s v="Maintenance"/>
    <s v="TASK-1793"/>
    <s v="Internet is Offline and unable to connect to DNS Server"/>
    <s v="Maintenance"/>
    <x v="1"/>
    <d v="2016-03-31T22:06:00"/>
    <x v="7"/>
    <x v="1"/>
    <x v="32"/>
    <n v="1"/>
    <m/>
    <n v="92"/>
    <n v="92"/>
  </r>
  <r>
    <s v="Operation Team Task"/>
    <x v="3"/>
    <s v="Maintenance"/>
    <s v="TASK-1801"/>
    <s v="Replace Mandy's printer ink"/>
    <s v="Maintenance"/>
    <x v="1"/>
    <d v="2016-03-31T17:51:00"/>
    <x v="7"/>
    <x v="1"/>
    <x v="32"/>
    <n v="0.5"/>
    <m/>
    <n v="92"/>
    <n v="92"/>
  </r>
  <r>
    <s v="WTI integration"/>
    <x v="1"/>
    <s v="Task"/>
    <s v="WTI-1"/>
    <s v="Full CVS export functions using sync.php"/>
    <s v="Task"/>
    <x v="0"/>
    <d v="2016-03-14T18:46:00"/>
    <x v="7"/>
    <x v="1"/>
    <x v="8"/>
    <n v="1.5"/>
    <m/>
    <n v="156.4"/>
    <n v="27.600000000000005"/>
  </r>
  <r>
    <s v="WTI integration"/>
    <x v="1"/>
    <s v="Task"/>
    <s v="WTI-1"/>
    <s v="Full CVS export functions using sync.php"/>
    <s v="Task"/>
    <x v="0"/>
    <d v="2016-03-15T18:33:00"/>
    <x v="7"/>
    <x v="1"/>
    <x v="8"/>
    <n v="3"/>
    <m/>
    <n v="156.4"/>
    <n v="27.600000000000005"/>
  </r>
  <r>
    <s v="WTI integration"/>
    <x v="1"/>
    <s v="Task"/>
    <s v="WTI-1"/>
    <s v="Full CVS export functions using sync.php"/>
    <s v="Task"/>
    <x v="0"/>
    <d v="2016-03-16T18:38:00"/>
    <x v="7"/>
    <x v="1"/>
    <x v="8"/>
    <n v="4"/>
    <m/>
    <n v="156.4"/>
    <n v="27.600000000000005"/>
  </r>
  <r>
    <s v="WTI integration"/>
    <x v="1"/>
    <s v="Task"/>
    <s v="WTI-1"/>
    <s v="Full CVS export functions using sync.php"/>
    <s v="Task"/>
    <x v="0"/>
    <d v="2016-03-17T15:14:00"/>
    <x v="7"/>
    <x v="1"/>
    <x v="8"/>
    <n v="6.5"/>
    <m/>
    <n v="156.4"/>
    <n v="27.600000000000005"/>
  </r>
  <r>
    <s v="WTI integration"/>
    <x v="1"/>
    <s v="Task"/>
    <s v="WTI-1"/>
    <s v="Full CVS export functions using sync.php"/>
    <s v="Task"/>
    <x v="0"/>
    <d v="2016-03-18T17:22:00"/>
    <x v="7"/>
    <x v="1"/>
    <x v="8"/>
    <n v="4"/>
    <m/>
    <n v="156.4"/>
    <n v="27.600000000000005"/>
  </r>
  <r>
    <s v="WTI integration"/>
    <x v="1"/>
    <s v="Task"/>
    <s v="WTI-1"/>
    <s v="Full CVS export functions using sync.php"/>
    <s v="Task"/>
    <x v="0"/>
    <d v="2016-03-21T18:37:00"/>
    <x v="7"/>
    <x v="1"/>
    <x v="8"/>
    <n v="2"/>
    <m/>
    <n v="156.4"/>
    <n v="27.600000000000005"/>
  </r>
  <r>
    <s v="WTI integration"/>
    <x v="1"/>
    <s v="Task"/>
    <s v="WTI-21"/>
    <s v="WTI daily setting"/>
    <s v="Task"/>
    <x v="0"/>
    <d v="2016-03-22T18:38:00"/>
    <x v="7"/>
    <x v="1"/>
    <x v="8"/>
    <n v="1.5"/>
    <m/>
    <n v="156.4"/>
    <n v="27.600000000000005"/>
  </r>
  <r>
    <s v="WTI integration"/>
    <x v="1"/>
    <s v="Task"/>
    <s v="WTI-21"/>
    <s v="WTI daily setting"/>
    <s v="Task"/>
    <x v="0"/>
    <d v="2016-03-23T19:03:00"/>
    <x v="7"/>
    <x v="1"/>
    <x v="8"/>
    <n v="2"/>
    <m/>
    <n v="156.4"/>
    <n v="27.600000000000005"/>
  </r>
  <r>
    <s v="WTI integration"/>
    <x v="1"/>
    <s v="Task"/>
    <s v="WTI-21"/>
    <s v="WTI daily setting"/>
    <s v="Task"/>
    <x v="0"/>
    <d v="2016-03-24T19:43:00"/>
    <x v="7"/>
    <x v="1"/>
    <x v="8"/>
    <n v="8"/>
    <m/>
    <n v="156.4"/>
    <n v="27.600000000000005"/>
  </r>
  <r>
    <s v="WTI integration"/>
    <x v="1"/>
    <s v="Task"/>
    <s v="WTI-21"/>
    <s v="WTI daily setting"/>
    <s v="Task"/>
    <x v="0"/>
    <d v="2016-03-25T18:37:00"/>
    <x v="7"/>
    <x v="1"/>
    <x v="8"/>
    <n v="3"/>
    <m/>
    <n v="156.4"/>
    <n v="27.600000000000005"/>
  </r>
  <r>
    <s v="WTI integration"/>
    <x v="1"/>
    <s v="Task"/>
    <s v="WTI-21"/>
    <s v="WTI daily setting"/>
    <s v="Task"/>
    <x v="0"/>
    <d v="2016-03-28T18:36:00"/>
    <x v="7"/>
    <x v="1"/>
    <x v="8"/>
    <n v="3"/>
    <m/>
    <n v="156.4"/>
    <n v="27.600000000000005"/>
  </r>
  <r>
    <s v="WTI integration"/>
    <x v="1"/>
    <s v="Task"/>
    <s v="WTI-21"/>
    <s v="WTI daily setting"/>
    <s v="Task"/>
    <x v="0"/>
    <d v="2016-03-30T18:29:00"/>
    <x v="7"/>
    <x v="1"/>
    <x v="8"/>
    <n v="3"/>
    <s v="check mismatching issue"/>
    <n v="156.4"/>
    <n v="27.600000000000005"/>
  </r>
  <r>
    <s v="WTI integration"/>
    <x v="1"/>
    <s v="Task"/>
    <s v="WTI-21"/>
    <s v="WTI daily setting"/>
    <s v="Task"/>
    <x v="0"/>
    <d v="2016-03-31T18:16:00"/>
    <x v="7"/>
    <x v="1"/>
    <x v="8"/>
    <n v="4"/>
    <m/>
    <n v="156.4"/>
    <n v="27.600000000000005"/>
  </r>
  <r>
    <s v="WTI integration"/>
    <x v="1"/>
    <s v="Bug"/>
    <s v="WTI-22"/>
    <s v="some slaves cannot be added to WTI"/>
    <s v="Bug"/>
    <x v="1"/>
    <d v="2016-03-25T18:36:00"/>
    <x v="7"/>
    <x v="1"/>
    <x v="8"/>
    <n v="2"/>
    <m/>
    <n v="156.4"/>
    <n v="27.600000000000005"/>
  </r>
  <r>
    <s v="WTI integration"/>
    <x v="2"/>
    <s v="Task"/>
    <s v="WTI-23"/>
    <s v="set up WTI test environment"/>
    <s v="Task"/>
    <x v="0"/>
    <d v="2016-03-28T09:35:00"/>
    <x v="7"/>
    <x v="1"/>
    <x v="11"/>
    <n v="8"/>
    <m/>
    <n v="156.4"/>
    <n v="27.600000000000005"/>
  </r>
</pivotCacheRecords>
</file>

<file path=xl/pivotCache/pivotCacheRecords2.xml><?xml version="1.0" encoding="utf-8"?>
<pivotCacheRecords xmlns="http://schemas.openxmlformats.org/spreadsheetml/2006/main" xmlns:r="http://schemas.openxmlformats.org/officeDocument/2006/relationships" count="101">
  <r>
    <x v="0"/>
    <s v="2016/2/4"/>
    <x v="0"/>
    <s v=""/>
    <s v=""/>
    <s v="IT"/>
    <n v="-1"/>
    <m/>
    <m/>
    <m/>
    <m/>
    <m/>
    <m/>
    <n v="-1"/>
    <s v="Spring Festival"/>
  </r>
  <r>
    <x v="0"/>
    <s v="2016/2/5"/>
    <x v="0"/>
    <s v=""/>
    <s v=""/>
    <s v="IT"/>
    <n v="-1"/>
    <m/>
    <m/>
    <m/>
    <m/>
    <m/>
    <m/>
    <n v="-1"/>
    <s v="Spring Festival"/>
  </r>
  <r>
    <x v="0"/>
    <s v="2016/2/6"/>
    <x v="0"/>
    <s v=""/>
    <s v=""/>
    <s v="IT"/>
    <n v="-1"/>
    <m/>
    <m/>
    <m/>
    <m/>
    <m/>
    <m/>
    <n v="-1"/>
    <s v="Spring Festival"/>
  </r>
  <r>
    <x v="0"/>
    <s v="2016/2/14"/>
    <x v="0"/>
    <s v=""/>
    <s v=""/>
    <s v="IT"/>
    <n v="-1"/>
    <m/>
    <m/>
    <m/>
    <m/>
    <m/>
    <m/>
    <n v="-1"/>
    <s v="Spring Festival"/>
  </r>
  <r>
    <x v="0"/>
    <s v="2016/2/15"/>
    <x v="0"/>
    <s v=""/>
    <s v=""/>
    <s v="IT"/>
    <n v="-1"/>
    <m/>
    <m/>
    <m/>
    <m/>
    <m/>
    <m/>
    <n v="-1"/>
    <s v="Spring Festival"/>
  </r>
  <r>
    <x v="0"/>
    <s v="2016/2/18"/>
    <x v="0"/>
    <s v=""/>
    <s v=""/>
    <s v="IT"/>
    <m/>
    <n v="-1"/>
    <m/>
    <m/>
    <m/>
    <m/>
    <m/>
    <n v="-1"/>
    <s v="small operation"/>
  </r>
  <r>
    <x v="0"/>
    <s v="2016/2/29"/>
    <x v="0"/>
    <s v=""/>
    <s v=""/>
    <s v="IT"/>
    <n v="-1"/>
    <m/>
    <m/>
    <m/>
    <m/>
    <m/>
    <m/>
    <n v="-1"/>
    <s v="dirver license"/>
  </r>
  <r>
    <x v="1"/>
    <s v="2016/2/29"/>
    <x v="0"/>
    <s v="14:16"/>
    <s v="18:58"/>
    <s v="IT"/>
    <n v="-0.5"/>
    <m/>
    <m/>
    <m/>
    <m/>
    <m/>
    <m/>
    <n v="-0.5"/>
    <s v="personal business"/>
  </r>
  <r>
    <x v="2"/>
    <s v="2016/2/14"/>
    <x v="0"/>
    <s v=""/>
    <s v=""/>
    <s v="IT"/>
    <m/>
    <m/>
    <m/>
    <m/>
    <m/>
    <n v="-1"/>
    <m/>
    <n v="-1"/>
    <s v="CNY"/>
  </r>
  <r>
    <x v="3"/>
    <s v="2016/2/14"/>
    <x v="0"/>
    <s v=""/>
    <s v=""/>
    <s v="IT"/>
    <n v="-1"/>
    <m/>
    <m/>
    <m/>
    <m/>
    <m/>
    <m/>
    <n v="-1"/>
    <s v="CNY"/>
  </r>
  <r>
    <x v="4"/>
    <s v="2016/2/1"/>
    <x v="0"/>
    <s v=""/>
    <s v=""/>
    <s v="IT"/>
    <n v="-1"/>
    <m/>
    <m/>
    <m/>
    <m/>
    <m/>
    <m/>
    <n v="-1"/>
    <s v="annual leave"/>
  </r>
  <r>
    <x v="4"/>
    <s v="2016/2/2"/>
    <x v="0"/>
    <s v=""/>
    <s v=""/>
    <s v="IT"/>
    <n v="-1"/>
    <m/>
    <m/>
    <m/>
    <m/>
    <m/>
    <m/>
    <n v="-1"/>
    <s v="annual leave"/>
  </r>
  <r>
    <x v="4"/>
    <s v="2016/2/3"/>
    <x v="0"/>
    <s v=""/>
    <s v=""/>
    <s v="IT"/>
    <n v="-1"/>
    <m/>
    <m/>
    <m/>
    <m/>
    <m/>
    <m/>
    <n v="-1"/>
    <s v="annual leave"/>
  </r>
  <r>
    <x v="4"/>
    <s v="2016/2/4"/>
    <x v="0"/>
    <s v=""/>
    <s v=""/>
    <s v="IT"/>
    <n v="-1"/>
    <m/>
    <m/>
    <m/>
    <m/>
    <m/>
    <m/>
    <n v="-1"/>
    <s v="annual leave"/>
  </r>
  <r>
    <x v="4"/>
    <s v="2016/2/5"/>
    <x v="0"/>
    <s v=""/>
    <s v=""/>
    <s v="IT"/>
    <n v="-1"/>
    <m/>
    <m/>
    <m/>
    <m/>
    <m/>
    <m/>
    <n v="-1"/>
    <s v="annual leave"/>
  </r>
  <r>
    <x v="4"/>
    <s v="2016/2/6"/>
    <x v="0"/>
    <s v=""/>
    <s v=""/>
    <s v="IT"/>
    <n v="-1"/>
    <m/>
    <m/>
    <m/>
    <m/>
    <m/>
    <m/>
    <n v="-1"/>
    <s v="annual leave"/>
  </r>
  <r>
    <x v="4"/>
    <s v="2016/2/14"/>
    <x v="0"/>
    <s v=""/>
    <s v=""/>
    <s v="IT"/>
    <m/>
    <m/>
    <m/>
    <m/>
    <m/>
    <m/>
    <n v="-1"/>
    <n v="-1"/>
    <m/>
  </r>
  <r>
    <x v="4"/>
    <s v="2016/2/15"/>
    <x v="0"/>
    <s v=""/>
    <s v=""/>
    <s v="IT"/>
    <m/>
    <m/>
    <m/>
    <m/>
    <m/>
    <m/>
    <n v="-1"/>
    <n v="-1"/>
    <m/>
  </r>
  <r>
    <x v="4"/>
    <s v="2016/2/16"/>
    <x v="0"/>
    <s v=""/>
    <s v=""/>
    <s v="IT"/>
    <m/>
    <m/>
    <m/>
    <m/>
    <m/>
    <m/>
    <n v="-1"/>
    <n v="-1"/>
    <m/>
  </r>
  <r>
    <x v="4"/>
    <s v="2016/2/17"/>
    <x v="0"/>
    <s v=""/>
    <s v=""/>
    <s v="IT"/>
    <m/>
    <m/>
    <m/>
    <m/>
    <m/>
    <m/>
    <n v="-1"/>
    <n v="-1"/>
    <m/>
  </r>
  <r>
    <x v="4"/>
    <s v="2016/2/18"/>
    <x v="0"/>
    <s v=""/>
    <s v=""/>
    <s v="IT"/>
    <m/>
    <m/>
    <m/>
    <m/>
    <m/>
    <m/>
    <n v="-1"/>
    <n v="-1"/>
    <m/>
  </r>
  <r>
    <x v="4"/>
    <s v="2016/2/19"/>
    <x v="0"/>
    <s v=""/>
    <s v=""/>
    <s v="IT"/>
    <m/>
    <m/>
    <m/>
    <m/>
    <m/>
    <m/>
    <n v="-1"/>
    <n v="-1"/>
    <m/>
  </r>
  <r>
    <x v="4"/>
    <s v="2016/2/22"/>
    <x v="0"/>
    <s v=""/>
    <s v=""/>
    <s v="IT"/>
    <m/>
    <m/>
    <m/>
    <m/>
    <m/>
    <m/>
    <n v="-1"/>
    <n v="-1"/>
    <m/>
  </r>
  <r>
    <x v="4"/>
    <s v="2016/2/23"/>
    <x v="0"/>
    <m/>
    <m/>
    <s v="IT"/>
    <m/>
    <m/>
    <m/>
    <m/>
    <m/>
    <m/>
    <n v="-1"/>
    <n v="-1"/>
    <m/>
  </r>
  <r>
    <x v="4"/>
    <s v="2016/2/24"/>
    <x v="0"/>
    <m/>
    <m/>
    <s v="IT"/>
    <n v="-1"/>
    <m/>
    <m/>
    <m/>
    <m/>
    <m/>
    <n v="-1"/>
    <n v="-2"/>
    <s v="annual leave"/>
  </r>
  <r>
    <x v="4"/>
    <s v="2016/2/25"/>
    <x v="0"/>
    <m/>
    <m/>
    <s v="IT"/>
    <m/>
    <m/>
    <m/>
    <m/>
    <m/>
    <n v="-1"/>
    <m/>
    <n v="-1"/>
    <s v="annual leave"/>
  </r>
  <r>
    <x v="5"/>
    <s v="2016/2/14"/>
    <x v="0"/>
    <s v=""/>
    <s v=""/>
    <s v="IT"/>
    <n v="-1"/>
    <m/>
    <m/>
    <m/>
    <m/>
    <m/>
    <m/>
    <n v="-1"/>
    <s v="holiday"/>
  </r>
  <r>
    <x v="5"/>
    <s v="2016/2/18"/>
    <x v="0"/>
    <s v=""/>
    <s v=""/>
    <s v="IT"/>
    <m/>
    <n v="-1"/>
    <m/>
    <m/>
    <m/>
    <m/>
    <m/>
    <n v="-1"/>
    <s v="acute bronchitis"/>
  </r>
  <r>
    <x v="6"/>
    <s v="2016/2/5"/>
    <x v="0"/>
    <s v="16:59"/>
    <s v=""/>
    <s v="IT"/>
    <m/>
    <n v="-0.5"/>
    <m/>
    <m/>
    <m/>
    <m/>
    <m/>
    <n v="-0.5"/>
    <s v="feel cold, go to the hospital"/>
  </r>
  <r>
    <x v="6"/>
    <s v="2016/2/10"/>
    <x v="0"/>
    <s v="12:20"/>
    <s v="18:17"/>
    <s v="IT"/>
    <m/>
    <m/>
    <m/>
    <m/>
    <m/>
    <m/>
    <m/>
    <n v="0"/>
    <s v="for update computer software"/>
  </r>
  <r>
    <x v="7"/>
    <s v="2016/2/3"/>
    <x v="0"/>
    <s v=""/>
    <s v=""/>
    <s v="IT"/>
    <n v="-1"/>
    <m/>
    <m/>
    <m/>
    <m/>
    <m/>
    <m/>
    <n v="-1"/>
    <s v="Go home,Spring Festival"/>
  </r>
  <r>
    <x v="7"/>
    <s v="2016/2/4"/>
    <x v="0"/>
    <s v=""/>
    <s v=""/>
    <s v="IT"/>
    <n v="-1"/>
    <m/>
    <m/>
    <m/>
    <m/>
    <m/>
    <m/>
    <n v="-1"/>
    <s v="Go home,Spring Festival"/>
  </r>
  <r>
    <x v="7"/>
    <s v="2016/2/5"/>
    <x v="0"/>
    <s v=""/>
    <s v=""/>
    <s v="IT"/>
    <n v="-1"/>
    <m/>
    <m/>
    <m/>
    <m/>
    <m/>
    <m/>
    <n v="-1"/>
    <s v="Go home,Spring Festival"/>
  </r>
  <r>
    <x v="7"/>
    <s v="2016/2/6"/>
    <x v="0"/>
    <s v=""/>
    <s v=""/>
    <s v="IT"/>
    <n v="-1"/>
    <m/>
    <m/>
    <m/>
    <m/>
    <m/>
    <m/>
    <n v="-1"/>
    <s v="Go home,Spring Festival"/>
  </r>
  <r>
    <x v="7"/>
    <s v="2016/3/10"/>
    <x v="1"/>
    <s v="09:32"/>
    <s v="14:24"/>
    <s v="IT"/>
    <n v="-0.5"/>
    <m/>
    <m/>
    <m/>
    <m/>
    <m/>
    <m/>
    <n v="-0.5"/>
    <s v="kindergarten parent meeting"/>
  </r>
  <r>
    <x v="8"/>
    <s v="2016/2/1"/>
    <x v="0"/>
    <s v=""/>
    <s v=""/>
    <s v="IT"/>
    <n v="-1"/>
    <m/>
    <m/>
    <m/>
    <m/>
    <m/>
    <m/>
    <n v="-1"/>
    <s v="Spring Festival"/>
  </r>
  <r>
    <x v="8"/>
    <s v="2016/2/2"/>
    <x v="0"/>
    <s v=""/>
    <s v=""/>
    <s v="IT"/>
    <n v="-1"/>
    <m/>
    <m/>
    <m/>
    <m/>
    <m/>
    <m/>
    <n v="-1"/>
    <s v="Spring Festival"/>
  </r>
  <r>
    <x v="8"/>
    <s v="2016/2/3"/>
    <x v="0"/>
    <s v=""/>
    <s v=""/>
    <s v="IT"/>
    <n v="-1"/>
    <m/>
    <m/>
    <m/>
    <m/>
    <m/>
    <m/>
    <n v="-1"/>
    <s v="Spring Festival"/>
  </r>
  <r>
    <x v="8"/>
    <s v="2016/2/4"/>
    <x v="0"/>
    <s v=""/>
    <s v=""/>
    <s v="IT"/>
    <n v="-1"/>
    <m/>
    <m/>
    <m/>
    <m/>
    <m/>
    <m/>
    <n v="-1"/>
    <s v="Spring Festival"/>
  </r>
  <r>
    <x v="8"/>
    <s v="2016/2/5"/>
    <x v="0"/>
    <s v=""/>
    <s v=""/>
    <s v="IT"/>
    <n v="-1"/>
    <m/>
    <m/>
    <m/>
    <m/>
    <m/>
    <m/>
    <n v="-1"/>
    <s v="Spring Festival"/>
  </r>
  <r>
    <x v="8"/>
    <s v="2016/2/6"/>
    <x v="0"/>
    <s v=""/>
    <s v=""/>
    <s v="IT"/>
    <n v="-1"/>
    <m/>
    <m/>
    <m/>
    <m/>
    <m/>
    <m/>
    <n v="-1"/>
    <s v="Spring Festival"/>
  </r>
  <r>
    <x v="9"/>
    <s v="2016/2/14"/>
    <x v="0"/>
    <s v=""/>
    <s v=""/>
    <s v="IT"/>
    <n v="-1"/>
    <m/>
    <m/>
    <m/>
    <m/>
    <m/>
    <m/>
    <n v="-1"/>
    <s v="family reason"/>
  </r>
  <r>
    <x v="10"/>
    <s v="2016/2/5"/>
    <x v="0"/>
    <s v=""/>
    <s v=""/>
    <s v="IT"/>
    <n v="-1"/>
    <m/>
    <m/>
    <m/>
    <m/>
    <m/>
    <m/>
    <n v="-1"/>
    <s v="CNY "/>
  </r>
  <r>
    <x v="10"/>
    <s v="2016/2/6"/>
    <x v="0"/>
    <s v=""/>
    <s v=""/>
    <s v="IT"/>
    <n v="-1"/>
    <m/>
    <m/>
    <m/>
    <m/>
    <m/>
    <m/>
    <n v="-1"/>
    <s v="CNY "/>
  </r>
  <r>
    <x v="10"/>
    <s v="2016/2/14"/>
    <x v="0"/>
    <s v=""/>
    <s v=""/>
    <s v="IT"/>
    <n v="-1"/>
    <m/>
    <m/>
    <m/>
    <m/>
    <m/>
    <m/>
    <n v="-1"/>
    <s v="CNY "/>
  </r>
  <r>
    <x v="10"/>
    <s v="2016/2/15"/>
    <x v="0"/>
    <s v=""/>
    <s v=""/>
    <s v="IT"/>
    <n v="-1"/>
    <m/>
    <m/>
    <m/>
    <m/>
    <m/>
    <m/>
    <n v="-1"/>
    <s v="CNY "/>
  </r>
  <r>
    <x v="10"/>
    <s v="2016/2/16"/>
    <x v="0"/>
    <s v=""/>
    <s v=""/>
    <s v="IT"/>
    <n v="-1"/>
    <m/>
    <m/>
    <m/>
    <m/>
    <m/>
    <m/>
    <n v="-1"/>
    <s v="CNY "/>
  </r>
  <r>
    <x v="10"/>
    <s v="2016/2/17"/>
    <x v="0"/>
    <s v=""/>
    <s v=""/>
    <s v="IT"/>
    <n v="-1"/>
    <m/>
    <m/>
    <m/>
    <m/>
    <m/>
    <m/>
    <n v="-1"/>
    <s v="CNY "/>
  </r>
  <r>
    <x v="10"/>
    <s v="2016/2/18"/>
    <x v="0"/>
    <s v=""/>
    <s v=""/>
    <s v="IT"/>
    <n v="-1"/>
    <m/>
    <m/>
    <m/>
    <m/>
    <m/>
    <m/>
    <n v="-1"/>
    <s v="CNY "/>
  </r>
  <r>
    <x v="10"/>
    <s v="2016/2/19"/>
    <x v="0"/>
    <s v=""/>
    <s v=""/>
    <s v="IT"/>
    <n v="-1"/>
    <m/>
    <m/>
    <m/>
    <m/>
    <m/>
    <m/>
    <n v="-1"/>
    <s v="CNY "/>
  </r>
  <r>
    <x v="11"/>
    <s v="2016/2/11"/>
    <x v="0"/>
    <s v="09:30"/>
    <s v="18:31"/>
    <s v="IT"/>
    <m/>
    <m/>
    <m/>
    <n v="2"/>
    <m/>
    <m/>
    <m/>
    <n v="2"/>
    <s v="CNY OT day"/>
  </r>
  <r>
    <x v="11"/>
    <s v="2016/2/26"/>
    <x v="0"/>
    <s v="14:35"/>
    <s v="19:14"/>
    <s v="IT"/>
    <m/>
    <n v="-0.5"/>
    <m/>
    <m/>
    <m/>
    <m/>
    <m/>
    <n v="-0.5"/>
    <s v="sick"/>
  </r>
  <r>
    <x v="12"/>
    <s v="2016/2/1"/>
    <x v="0"/>
    <s v=""/>
    <s v=""/>
    <s v="IT"/>
    <n v="-1"/>
    <m/>
    <m/>
    <m/>
    <m/>
    <m/>
    <m/>
    <n v="-1"/>
    <s v="annual leave"/>
  </r>
  <r>
    <x v="12"/>
    <s v="2016/2/4"/>
    <x v="0"/>
    <s v=""/>
    <s v=""/>
    <s v="IT"/>
    <n v="-1"/>
    <m/>
    <m/>
    <m/>
    <m/>
    <m/>
    <m/>
    <n v="-1"/>
    <s v="annual leave"/>
  </r>
  <r>
    <x v="12"/>
    <s v="2016/2/5"/>
    <x v="0"/>
    <s v=""/>
    <s v=""/>
    <s v="IT"/>
    <m/>
    <m/>
    <m/>
    <m/>
    <m/>
    <n v="-1"/>
    <m/>
    <n v="-1"/>
    <s v="annual leave"/>
  </r>
  <r>
    <x v="12"/>
    <s v="2016/2/6"/>
    <x v="0"/>
    <s v=""/>
    <s v=""/>
    <s v="IT"/>
    <m/>
    <m/>
    <m/>
    <m/>
    <m/>
    <n v="-1"/>
    <m/>
    <n v="-1"/>
    <s v="annual leave"/>
  </r>
  <r>
    <x v="12"/>
    <s v="2016/2/14"/>
    <x v="0"/>
    <s v=""/>
    <s v="18:36"/>
    <s v="IT"/>
    <n v="-0.5"/>
    <m/>
    <m/>
    <m/>
    <m/>
    <m/>
    <m/>
    <n v="-0.5"/>
    <s v="annual leave"/>
  </r>
  <r>
    <x v="12"/>
    <s v="2016/2/17"/>
    <x v="0"/>
    <s v="09:50"/>
    <s v="14:46"/>
    <s v="IT"/>
    <m/>
    <n v="-0.5"/>
    <m/>
    <m/>
    <m/>
    <m/>
    <m/>
    <n v="-0.5"/>
    <s v="headache"/>
  </r>
  <r>
    <x v="13"/>
    <s v="2016/2/6"/>
    <x v="0"/>
    <s v=""/>
    <s v=""/>
    <s v="IT"/>
    <n v="-1"/>
    <m/>
    <m/>
    <m/>
    <m/>
    <m/>
    <m/>
    <n v="-1"/>
    <s v="holiday"/>
  </r>
  <r>
    <x v="13"/>
    <s v="2016/2/14"/>
    <x v="0"/>
    <s v=""/>
    <s v=""/>
    <s v="IT"/>
    <n v="-1"/>
    <m/>
    <m/>
    <m/>
    <m/>
    <m/>
    <m/>
    <n v="-1"/>
    <s v="holiday"/>
  </r>
  <r>
    <x v="13"/>
    <s v="2016/2/29"/>
    <x v="0"/>
    <s v=""/>
    <s v=""/>
    <s v="IT"/>
    <n v="-1"/>
    <m/>
    <m/>
    <m/>
    <m/>
    <m/>
    <m/>
    <n v="-1"/>
    <s v="Travel out of town"/>
  </r>
  <r>
    <x v="14"/>
    <s v="2016/2/14"/>
    <x v="0"/>
    <s v=""/>
    <s v=""/>
    <s v="IT"/>
    <n v="-1"/>
    <m/>
    <m/>
    <m/>
    <m/>
    <m/>
    <m/>
    <n v="-1"/>
    <s v="day off"/>
  </r>
  <r>
    <x v="15"/>
    <s v="2016/2/3"/>
    <x v="0"/>
    <s v=""/>
    <s v=""/>
    <s v="IT"/>
    <n v="-1"/>
    <m/>
    <m/>
    <m/>
    <m/>
    <m/>
    <m/>
    <n v="-1"/>
    <s v="annual  leave"/>
  </r>
  <r>
    <x v="15"/>
    <s v="2016/2/4"/>
    <x v="0"/>
    <s v=""/>
    <s v=""/>
    <s v="IT"/>
    <n v="-1"/>
    <m/>
    <m/>
    <m/>
    <m/>
    <m/>
    <m/>
    <n v="-1"/>
    <s v="annual  leave"/>
  </r>
  <r>
    <x v="15"/>
    <s v="2016/2/5"/>
    <x v="0"/>
    <s v=""/>
    <s v=""/>
    <s v="IT"/>
    <n v="-1"/>
    <m/>
    <m/>
    <m/>
    <m/>
    <m/>
    <m/>
    <n v="-1"/>
    <s v="annual  leave"/>
  </r>
  <r>
    <x v="15"/>
    <s v="2016/2/6"/>
    <x v="0"/>
    <s v=""/>
    <s v=""/>
    <s v="IT"/>
    <n v="-1"/>
    <m/>
    <m/>
    <m/>
    <m/>
    <m/>
    <m/>
    <n v="-1"/>
    <s v="annual  leave"/>
  </r>
  <r>
    <x v="15"/>
    <s v="2016/2/14"/>
    <x v="0"/>
    <s v=""/>
    <s v=""/>
    <s v="IT"/>
    <n v="-1"/>
    <m/>
    <m/>
    <m/>
    <m/>
    <m/>
    <m/>
    <n v="-1"/>
    <s v="annual  leave"/>
  </r>
  <r>
    <x v="16"/>
    <s v="2016/2/1"/>
    <x v="0"/>
    <s v=""/>
    <s v=""/>
    <s v="IT"/>
    <n v="-1"/>
    <m/>
    <m/>
    <m/>
    <m/>
    <m/>
    <m/>
    <n v="-1"/>
    <s v="Spring Festival"/>
  </r>
  <r>
    <x v="16"/>
    <s v="2016/2/2"/>
    <x v="0"/>
    <s v=""/>
    <s v=""/>
    <s v="IT"/>
    <n v="-1"/>
    <m/>
    <m/>
    <m/>
    <m/>
    <m/>
    <m/>
    <n v="-1"/>
    <s v="Spring Festival"/>
  </r>
  <r>
    <x v="16"/>
    <s v="2016/2/3"/>
    <x v="0"/>
    <s v=""/>
    <s v=""/>
    <s v="IT"/>
    <n v="-1"/>
    <m/>
    <m/>
    <m/>
    <m/>
    <m/>
    <m/>
    <n v="-1"/>
    <s v="Spring Festival"/>
  </r>
  <r>
    <x v="16"/>
    <s v="2016/2/4"/>
    <x v="0"/>
    <s v=""/>
    <s v=""/>
    <s v="IT"/>
    <n v="-1"/>
    <m/>
    <m/>
    <m/>
    <m/>
    <m/>
    <m/>
    <n v="-1"/>
    <s v="Spring Festival"/>
  </r>
  <r>
    <x v="16"/>
    <s v="2016/2/5"/>
    <x v="0"/>
    <s v=""/>
    <s v=""/>
    <s v="IT"/>
    <n v="-1"/>
    <m/>
    <m/>
    <m/>
    <m/>
    <m/>
    <m/>
    <n v="-1"/>
    <s v="Spring Festival"/>
  </r>
  <r>
    <x v="16"/>
    <s v="2016/2/6"/>
    <x v="0"/>
    <s v=""/>
    <s v=""/>
    <s v="IT"/>
    <n v="-1"/>
    <m/>
    <m/>
    <m/>
    <m/>
    <m/>
    <m/>
    <n v="-1"/>
    <s v="Spring Festival"/>
  </r>
  <r>
    <x v="16"/>
    <s v="2016/2/14"/>
    <x v="0"/>
    <s v=""/>
    <s v=""/>
    <s v="IT"/>
    <n v="-1"/>
    <m/>
    <m/>
    <m/>
    <m/>
    <m/>
    <m/>
    <n v="-1"/>
    <s v="Spring Festival"/>
  </r>
  <r>
    <x v="16"/>
    <s v="2016/2/15"/>
    <x v="0"/>
    <s v=""/>
    <s v=""/>
    <s v="IT"/>
    <n v="-1"/>
    <m/>
    <m/>
    <m/>
    <m/>
    <m/>
    <m/>
    <n v="-1"/>
    <s v="Spring Festival"/>
  </r>
  <r>
    <x v="17"/>
    <s v="2016/2/2"/>
    <x v="0"/>
    <s v=""/>
    <s v=""/>
    <s v="IT"/>
    <m/>
    <n v="-1"/>
    <m/>
    <m/>
    <m/>
    <m/>
    <m/>
    <n v="-1"/>
    <s v="physical discomfort"/>
  </r>
  <r>
    <x v="17"/>
    <s v="2016/2/12"/>
    <x v="0"/>
    <s v="09:43"/>
    <s v="18:54"/>
    <s v="IT"/>
    <m/>
    <m/>
    <m/>
    <n v="2"/>
    <m/>
    <m/>
    <m/>
    <n v="2"/>
    <s v="CNY OT day"/>
  </r>
  <r>
    <x v="17"/>
    <s v="2016/2/14"/>
    <x v="0"/>
    <s v=""/>
    <s v=""/>
    <s v="IT"/>
    <n v="-1"/>
    <m/>
    <m/>
    <m/>
    <m/>
    <m/>
    <m/>
    <n v="-1"/>
    <s v="annual leave"/>
  </r>
  <r>
    <x v="18"/>
    <s v="2016/2/1"/>
    <x v="0"/>
    <s v="14:21"/>
    <s v="18:36"/>
    <s v="IT"/>
    <m/>
    <n v="-0.5"/>
    <m/>
    <m/>
    <m/>
    <m/>
    <m/>
    <n v="-0.5"/>
    <s v="Migraine"/>
  </r>
  <r>
    <x v="18"/>
    <s v="2016/2/5"/>
    <x v="0"/>
    <s v=""/>
    <s v=""/>
    <s v="IT"/>
    <n v="-1"/>
    <m/>
    <m/>
    <m/>
    <m/>
    <m/>
    <m/>
    <n v="-1"/>
    <s v="annual leaves"/>
  </r>
  <r>
    <x v="18"/>
    <s v="2016/2/6"/>
    <x v="0"/>
    <s v=""/>
    <s v=""/>
    <s v="IT"/>
    <n v="-1"/>
    <m/>
    <m/>
    <m/>
    <m/>
    <m/>
    <m/>
    <n v="-1"/>
    <s v="annual leaves"/>
  </r>
  <r>
    <x v="18"/>
    <s v="2016/2/14"/>
    <x v="0"/>
    <s v=""/>
    <s v=""/>
    <s v="IT"/>
    <n v="-1"/>
    <m/>
    <m/>
    <m/>
    <m/>
    <m/>
    <m/>
    <n v="-1"/>
    <s v="annual leaves"/>
  </r>
  <r>
    <x v="18"/>
    <s v="2016/2/18"/>
    <x v="0"/>
    <s v="09:34"/>
    <s v=""/>
    <s v="IT"/>
    <m/>
    <n v="-0.5"/>
    <m/>
    <m/>
    <m/>
    <m/>
    <m/>
    <n v="-0.5"/>
    <s v="bad caugh with flu"/>
  </r>
  <r>
    <x v="18"/>
    <s v="2016/2/19"/>
    <x v="0"/>
    <s v=""/>
    <s v=""/>
    <s v="IT"/>
    <m/>
    <n v="-1"/>
    <m/>
    <m/>
    <m/>
    <m/>
    <m/>
    <n v="-1"/>
    <s v="bad caugh with flu"/>
  </r>
  <r>
    <x v="19"/>
    <s v="2016/2/4"/>
    <x v="0"/>
    <s v=""/>
    <s v=""/>
    <s v="IT"/>
    <n v="-1"/>
    <m/>
    <m/>
    <m/>
    <m/>
    <m/>
    <m/>
    <n v="-1"/>
    <s v="ask for leave"/>
  </r>
  <r>
    <x v="19"/>
    <s v="2016/2/17"/>
    <x v="0"/>
    <s v=""/>
    <s v=""/>
    <s v="IT"/>
    <m/>
    <n v="-1"/>
    <m/>
    <m/>
    <m/>
    <m/>
    <m/>
    <n v="-1"/>
    <s v="go to the hospital"/>
  </r>
  <r>
    <x v="20"/>
    <s v="2016/2/5"/>
    <x v="0"/>
    <s v=""/>
    <s v=""/>
    <s v="IT"/>
    <m/>
    <m/>
    <m/>
    <m/>
    <m/>
    <n v="-1"/>
    <m/>
    <n v="-1"/>
    <s v="CNY"/>
  </r>
  <r>
    <x v="20"/>
    <s v="2016/2/6"/>
    <x v="0"/>
    <s v=""/>
    <s v=""/>
    <s v="IT"/>
    <m/>
    <m/>
    <m/>
    <m/>
    <m/>
    <n v="-1"/>
    <m/>
    <n v="-1"/>
    <s v="CNY"/>
  </r>
  <r>
    <x v="20"/>
    <s v="2016/2/14"/>
    <x v="0"/>
    <s v=""/>
    <s v=""/>
    <s v="IT"/>
    <m/>
    <m/>
    <m/>
    <m/>
    <m/>
    <n v="-1"/>
    <m/>
    <n v="-1"/>
    <s v="CNY"/>
  </r>
  <r>
    <x v="21"/>
    <s v="2016/2/11"/>
    <x v="0"/>
    <s v=""/>
    <s v=""/>
    <s v="IT"/>
    <n v="-1"/>
    <m/>
    <m/>
    <m/>
    <m/>
    <m/>
    <m/>
    <n v="-1"/>
    <s v="go back to hometown"/>
  </r>
  <r>
    <x v="21"/>
    <s v="2016/2/12"/>
    <x v="0"/>
    <s v=""/>
    <s v=""/>
    <s v="IT"/>
    <n v="-1"/>
    <m/>
    <m/>
    <m/>
    <m/>
    <m/>
    <m/>
    <n v="-1"/>
    <s v="go back to hometown"/>
  </r>
  <r>
    <x v="22"/>
    <s v="2016/2/14"/>
    <x v="0"/>
    <s v=""/>
    <s v=""/>
    <s v="IT"/>
    <n v="-1"/>
    <m/>
    <m/>
    <m/>
    <m/>
    <m/>
    <m/>
    <n v="-1"/>
    <s v="personal affair"/>
  </r>
  <r>
    <x v="22"/>
    <s v="2016/2/15"/>
    <x v="0"/>
    <s v=""/>
    <s v=""/>
    <s v="IT"/>
    <n v="-1"/>
    <m/>
    <m/>
    <m/>
    <m/>
    <m/>
    <m/>
    <n v="-1"/>
    <s v="personal affair"/>
  </r>
  <r>
    <x v="22"/>
    <s v="2016/2/29"/>
    <x v="0"/>
    <s v=""/>
    <s v=""/>
    <s v="IT"/>
    <n v="-1"/>
    <m/>
    <m/>
    <m/>
    <m/>
    <m/>
    <m/>
    <n v="-1"/>
    <s v="personal affairs"/>
  </r>
  <r>
    <x v="23"/>
    <s v="2016/2/6"/>
    <x v="0"/>
    <s v=""/>
    <s v=""/>
    <s v="IT"/>
    <n v="-1"/>
    <m/>
    <m/>
    <m/>
    <m/>
    <m/>
    <m/>
    <n v="-1"/>
    <s v="CNY"/>
  </r>
  <r>
    <x v="23"/>
    <s v="2016/2/14"/>
    <x v="0"/>
    <s v=""/>
    <s v=""/>
    <s v="IT"/>
    <n v="-1"/>
    <m/>
    <m/>
    <m/>
    <m/>
    <m/>
    <m/>
    <n v="-1"/>
    <s v="CNY"/>
  </r>
  <r>
    <x v="24"/>
    <s v="2016/2/6"/>
    <x v="0"/>
    <s v=""/>
    <s v=""/>
    <s v="IT"/>
    <n v="-1"/>
    <m/>
    <m/>
    <m/>
    <m/>
    <m/>
    <m/>
    <n v="-1"/>
    <s v="leave"/>
  </r>
  <r>
    <x v="24"/>
    <s v="2016/2/14"/>
    <x v="0"/>
    <s v=""/>
    <s v=""/>
    <s v="IT"/>
    <n v="-1"/>
    <m/>
    <m/>
    <m/>
    <m/>
    <m/>
    <m/>
    <n v="-1"/>
    <s v="leave"/>
  </r>
  <r>
    <x v="25"/>
    <s v="2016/2/5"/>
    <x v="0"/>
    <s v=""/>
    <s v=""/>
    <s v="IT"/>
    <m/>
    <n v="-1"/>
    <m/>
    <m/>
    <m/>
    <m/>
    <m/>
    <n v="-1"/>
    <s v="sick"/>
  </r>
  <r>
    <x v="25"/>
    <s v="2016/2/16"/>
    <x v="0"/>
    <s v=""/>
    <s v=""/>
    <s v="IT"/>
    <m/>
    <n v="-1"/>
    <m/>
    <m/>
    <m/>
    <m/>
    <m/>
    <n v="-1"/>
    <s v="sick"/>
  </r>
  <r>
    <x v="25"/>
    <s v="2016/2/29"/>
    <x v="0"/>
    <s v=""/>
    <s v=""/>
    <s v="IT"/>
    <n v="-1"/>
    <m/>
    <m/>
    <m/>
    <m/>
    <m/>
    <m/>
    <n v="-1"/>
    <s v="sick"/>
  </r>
</pivotCacheRecords>
</file>

<file path=xl/pivotCache/pivotCacheRecords3.xml><?xml version="1.0" encoding="utf-8"?>
<pivotCacheRecords xmlns="http://schemas.openxmlformats.org/spreadsheetml/2006/main" xmlns:r="http://schemas.openxmlformats.org/officeDocument/2006/relationships" count="563">
  <r>
    <s v="SBG - Mobile"/>
    <s v="Task"/>
    <s v="MOBL-916"/>
    <s v="Adding packaging images on mobile - all countries"/>
    <x v="0"/>
    <n v="2"/>
    <d v="2016-05-13T00:00:00"/>
    <x v="0"/>
    <x v="0"/>
    <x v="0"/>
    <x v="0"/>
    <x v="0"/>
  </r>
  <r>
    <s v="SBG - Desktop"/>
    <s v="Improvement"/>
    <s v="DESK-8050"/>
    <s v="Clean up languages folder"/>
    <x v="0"/>
    <n v="1"/>
    <d v="2016-05-23T00:00:00"/>
    <x v="0"/>
    <x v="0"/>
    <x v="1"/>
    <x v="0"/>
    <x v="0"/>
  </r>
  <r>
    <s v="SBG - Desktop"/>
    <s v="Bug"/>
    <s v="DESK-8037"/>
    <s v="Dolce &amp; Gabbana banners not loading - AU,US,CA, HK - desktop"/>
    <x v="0"/>
    <n v="1"/>
    <d v="2016-05-09T00:00:00"/>
    <x v="0"/>
    <x v="0"/>
    <x v="2"/>
    <x v="0"/>
    <x v="1"/>
  </r>
  <r>
    <s v="SBG - Desktop"/>
    <s v="Bug"/>
    <s v="DESK-8037"/>
    <s v="Dolce &amp; Gabbana banners not loading - AU,US,CA, HK - desktop"/>
    <x v="0"/>
    <n v="1"/>
    <d v="2016-05-12T00:00:00"/>
    <x v="0"/>
    <x v="0"/>
    <x v="3"/>
    <x v="0"/>
    <x v="1"/>
  </r>
  <r>
    <s v="SBG - Desktop"/>
    <s v="Task"/>
    <s v="DESK-8035"/>
    <s v="OMNI -- Remove all 8  'iContact' stores"/>
    <x v="0"/>
    <n v="1"/>
    <d v="2016-05-13T00:00:00"/>
    <x v="0"/>
    <x v="0"/>
    <x v="0"/>
    <x v="0"/>
    <x v="0"/>
  </r>
  <r>
    <s v="SBG - Desktop"/>
    <s v="Bug"/>
    <s v="DESK-8034"/>
    <s v="e-mail not being accepted - checkout page - all countries"/>
    <x v="0"/>
    <n v="2"/>
    <d v="2016-05-12T00:00:00"/>
    <x v="0"/>
    <x v="0"/>
    <x v="3"/>
    <x v="0"/>
    <x v="1"/>
  </r>
  <r>
    <s v="SBG - Desktop"/>
    <s v="New Feature"/>
    <s v="DESK-8008"/>
    <s v="Cart  5.0"/>
    <x v="0"/>
    <n v="8"/>
    <d v="2016-05-17T00:00:00"/>
    <x v="0"/>
    <x v="0"/>
    <x v="4"/>
    <x v="0"/>
    <x v="0"/>
  </r>
  <r>
    <s v="SBG - Desktop"/>
    <s v="New Feature"/>
    <s v="DESK-8008"/>
    <s v="Cart  5.0"/>
    <x v="0"/>
    <n v="6"/>
    <d v="2016-05-23T00:00:00"/>
    <x v="0"/>
    <x v="0"/>
    <x v="1"/>
    <x v="0"/>
    <x v="0"/>
  </r>
  <r>
    <s v="SBG - Desktop"/>
    <s v="Bug"/>
    <s v="DESK-8000"/>
    <s v="Membership Password cannot be reset"/>
    <x v="0"/>
    <n v="1"/>
    <d v="2016-05-23T00:00:00"/>
    <x v="0"/>
    <x v="0"/>
    <x v="1"/>
    <x v="0"/>
    <x v="1"/>
  </r>
  <r>
    <s v="SBG - Desktop"/>
    <s v="New Feature"/>
    <s v="DESK-3045"/>
    <s v="Checkout 5.0"/>
    <x v="0"/>
    <n v="8"/>
    <d v="2016-05-24T00:00:00"/>
    <x v="0"/>
    <x v="0"/>
    <x v="5"/>
    <x v="0"/>
    <x v="0"/>
  </r>
  <r>
    <s v="SBG - Desktop"/>
    <s v="New Feature"/>
    <s v="DESK-3045"/>
    <s v="Checkout 5.0"/>
    <x v="0"/>
    <n v="8"/>
    <d v="2016-05-26T00:00:00"/>
    <x v="0"/>
    <x v="0"/>
    <x v="6"/>
    <x v="0"/>
    <x v="0"/>
  </r>
  <r>
    <s v="SBG - Desktop"/>
    <s v="New Feature"/>
    <s v="DESK-3045"/>
    <s v="Checkout 5.0"/>
    <x v="0"/>
    <n v="8"/>
    <d v="2016-05-27T00:00:00"/>
    <x v="0"/>
    <x v="0"/>
    <x v="7"/>
    <x v="0"/>
    <x v="0"/>
  </r>
  <r>
    <s v="SBG - Desktop"/>
    <s v="New Feature"/>
    <s v="DESK-3045"/>
    <s v="Checkout 5.0"/>
    <x v="0"/>
    <n v="8"/>
    <d v="2016-06-02T00:00:00"/>
    <x v="1"/>
    <x v="0"/>
    <x v="8"/>
    <x v="0"/>
    <x v="0"/>
  </r>
  <r>
    <s v="SBG - Desktop"/>
    <s v="Task"/>
    <s v="DESK-2759"/>
    <s v="Materials Filter- Reactivate and Add New Materials"/>
    <x v="0"/>
    <n v="4"/>
    <d v="2016-05-12T00:00:00"/>
    <x v="0"/>
    <x v="0"/>
    <x v="3"/>
    <x v="0"/>
    <x v="0"/>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2"/>
    <x v="1"/>
    <x v="9"/>
    <x v="1"/>
    <x v="2"/>
  </r>
  <r>
    <m/>
    <m/>
    <m/>
    <m/>
    <x v="1"/>
    <m/>
    <m/>
    <x v="3"/>
    <x v="2"/>
    <x v="10"/>
    <x v="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colGrandTotals="0" itemPrintTitles="1" createdVersion="5" indent="0" compact="0" compactData="0" multipleFieldFilters="0" rowHeaderCaption="User/Y/M" colHeaderCaption="Category">
  <location ref="B6:G10" firstHeaderRow="1" firstDataRow="2" firstDataCol="4"/>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76">
        <item m="1" x="35"/>
        <item m="1" x="24"/>
        <item x="0"/>
        <item m="1" x="21"/>
        <item m="1" x="72"/>
        <item m="1" x="53"/>
        <item m="1" x="4"/>
        <item m="1" x="18"/>
        <item m="1" x="33"/>
        <item m="1" x="40"/>
        <item m="1" x="6"/>
        <item m="1" x="9"/>
        <item m="1" x="57"/>
        <item m="1" x="47"/>
        <item m="1" x="71"/>
        <item m="1" x="68"/>
        <item m="1" x="63"/>
        <item m="1" x="48"/>
        <item m="1" x="20"/>
        <item m="1" x="49"/>
        <item m="1" x="75"/>
        <item m="1" x="69"/>
        <item m="1" x="58"/>
        <item m="1" x="8"/>
        <item m="1" x="38"/>
        <item m="1" x="55"/>
        <item m="1" x="51"/>
        <item m="1" x="36"/>
        <item m="1" x="3"/>
        <item m="1" x="59"/>
        <item m="1" x="5"/>
        <item m="1" x="28"/>
        <item m="1" x="43"/>
        <item m="1" x="44"/>
        <item x="1"/>
        <item m="1" x="25"/>
        <item m="1" x="12"/>
        <item m="1" x="39"/>
        <item m="1" x="16"/>
        <item m="1" x="26"/>
        <item m="1" x="29"/>
        <item m="1" x="73"/>
        <item m="1" x="22"/>
        <item m="1" x="60"/>
        <item m="1" x="13"/>
        <item m="1" x="37"/>
        <item m="1" x="67"/>
        <item m="1" x="19"/>
        <item m="1" x="54"/>
        <item m="1" x="11"/>
        <item m="1" x="32"/>
        <item m="1" x="66"/>
        <item m="1" x="17"/>
        <item m="1" x="52"/>
        <item m="1" x="7"/>
        <item m="1" x="27"/>
        <item m="1" x="62"/>
        <item m="1" x="14"/>
        <item m="1" x="45"/>
        <item m="1" x="31"/>
        <item m="1" x="42"/>
        <item m="1" x="74"/>
        <item m="1" x="70"/>
        <item m="1" x="56"/>
        <item m="1" x="34"/>
        <item m="1" x="15"/>
        <item m="1" x="30"/>
        <item m="1" x="61"/>
        <item m="1" x="65"/>
        <item m="1" x="64"/>
        <item m="1" x="50"/>
        <item m="1" x="2"/>
        <item m="1" x="41"/>
        <item m="1" x="10"/>
        <item m="1" x="46"/>
        <item m="1"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3"/>
        <item x="0"/>
        <item x="2"/>
        <item x="1"/>
      </items>
      <extLst>
        <ext xmlns:x14="http://schemas.microsoft.com/office/spreadsheetml/2009/9/main" uri="{2946ED86-A175-432a-8AC1-64E0C546D7DE}">
          <x14:pivotField fillDownLabels="1"/>
        </ext>
      </extLst>
    </pivotField>
    <pivotField axis="axisRow" compact="0" outline="0" showAll="0" defaultSubtotal="0">
      <items count="4">
        <item m="1" x="3"/>
        <item x="0"/>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11">
        <item m="1" x="4"/>
        <item m="1" x="7"/>
        <item m="1" x="5"/>
        <item x="0"/>
        <item m="1" x="3"/>
        <item x="2"/>
        <item x="1"/>
        <item m="1" x="6"/>
        <item m="1" x="8"/>
        <item m="1" x="9"/>
        <item m="1" x="10"/>
      </items>
      <extLst>
        <ext xmlns:x14="http://schemas.microsoft.com/office/spreadsheetml/2009/9/main" uri="{2946ED86-A175-432a-8AC1-64E0C546D7DE}">
          <x14:pivotField fillDownLabels="1"/>
        </ext>
      </extLst>
    </pivotField>
    <pivotField axis="axisCol" compact="0" outline="0" showAll="0" defaultSubtotal="0">
      <items count="4">
        <item x="0"/>
        <item x="1"/>
        <item h="1" x="3"/>
        <item h="1" x="2"/>
      </items>
      <extLst>
        <ext xmlns:x14="http://schemas.microsoft.com/office/spreadsheetml/2009/9/main" uri="{2946ED86-A175-432a-8AC1-64E0C546D7DE}">
          <x14:pivotField fillDownLabels="1"/>
        </ext>
      </extLst>
    </pivotField>
  </pivotFields>
  <rowFields count="4">
    <field x="4"/>
    <field x="10"/>
    <field x="8"/>
    <field x="7"/>
  </rowFields>
  <rowItems count="3">
    <i>
      <x v="2"/>
      <x v="3"/>
      <x v="1"/>
      <x v="1"/>
    </i>
    <i r="3">
      <x v="3"/>
    </i>
    <i t="grand">
      <x/>
    </i>
  </rowItems>
  <colFields count="1">
    <field x="11"/>
  </colFields>
  <colItems count="2">
    <i>
      <x/>
    </i>
    <i>
      <x v="1"/>
    </i>
  </colItems>
  <dataFields count="1">
    <dataField name="Sum of Time Spent" fld="5" baseField="7" baseItem="1"/>
  </dataFields>
  <formats count="93">
    <format dxfId="141">
      <pivotArea outline="0" collapsedLevelsAreSubtotals="1" fieldPosition="0"/>
    </format>
    <format dxfId="140">
      <pivotArea dataOnly="0" labelOnly="1" grandCol="1" outline="0" fieldPosition="0"/>
    </format>
    <format dxfId="139">
      <pivotArea outline="0" collapsedLevelsAreSubtotals="1" fieldPosition="0">
        <references count="1">
          <reference field="11" count="1" selected="0">
            <x v="1"/>
          </reference>
        </references>
      </pivotArea>
    </format>
    <format dxfId="138">
      <pivotArea type="topRight" dataOnly="0" labelOnly="1" outline="0" fieldPosition="0"/>
    </format>
    <format dxfId="137">
      <pivotArea dataOnly="0" labelOnly="1" outline="0" fieldPosition="0">
        <references count="1">
          <reference field="11" count="1">
            <x v="1"/>
          </reference>
        </references>
      </pivotArea>
    </format>
    <format dxfId="136">
      <pivotArea outline="0" collapsedLevelsAreSubtotals="1" fieldPosition="0">
        <references count="1">
          <reference field="11" count="1" selected="0">
            <x v="0"/>
          </reference>
        </references>
      </pivotArea>
    </format>
    <format dxfId="135">
      <pivotArea dataOnly="0" labelOnly="1" outline="0" fieldPosition="0">
        <references count="1">
          <reference field="11" count="1">
            <x v="0"/>
          </reference>
        </references>
      </pivotArea>
    </format>
    <format dxfId="134">
      <pivotArea field="11" type="button" dataOnly="0" labelOnly="1" outline="0" axis="axisCol" fieldPosition="0"/>
    </format>
    <format dxfId="133">
      <pivotArea type="all" dataOnly="0" outline="0" fieldPosition="0"/>
    </format>
    <format dxfId="132">
      <pivotArea outline="0" collapsedLevelsAreSubtotals="1" fieldPosition="0"/>
    </format>
    <format dxfId="131">
      <pivotArea dataOnly="0" labelOnly="1" outline="0" fieldPosition="0">
        <references count="1">
          <reference field="4" count="0"/>
        </references>
      </pivotArea>
    </format>
    <format dxfId="130">
      <pivotArea dataOnly="0" labelOnly="1" grandRow="1" outline="0" fieldPosition="0"/>
    </format>
    <format dxfId="129">
      <pivotArea dataOnly="0" labelOnly="1" outline="0" fieldPosition="0">
        <references count="2">
          <reference field="4" count="1" selected="0">
            <x v="0"/>
          </reference>
          <reference field="8" count="0"/>
        </references>
      </pivotArea>
    </format>
    <format dxfId="128">
      <pivotArea dataOnly="0" labelOnly="1" outline="0" fieldPosition="0">
        <references count="2">
          <reference field="4" count="1" selected="0">
            <x v="1"/>
          </reference>
          <reference field="8" count="0"/>
        </references>
      </pivotArea>
    </format>
    <format dxfId="127">
      <pivotArea dataOnly="0" labelOnly="1" outline="0" fieldPosition="0">
        <references count="2">
          <reference field="4" count="1" selected="0">
            <x v="2"/>
          </reference>
          <reference field="8" count="0"/>
        </references>
      </pivotArea>
    </format>
    <format dxfId="126">
      <pivotArea dataOnly="0" labelOnly="1" outline="0" fieldPosition="0">
        <references count="2">
          <reference field="4" count="1" selected="0">
            <x v="3"/>
          </reference>
          <reference field="8" count="0"/>
        </references>
      </pivotArea>
    </format>
    <format dxfId="125">
      <pivotArea dataOnly="0" labelOnly="1" outline="0" fieldPosition="0">
        <references count="2">
          <reference field="4" count="1" selected="0">
            <x v="4"/>
          </reference>
          <reference field="8" count="0"/>
        </references>
      </pivotArea>
    </format>
    <format dxfId="124">
      <pivotArea dataOnly="0" labelOnly="1" outline="0" fieldPosition="0">
        <references count="2">
          <reference field="4" count="1" selected="0">
            <x v="6"/>
          </reference>
          <reference field="8" count="0"/>
        </references>
      </pivotArea>
    </format>
    <format dxfId="123">
      <pivotArea dataOnly="0" labelOnly="1" outline="0" fieldPosition="0">
        <references count="2">
          <reference field="4" count="1" selected="0">
            <x v="8"/>
          </reference>
          <reference field="8" count="0"/>
        </references>
      </pivotArea>
    </format>
    <format dxfId="122">
      <pivotArea dataOnly="0" labelOnly="1" outline="0" fieldPosition="0">
        <references count="2">
          <reference field="4" count="1" selected="0">
            <x v="9"/>
          </reference>
          <reference field="8" count="0"/>
        </references>
      </pivotArea>
    </format>
    <format dxfId="121">
      <pivotArea dataOnly="0" labelOnly="1" outline="0" fieldPosition="0">
        <references count="2">
          <reference field="4" count="1" selected="0">
            <x v="11"/>
          </reference>
          <reference field="8" count="0"/>
        </references>
      </pivotArea>
    </format>
    <format dxfId="120">
      <pivotArea dataOnly="0" labelOnly="1" outline="0" fieldPosition="0">
        <references count="2">
          <reference field="4" count="1" selected="0">
            <x v="13"/>
          </reference>
          <reference field="8" count="0"/>
        </references>
      </pivotArea>
    </format>
    <format dxfId="119">
      <pivotArea dataOnly="0" labelOnly="1" outline="0" fieldPosition="0">
        <references count="2">
          <reference field="4" count="1" selected="0">
            <x v="14"/>
          </reference>
          <reference field="8" count="0"/>
        </references>
      </pivotArea>
    </format>
    <format dxfId="118">
      <pivotArea dataOnly="0" labelOnly="1" outline="0" fieldPosition="0">
        <references count="2">
          <reference field="4" count="1" selected="0">
            <x v="15"/>
          </reference>
          <reference field="8" count="0"/>
        </references>
      </pivotArea>
    </format>
    <format dxfId="117">
      <pivotArea dataOnly="0" labelOnly="1" outline="0" fieldPosition="0">
        <references count="2">
          <reference field="4" count="1" selected="0">
            <x v="16"/>
          </reference>
          <reference field="8" count="0"/>
        </references>
      </pivotArea>
    </format>
    <format dxfId="116">
      <pivotArea dataOnly="0" labelOnly="1" outline="0" fieldPosition="0">
        <references count="2">
          <reference field="4" count="1" selected="0">
            <x v="19"/>
          </reference>
          <reference field="8" count="0"/>
        </references>
      </pivotArea>
    </format>
    <format dxfId="115">
      <pivotArea dataOnly="0" labelOnly="1" outline="0" fieldPosition="0">
        <references count="2">
          <reference field="4" count="1" selected="0">
            <x v="20"/>
          </reference>
          <reference field="8" count="0"/>
        </references>
      </pivotArea>
    </format>
    <format dxfId="114">
      <pivotArea dataOnly="0" labelOnly="1" outline="0" fieldPosition="0">
        <references count="2">
          <reference field="4" count="1" selected="0">
            <x v="21"/>
          </reference>
          <reference field="8" count="0"/>
        </references>
      </pivotArea>
    </format>
    <format dxfId="113">
      <pivotArea dataOnly="0" labelOnly="1" outline="0" fieldPosition="0">
        <references count="2">
          <reference field="4" count="1" selected="0">
            <x v="22"/>
          </reference>
          <reference field="8" count="1">
            <x v="0"/>
          </reference>
        </references>
      </pivotArea>
    </format>
    <format dxfId="112">
      <pivotArea dataOnly="0" labelOnly="1" outline="0" fieldPosition="0">
        <references count="2">
          <reference field="4" count="1" selected="0">
            <x v="24"/>
          </reference>
          <reference field="8" count="1">
            <x v="1"/>
          </reference>
        </references>
      </pivotArea>
    </format>
    <format dxfId="111">
      <pivotArea dataOnly="0" labelOnly="1" outline="0" fieldPosition="0">
        <references count="2">
          <reference field="4" count="1" selected="0">
            <x v="25"/>
          </reference>
          <reference field="8" count="0"/>
        </references>
      </pivotArea>
    </format>
    <format dxfId="110">
      <pivotArea dataOnly="0" labelOnly="1" outline="0" fieldPosition="0">
        <references count="2">
          <reference field="4" count="1" selected="0">
            <x v="27"/>
          </reference>
          <reference field="8" count="0"/>
        </references>
      </pivotArea>
    </format>
    <format dxfId="109">
      <pivotArea dataOnly="0" labelOnly="1" outline="0" fieldPosition="0">
        <references count="2">
          <reference field="4" count="1" selected="0">
            <x v="29"/>
          </reference>
          <reference field="8" count="0"/>
        </references>
      </pivotArea>
    </format>
    <format dxfId="108">
      <pivotArea dataOnly="0" labelOnly="1" outline="0" fieldPosition="0">
        <references count="2">
          <reference field="4" count="1" selected="0">
            <x v="30"/>
          </reference>
          <reference field="8" count="0"/>
        </references>
      </pivotArea>
    </format>
    <format dxfId="107">
      <pivotArea dataOnly="0" labelOnly="1" outline="0" fieldPosition="0">
        <references count="2">
          <reference field="4" count="1" selected="0">
            <x v="31"/>
          </reference>
          <reference field="8" count="0"/>
        </references>
      </pivotArea>
    </format>
    <format dxfId="106">
      <pivotArea dataOnly="0" labelOnly="1" outline="0" fieldPosition="0">
        <references count="1">
          <reference field="11" count="0"/>
        </references>
      </pivotArea>
    </format>
    <format dxfId="105">
      <pivotArea dataOnly="0" labelOnly="1" grandCol="1" outline="0" fieldPosition="0"/>
    </format>
    <format dxfId="104">
      <pivotArea grandRow="1" outline="0" collapsedLevelsAreSubtotals="1" fieldPosition="0"/>
    </format>
    <format dxfId="103">
      <pivotArea grandRow="1" outline="0" collapsedLevelsAreSubtotals="1" fieldPosition="0"/>
    </format>
    <format dxfId="102">
      <pivotArea type="all" dataOnly="0" outline="0" fieldPosition="0"/>
    </format>
    <format dxfId="101">
      <pivotArea outline="0" collapsedLevelsAreSubtotals="1" fieldPosition="0"/>
    </format>
    <format dxfId="100">
      <pivotArea dataOnly="0" labelOnly="1" outline="0" fieldPosition="0">
        <references count="1">
          <reference field="4" count="0"/>
        </references>
      </pivotArea>
    </format>
    <format dxfId="99">
      <pivotArea dataOnly="0" labelOnly="1" outline="0" fieldPosition="0">
        <references count="2">
          <reference field="4" count="1" selected="0">
            <x v="0"/>
          </reference>
          <reference field="10" count="1">
            <x v="4"/>
          </reference>
        </references>
      </pivotArea>
    </format>
    <format dxfId="98">
      <pivotArea dataOnly="0" labelOnly="1" outline="0" fieldPosition="0">
        <references count="2">
          <reference field="4" count="1" selected="0">
            <x v="1"/>
          </reference>
          <reference field="10" count="1">
            <x v="3"/>
          </reference>
        </references>
      </pivotArea>
    </format>
    <format dxfId="97">
      <pivotArea dataOnly="0" labelOnly="1" outline="0" fieldPosition="0">
        <references count="2">
          <reference field="4" count="1" selected="0">
            <x v="4"/>
          </reference>
          <reference field="10" count="1">
            <x v="0"/>
          </reference>
        </references>
      </pivotArea>
    </format>
    <format dxfId="96">
      <pivotArea dataOnly="0" labelOnly="1" outline="0" fieldPosition="0">
        <references count="2">
          <reference field="4" count="1" selected="0">
            <x v="5"/>
          </reference>
          <reference field="10" count="1">
            <x v="1"/>
          </reference>
        </references>
      </pivotArea>
    </format>
    <format dxfId="95">
      <pivotArea dataOnly="0" labelOnly="1" outline="0" fieldPosition="0">
        <references count="2">
          <reference field="4" count="1" selected="0">
            <x v="6"/>
          </reference>
          <reference field="10" count="1">
            <x v="4"/>
          </reference>
        </references>
      </pivotArea>
    </format>
    <format dxfId="94">
      <pivotArea dataOnly="0" labelOnly="1" outline="0" fieldPosition="0">
        <references count="2">
          <reference field="4" count="1" selected="0">
            <x v="7"/>
          </reference>
          <reference field="10" count="1">
            <x v="3"/>
          </reference>
        </references>
      </pivotArea>
    </format>
    <format dxfId="93">
      <pivotArea dataOnly="0" labelOnly="1" outline="0" fieldPosition="0">
        <references count="2">
          <reference field="4" count="1" selected="0">
            <x v="8"/>
          </reference>
          <reference field="10" count="1">
            <x v="4"/>
          </reference>
        </references>
      </pivotArea>
    </format>
    <format dxfId="92">
      <pivotArea dataOnly="0" labelOnly="1" outline="0" fieldPosition="0">
        <references count="2">
          <reference field="4" count="1" selected="0">
            <x v="9"/>
          </reference>
          <reference field="10" count="1">
            <x v="3"/>
          </reference>
        </references>
      </pivotArea>
    </format>
    <format dxfId="91">
      <pivotArea dataOnly="0" labelOnly="1" outline="0" fieldPosition="0">
        <references count="2">
          <reference field="4" count="1" selected="0">
            <x v="10"/>
          </reference>
          <reference field="10" count="1">
            <x v="0"/>
          </reference>
        </references>
      </pivotArea>
    </format>
    <format dxfId="90">
      <pivotArea dataOnly="0" labelOnly="1" outline="0" fieldPosition="0">
        <references count="2">
          <reference field="4" count="1" selected="0">
            <x v="11"/>
          </reference>
          <reference field="10" count="1">
            <x v="4"/>
          </reference>
        </references>
      </pivotArea>
    </format>
    <format dxfId="89">
      <pivotArea dataOnly="0" labelOnly="1" outline="0" fieldPosition="0">
        <references count="2">
          <reference field="4" count="1" selected="0">
            <x v="15"/>
          </reference>
          <reference field="10" count="1">
            <x v="1"/>
          </reference>
        </references>
      </pivotArea>
    </format>
    <format dxfId="88">
      <pivotArea dataOnly="0" labelOnly="1" outline="0" fieldPosition="0">
        <references count="2">
          <reference field="4" count="1" selected="0">
            <x v="16"/>
          </reference>
          <reference field="10" count="1">
            <x v="4"/>
          </reference>
        </references>
      </pivotArea>
    </format>
    <format dxfId="87">
      <pivotArea dataOnly="0" labelOnly="1" outline="0" fieldPosition="0">
        <references count="2">
          <reference field="4" count="1" selected="0">
            <x v="18"/>
          </reference>
          <reference field="10" count="1">
            <x v="3"/>
          </reference>
        </references>
      </pivotArea>
    </format>
    <format dxfId="86">
      <pivotArea dataOnly="0" labelOnly="1" outline="0" fieldPosition="0">
        <references count="2">
          <reference field="4" count="1" selected="0">
            <x v="19"/>
          </reference>
          <reference field="10" count="1">
            <x v="4"/>
          </reference>
        </references>
      </pivotArea>
    </format>
    <format dxfId="85">
      <pivotArea dataOnly="0" labelOnly="1" outline="0" fieldPosition="0">
        <references count="2">
          <reference field="4" count="1" selected="0">
            <x v="20"/>
          </reference>
          <reference field="10" count="1">
            <x v="2"/>
          </reference>
        </references>
      </pivotArea>
    </format>
    <format dxfId="84">
      <pivotArea dataOnly="0" labelOnly="1" outline="0" fieldPosition="0">
        <references count="2">
          <reference field="4" count="1" selected="0">
            <x v="21"/>
          </reference>
          <reference field="10" count="1">
            <x v="4"/>
          </reference>
        </references>
      </pivotArea>
    </format>
    <format dxfId="83">
      <pivotArea dataOnly="0" labelOnly="1" outline="0" fieldPosition="0">
        <references count="2">
          <reference field="4" count="1" selected="0">
            <x v="22"/>
          </reference>
          <reference field="10" count="1">
            <x v="1"/>
          </reference>
        </references>
      </pivotArea>
    </format>
    <format dxfId="82">
      <pivotArea dataOnly="0" labelOnly="1" outline="0" fieldPosition="0">
        <references count="2">
          <reference field="4" count="1" selected="0">
            <x v="23"/>
          </reference>
          <reference field="10" count="1">
            <x v="4"/>
          </reference>
        </references>
      </pivotArea>
    </format>
    <format dxfId="81">
      <pivotArea dataOnly="0" labelOnly="1" outline="0" fieldPosition="0">
        <references count="2">
          <reference field="4" count="1" selected="0">
            <x v="24"/>
          </reference>
          <reference field="10" count="1">
            <x v="1"/>
          </reference>
        </references>
      </pivotArea>
    </format>
    <format dxfId="80">
      <pivotArea dataOnly="0" labelOnly="1" outline="0" fieldPosition="0">
        <references count="2">
          <reference field="4" count="1" selected="0">
            <x v="25"/>
          </reference>
          <reference field="10" count="1">
            <x v="0"/>
          </reference>
        </references>
      </pivotArea>
    </format>
    <format dxfId="79">
      <pivotArea dataOnly="0" labelOnly="1" outline="0" fieldPosition="0">
        <references count="2">
          <reference field="4" count="1" selected="0">
            <x v="26"/>
          </reference>
          <reference field="10" count="1">
            <x v="3"/>
          </reference>
        </references>
      </pivotArea>
    </format>
    <format dxfId="78">
      <pivotArea dataOnly="0" labelOnly="1" outline="0" fieldPosition="0">
        <references count="2">
          <reference field="4" count="1" selected="0">
            <x v="27"/>
          </reference>
          <reference field="10" count="1">
            <x v="4"/>
          </reference>
        </references>
      </pivotArea>
    </format>
    <format dxfId="77">
      <pivotArea dataOnly="0" labelOnly="1" outline="0" fieldPosition="0">
        <references count="2">
          <reference field="4" count="1" selected="0">
            <x v="31"/>
          </reference>
          <reference field="10" count="1">
            <x v="1"/>
          </reference>
        </references>
      </pivotArea>
    </format>
    <format dxfId="76">
      <pivotArea dataOnly="0" labelOnly="1" outline="0" fieldPosition="0">
        <references count="2">
          <reference field="4" count="1" selected="0">
            <x v="32"/>
          </reference>
          <reference field="10" count="1">
            <x v="4"/>
          </reference>
        </references>
      </pivotArea>
    </format>
    <format dxfId="75">
      <pivotArea dataOnly="0" labelOnly="1" outline="0" fieldPosition="0">
        <references count="3">
          <reference field="4" count="1" selected="0">
            <x v="0"/>
          </reference>
          <reference field="8" count="0"/>
          <reference field="10" count="1" selected="0">
            <x v="4"/>
          </reference>
        </references>
      </pivotArea>
    </format>
    <format dxfId="74">
      <pivotArea dataOnly="0" labelOnly="1" outline="0" fieldPosition="0">
        <references count="3">
          <reference field="4" count="1" selected="0">
            <x v="1"/>
          </reference>
          <reference field="8" count="0"/>
          <reference field="10" count="1" selected="0">
            <x v="3"/>
          </reference>
        </references>
      </pivotArea>
    </format>
    <format dxfId="73">
      <pivotArea dataOnly="0" labelOnly="1" outline="0" fieldPosition="0">
        <references count="3">
          <reference field="4" count="1" selected="0">
            <x v="2"/>
          </reference>
          <reference field="8" count="0"/>
          <reference field="10" count="1" selected="0">
            <x v="3"/>
          </reference>
        </references>
      </pivotArea>
    </format>
    <format dxfId="72">
      <pivotArea dataOnly="0" labelOnly="1" outline="0" fieldPosition="0">
        <references count="3">
          <reference field="4" count="1" selected="0">
            <x v="3"/>
          </reference>
          <reference field="8" count="0"/>
          <reference field="10" count="1" selected="0">
            <x v="3"/>
          </reference>
        </references>
      </pivotArea>
    </format>
    <format dxfId="71">
      <pivotArea dataOnly="0" labelOnly="1" outline="0" fieldPosition="0">
        <references count="3">
          <reference field="4" count="1" selected="0">
            <x v="4"/>
          </reference>
          <reference field="8" count="0"/>
          <reference field="10" count="1" selected="0">
            <x v="0"/>
          </reference>
        </references>
      </pivotArea>
    </format>
    <format dxfId="70">
      <pivotArea dataOnly="0" labelOnly="1" outline="0" fieldPosition="0">
        <references count="3">
          <reference field="4" count="1" selected="0">
            <x v="5"/>
          </reference>
          <reference field="8" count="0"/>
          <reference field="10" count="1" selected="0">
            <x v="1"/>
          </reference>
        </references>
      </pivotArea>
    </format>
    <format dxfId="69">
      <pivotArea dataOnly="0" labelOnly="1" outline="0" fieldPosition="0">
        <references count="3">
          <reference field="4" count="1" selected="0">
            <x v="6"/>
          </reference>
          <reference field="8" count="0"/>
          <reference field="10" count="1" selected="0">
            <x v="4"/>
          </reference>
        </references>
      </pivotArea>
    </format>
    <format dxfId="68">
      <pivotArea dataOnly="0" labelOnly="1" outline="0" fieldPosition="0">
        <references count="3">
          <reference field="4" count="1" selected="0">
            <x v="8"/>
          </reference>
          <reference field="8" count="0"/>
          <reference field="10" count="1" selected="0">
            <x v="4"/>
          </reference>
        </references>
      </pivotArea>
    </format>
    <format dxfId="67">
      <pivotArea dataOnly="0" labelOnly="1" outline="0" fieldPosition="0">
        <references count="3">
          <reference field="4" count="1" selected="0">
            <x v="9"/>
          </reference>
          <reference field="8" count="0"/>
          <reference field="10" count="1" selected="0">
            <x v="3"/>
          </reference>
        </references>
      </pivotArea>
    </format>
    <format dxfId="66">
      <pivotArea dataOnly="0" labelOnly="1" outline="0" fieldPosition="0">
        <references count="3">
          <reference field="4" count="1" selected="0">
            <x v="11"/>
          </reference>
          <reference field="8" count="0"/>
          <reference field="10" count="1" selected="0">
            <x v="4"/>
          </reference>
        </references>
      </pivotArea>
    </format>
    <format dxfId="65">
      <pivotArea dataOnly="0" labelOnly="1" outline="0" fieldPosition="0">
        <references count="3">
          <reference field="4" count="1" selected="0">
            <x v="13"/>
          </reference>
          <reference field="8" count="0"/>
          <reference field="10" count="1" selected="0">
            <x v="4"/>
          </reference>
        </references>
      </pivotArea>
    </format>
    <format dxfId="64">
      <pivotArea dataOnly="0" labelOnly="1" outline="0" fieldPosition="0">
        <references count="3">
          <reference field="4" count="1" selected="0">
            <x v="14"/>
          </reference>
          <reference field="8" count="0"/>
          <reference field="10" count="1" selected="0">
            <x v="4"/>
          </reference>
        </references>
      </pivotArea>
    </format>
    <format dxfId="63">
      <pivotArea dataOnly="0" labelOnly="1" outline="0" fieldPosition="0">
        <references count="3">
          <reference field="4" count="1" selected="0">
            <x v="15"/>
          </reference>
          <reference field="8" count="0"/>
          <reference field="10" count="1" selected="0">
            <x v="1"/>
          </reference>
        </references>
      </pivotArea>
    </format>
    <format dxfId="62">
      <pivotArea dataOnly="0" labelOnly="1" outline="0" fieldPosition="0">
        <references count="3">
          <reference field="4" count="1" selected="0">
            <x v="16"/>
          </reference>
          <reference field="8" count="0"/>
          <reference field="10" count="1" selected="0">
            <x v="4"/>
          </reference>
        </references>
      </pivotArea>
    </format>
    <format dxfId="61">
      <pivotArea dataOnly="0" labelOnly="1" outline="0" fieldPosition="0">
        <references count="3">
          <reference field="4" count="1" selected="0">
            <x v="19"/>
          </reference>
          <reference field="8" count="0"/>
          <reference field="10" count="1" selected="0">
            <x v="4"/>
          </reference>
        </references>
      </pivotArea>
    </format>
    <format dxfId="60">
      <pivotArea dataOnly="0" labelOnly="1" outline="0" fieldPosition="0">
        <references count="3">
          <reference field="4" count="1" selected="0">
            <x v="20"/>
          </reference>
          <reference field="8" count="0"/>
          <reference field="10" count="1" selected="0">
            <x v="2"/>
          </reference>
        </references>
      </pivotArea>
    </format>
    <format dxfId="59">
      <pivotArea dataOnly="0" labelOnly="1" outline="0" fieldPosition="0">
        <references count="3">
          <reference field="4" count="1" selected="0">
            <x v="21"/>
          </reference>
          <reference field="8" count="0"/>
          <reference field="10" count="1" selected="0">
            <x v="4"/>
          </reference>
        </references>
      </pivotArea>
    </format>
    <format dxfId="58">
      <pivotArea dataOnly="0" labelOnly="1" outline="0" fieldPosition="0">
        <references count="3">
          <reference field="4" count="1" selected="0">
            <x v="22"/>
          </reference>
          <reference field="8" count="1">
            <x v="0"/>
          </reference>
          <reference field="10" count="1" selected="0">
            <x v="1"/>
          </reference>
        </references>
      </pivotArea>
    </format>
    <format dxfId="57">
      <pivotArea dataOnly="0" labelOnly="1" outline="0" fieldPosition="0">
        <references count="3">
          <reference field="4" count="1" selected="0">
            <x v="24"/>
          </reference>
          <reference field="8" count="1">
            <x v="1"/>
          </reference>
          <reference field="10" count="1" selected="0">
            <x v="1"/>
          </reference>
        </references>
      </pivotArea>
    </format>
    <format dxfId="56">
      <pivotArea dataOnly="0" labelOnly="1" outline="0" fieldPosition="0">
        <references count="3">
          <reference field="4" count="1" selected="0">
            <x v="25"/>
          </reference>
          <reference field="8" count="0"/>
          <reference field="10" count="1" selected="0">
            <x v="0"/>
          </reference>
        </references>
      </pivotArea>
    </format>
    <format dxfId="55">
      <pivotArea dataOnly="0" labelOnly="1" outline="0" fieldPosition="0">
        <references count="3">
          <reference field="4" count="1" selected="0">
            <x v="26"/>
          </reference>
          <reference field="8" count="0"/>
          <reference field="10" count="1" selected="0">
            <x v="3"/>
          </reference>
        </references>
      </pivotArea>
    </format>
    <format dxfId="54">
      <pivotArea dataOnly="0" labelOnly="1" outline="0" fieldPosition="0">
        <references count="3">
          <reference field="4" count="1" selected="0">
            <x v="27"/>
          </reference>
          <reference field="8" count="0"/>
          <reference field="10" count="1" selected="0">
            <x v="4"/>
          </reference>
        </references>
      </pivotArea>
    </format>
    <format dxfId="53">
      <pivotArea dataOnly="0" labelOnly="1" outline="0" fieldPosition="0">
        <references count="3">
          <reference field="4" count="1" selected="0">
            <x v="29"/>
          </reference>
          <reference field="8" count="0"/>
          <reference field="10" count="1" selected="0">
            <x v="4"/>
          </reference>
        </references>
      </pivotArea>
    </format>
    <format dxfId="52">
      <pivotArea dataOnly="0" labelOnly="1" outline="0" fieldPosition="0">
        <references count="3">
          <reference field="4" count="1" selected="0">
            <x v="30"/>
          </reference>
          <reference field="8" count="0"/>
          <reference field="10" count="1" selected="0">
            <x v="4"/>
          </reference>
        </references>
      </pivotArea>
    </format>
    <format dxfId="51">
      <pivotArea dataOnly="0" labelOnly="1" outline="0" fieldPosition="0">
        <references count="3">
          <reference field="4" count="1" selected="0">
            <x v="31"/>
          </reference>
          <reference field="8" count="0"/>
          <reference field="10" count="1" selected="0">
            <x v="1"/>
          </reference>
        </references>
      </pivotArea>
    </format>
    <format dxfId="50">
      <pivotArea dataOnly="0" labelOnly="1" outline="0" fieldPosition="0">
        <references count="3">
          <reference field="4" count="1" selected="0">
            <x v="33"/>
          </reference>
          <reference field="8" count="0"/>
          <reference field="10" count="1" selected="0">
            <x v="4"/>
          </reference>
        </references>
      </pivotArea>
    </format>
    <format dxfId="49">
      <pivotArea dataOnly="0" labelOnly="1" outline="0" fieldPosition="0">
        <references count="1">
          <reference field="11" count="0"/>
        </references>
      </pivotArea>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colGrandTotals="0" itemPrintTitles="1" createdVersion="5" indent="0" compact="0" compactData="0" multipleFieldFilters="0" rowHeaderCaption="User/Y/M" colHeaderCaption="Category">
  <location ref="B295:D302" firstHeaderRow="1" firstDataRow="2" firstDataCol="1" rowPageCount="2" colPageCount="1"/>
  <pivotFields count="15">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5">
        <item x="0"/>
        <item x="3"/>
        <item x="4"/>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
        <item x="0"/>
        <item x="1"/>
        <item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12">
        <item x="10"/>
        <item x="11"/>
        <item x="0"/>
        <item x="1"/>
        <item x="6"/>
        <item x="2"/>
        <item x="3"/>
        <item x="4"/>
        <item x="5"/>
        <item x="8"/>
        <item x="9"/>
        <item x="7"/>
      </items>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1"/>
  </rowFields>
  <rowItems count="6">
    <i>
      <x/>
    </i>
    <i>
      <x v="1"/>
    </i>
    <i>
      <x v="2"/>
    </i>
    <i>
      <x v="3"/>
    </i>
    <i>
      <x v="4"/>
    </i>
    <i t="grand">
      <x/>
    </i>
  </rowItems>
  <colFields count="1">
    <field x="6"/>
  </colFields>
  <colItems count="2">
    <i>
      <x/>
    </i>
    <i>
      <x v="1"/>
    </i>
  </colItems>
  <pageFields count="2">
    <pageField fld="9" hier="-1"/>
    <pageField fld="8" hier="-1"/>
  </pageFields>
  <dataFields count="1">
    <dataField name="Time Spent (h) " fld="11" baseField="0" baseItem="0" numFmtId="166"/>
  </dataFields>
  <formats count="34">
    <format dxfId="175">
      <pivotArea outline="0" collapsedLevelsAreSubtotals="1" fieldPosition="0"/>
    </format>
    <format dxfId="174">
      <pivotArea dataOnly="0" labelOnly="1" grandCol="1" outline="0" fieldPosition="0"/>
    </format>
    <format dxfId="173">
      <pivotArea outline="0" collapsedLevelsAreSubtotals="1" fieldPosition="0">
        <references count="1">
          <reference field="6" count="1" selected="0">
            <x v="1"/>
          </reference>
        </references>
      </pivotArea>
    </format>
    <format dxfId="172">
      <pivotArea type="topRight" dataOnly="0" labelOnly="1" outline="0" fieldPosition="0"/>
    </format>
    <format dxfId="171">
      <pivotArea dataOnly="0" labelOnly="1" outline="0" fieldPosition="0">
        <references count="1">
          <reference field="6" count="1">
            <x v="1"/>
          </reference>
        </references>
      </pivotArea>
    </format>
    <format dxfId="170">
      <pivotArea outline="0" collapsedLevelsAreSubtotals="1" fieldPosition="0">
        <references count="1">
          <reference field="6" count="1" selected="0">
            <x v="0"/>
          </reference>
        </references>
      </pivotArea>
    </format>
    <format dxfId="169">
      <pivotArea dataOnly="0" labelOnly="1" outline="0" fieldPosition="0">
        <references count="1">
          <reference field="6" count="1">
            <x v="0"/>
          </reference>
        </references>
      </pivotArea>
    </format>
    <format dxfId="168">
      <pivotArea field="6" type="button" dataOnly="0" labelOnly="1" outline="0" axis="axisCol" fieldPosition="0"/>
    </format>
    <format dxfId="167">
      <pivotArea grandRow="1" outline="0" collapsedLevelsAreSubtotals="1" fieldPosition="0"/>
    </format>
    <format dxfId="166">
      <pivotArea type="all" dataOnly="0" outline="0" fieldPosition="0"/>
    </format>
    <format dxfId="165">
      <pivotArea outline="0" collapsedLevelsAreSubtotals="1" fieldPosition="0"/>
    </format>
    <format dxfId="164">
      <pivotArea dataOnly="0" labelOnly="1" grandRow="1" outline="0" fieldPosition="0"/>
    </format>
    <format dxfId="163">
      <pivotArea dataOnly="0" labelOnly="1" outline="0" fieldPosition="0">
        <references count="1">
          <reference field="6" count="0"/>
        </references>
      </pivotArea>
    </format>
    <format dxfId="162">
      <pivotArea dataOnly="0" labelOnly="1" grandCol="1" outline="0" fieldPosition="0"/>
    </format>
    <format dxfId="161">
      <pivotArea outline="0" collapsedLevelsAreSubtotals="1" fieldPosition="0"/>
    </format>
    <format dxfId="160">
      <pivotArea grandCol="1" outline="0" collapsedLevelsAreSubtotals="1" fieldPosition="0"/>
    </format>
    <format dxfId="159">
      <pivotArea dataOnly="0" outline="0" fieldPosition="0">
        <references count="1">
          <reference field="1" count="2">
            <x v="3"/>
            <x v="4"/>
          </reference>
        </references>
      </pivotArea>
    </format>
    <format dxfId="158">
      <pivotArea outline="0" collapsedLevelsAreSubtotals="1" fieldPosition="0">
        <references count="1">
          <reference field="1" count="0" selected="0"/>
        </references>
      </pivotArea>
    </format>
    <format dxfId="157">
      <pivotArea dataOnly="0" labelOnly="1" outline="0" fieldPosition="0">
        <references count="1">
          <reference field="1" count="0"/>
        </references>
      </pivotArea>
    </format>
    <format dxfId="156">
      <pivotArea outline="0" collapsedLevelsAreSubtotals="1" fieldPosition="0">
        <references count="1">
          <reference field="1" count="0" selected="0"/>
        </references>
      </pivotArea>
    </format>
    <format dxfId="155">
      <pivotArea dataOnly="0" labelOnly="1" outline="0" fieldPosition="0">
        <references count="1">
          <reference field="1" count="0"/>
        </references>
      </pivotArea>
    </format>
    <format dxfId="154">
      <pivotArea dataOnly="0" labelOnly="1" outline="0" fieldPosition="0">
        <references count="1">
          <reference field="6" count="0"/>
        </references>
      </pivotArea>
    </format>
    <format dxfId="153">
      <pivotArea dataOnly="0" labelOnly="1" grandCol="1" outline="0" fieldPosition="0"/>
    </format>
    <format dxfId="152">
      <pivotArea outline="0" collapsedLevelsAreSubtotals="1" fieldPosition="0">
        <references count="1">
          <reference field="1" count="0" selected="0"/>
        </references>
      </pivotArea>
    </format>
    <format dxfId="151">
      <pivotArea field="1" type="button" dataOnly="0" labelOnly="1" outline="0" axis="axisRow" fieldPosition="0"/>
    </format>
    <format dxfId="150">
      <pivotArea dataOnly="0" labelOnly="1" outline="0" fieldPosition="0">
        <references count="1">
          <reference field="1" count="0"/>
        </references>
      </pivotArea>
    </format>
    <format dxfId="149">
      <pivotArea dataOnly="0" labelOnly="1" outline="0" fieldPosition="0">
        <references count="1">
          <reference field="6" count="0"/>
        </references>
      </pivotArea>
    </format>
    <format dxfId="148">
      <pivotArea dataOnly="0" labelOnly="1" grandCol="1" outline="0" fieldPosition="0"/>
    </format>
    <format dxfId="147">
      <pivotArea type="all" dataOnly="0" outline="0" fieldPosition="0"/>
    </format>
    <format dxfId="146">
      <pivotArea outline="0" collapsedLevelsAreSubtotals="1" fieldPosition="0"/>
    </format>
    <format dxfId="145">
      <pivotArea dataOnly="0" labelOnly="1" outline="0" fieldPosition="0">
        <references count="1">
          <reference field="1" count="0"/>
        </references>
      </pivotArea>
    </format>
    <format dxfId="144">
      <pivotArea dataOnly="0" labelOnly="1" grandRow="1" outline="0" fieldPosition="0"/>
    </format>
    <format dxfId="143">
      <pivotArea dataOnly="0" labelOnly="1" outline="0" fieldPosition="0">
        <references count="1">
          <reference field="6" count="0"/>
        </references>
      </pivotArea>
    </format>
    <format dxfId="142">
      <pivotArea dataOnly="0" labelOnly="1" grandCol="1" outline="0"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DailyPivot1" cacheId="2" applyNumberFormats="0" applyBorderFormats="0" applyFontFormats="0" applyPatternFormats="0" applyAlignmentFormats="0" applyWidthHeightFormats="1" dataCaption="Values" updatedVersion="6" minRefreshableVersion="3" itemPrintTitles="1" createdVersion="5" indent="0" compact="0" compactData="0" multipleFieldFilters="0" rowHeaderCaption="User/Y/M" colHeaderCaption="Category">
  <location ref="A3:M8" firstHeaderRow="1" firstDataRow="2" firstDataCol="3" rowPageCount="1" colPageCount="1"/>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76">
        <item h="1" m="1" x="35"/>
        <item m="1" x="24"/>
        <item x="0"/>
        <item m="1" x="21"/>
        <item m="1" x="72"/>
        <item h="1" m="1" x="53"/>
        <item m="1" x="4"/>
        <item h="1" m="1" x="18"/>
        <item h="1" m="1" x="33"/>
        <item m="1" x="40"/>
        <item h="1" m="1" x="6"/>
        <item m="1" x="9"/>
        <item h="1" m="1" x="57"/>
        <item m="1" x="47"/>
        <item m="1" x="71"/>
        <item h="1" m="1" x="68"/>
        <item m="1" x="63"/>
        <item m="1" x="48"/>
        <item h="1" m="1" x="20"/>
        <item h="1" m="1" x="49"/>
        <item m="1" x="75"/>
        <item h="1" m="1" x="69"/>
        <item m="1" x="58"/>
        <item m="1" x="8"/>
        <item h="1" m="1" x="38"/>
        <item h="1" m="1" x="55"/>
        <item h="1" m="1" x="51"/>
        <item m="1" x="36"/>
        <item h="1" m="1" x="3"/>
        <item h="1" m="1" x="59"/>
        <item h="1" m="1" x="5"/>
        <item m="1" x="28"/>
        <item m="1" x="43"/>
        <item h="1" m="1" x="44"/>
        <item x="1"/>
        <item h="1" m="1" x="25"/>
        <item h="1" m="1" x="12"/>
        <item h="1" m="1" x="39"/>
        <item h="1" m="1" x="16"/>
        <item h="1" m="1" x="26"/>
        <item h="1" m="1" x="29"/>
        <item h="1" m="1" x="73"/>
        <item h="1" m="1" x="22"/>
        <item h="1" m="1" x="60"/>
        <item h="1" m="1" x="13"/>
        <item h="1" m="1" x="37"/>
        <item h="1" m="1" x="67"/>
        <item h="1" m="1" x="19"/>
        <item h="1" m="1" x="54"/>
        <item h="1" m="1" x="11"/>
        <item h="1" m="1" x="32"/>
        <item h="1" m="1" x="66"/>
        <item h="1" m="1" x="17"/>
        <item h="1" m="1" x="52"/>
        <item h="1" m="1" x="7"/>
        <item h="1" m="1" x="27"/>
        <item h="1" m="1" x="62"/>
        <item h="1" m="1" x="14"/>
        <item h="1" m="1" x="45"/>
        <item h="1" m="1" x="31"/>
        <item h="1" m="1" x="42"/>
        <item h="1" m="1" x="74"/>
        <item h="1" m="1" x="70"/>
        <item h="1" m="1" x="56"/>
        <item h="1" m="1" x="34"/>
        <item h="1" m="1" x="15"/>
        <item h="1" m="1" x="30"/>
        <item h="1" m="1" x="61"/>
        <item h="1" m="1" x="65"/>
        <item h="1" m="1" x="64"/>
        <item h="1" m="1" x="50"/>
        <item h="1" m="1" x="2"/>
        <item h="1" m="1" x="41"/>
        <item h="1" m="1" x="10"/>
        <item h="1" m="1" x="46"/>
        <item h="1" m="1"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3"/>
        <item x="0"/>
        <item x="2"/>
        <item x="1"/>
      </items>
      <extLst>
        <ext xmlns:x14="http://schemas.microsoft.com/office/spreadsheetml/2009/9/main" uri="{2946ED86-A175-432a-8AC1-64E0C546D7DE}">
          <x14:pivotField fillDownLabels="1"/>
        </ext>
      </extLst>
    </pivotField>
    <pivotField axis="axisRow" compact="0" outline="0" showAll="0" defaultSubtotal="0">
      <items count="4">
        <item m="1" x="3"/>
        <item x="0"/>
        <item x="2"/>
        <item x="1"/>
      </items>
      <extLst>
        <ext xmlns:x14="http://schemas.microsoft.com/office/spreadsheetml/2009/9/main" uri="{2946ED86-A175-432a-8AC1-64E0C546D7DE}">
          <x14:pivotField fillDownLabels="1"/>
        </ext>
      </extLst>
    </pivotField>
    <pivotField axis="axisCol" compact="0" outline="0" showAll="0" sortType="ascending" defaultSubtotal="0">
      <items count="34">
        <item m="1" x="11"/>
        <item m="1" x="23"/>
        <item x="8"/>
        <item m="1" x="24"/>
        <item m="1" x="33"/>
        <item m="1" x="12"/>
        <item m="1" x="15"/>
        <item m="1" x="19"/>
        <item m="1" x="25"/>
        <item x="2"/>
        <item m="1" x="27"/>
        <item m="1" x="30"/>
        <item x="3"/>
        <item x="0"/>
        <item m="1" x="13"/>
        <item m="1" x="14"/>
        <item m="1" x="16"/>
        <item x="4"/>
        <item m="1" x="17"/>
        <item m="1" x="18"/>
        <item m="1" x="20"/>
        <item m="1" x="21"/>
        <item m="1" x="22"/>
        <item x="1"/>
        <item x="5"/>
        <item m="1" x="26"/>
        <item x="6"/>
        <item x="7"/>
        <item m="1" x="28"/>
        <item m="1" x="29"/>
        <item m="1" x="31"/>
        <item m="1" x="32"/>
        <item x="9"/>
        <item x="10"/>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4">
        <item x="0"/>
        <item x="1"/>
        <item h="1" x="3"/>
        <item h="1" x="2"/>
      </items>
      <extLst>
        <ext xmlns:x14="http://schemas.microsoft.com/office/spreadsheetml/2009/9/main" uri="{2946ED86-A175-432a-8AC1-64E0C546D7DE}">
          <x14:pivotField fillDownLabels="1"/>
        </ext>
      </extLst>
    </pivotField>
  </pivotFields>
  <rowFields count="3">
    <field x="8"/>
    <field x="7"/>
    <field x="11"/>
  </rowFields>
  <rowItems count="4">
    <i>
      <x v="1"/>
      <x v="1"/>
      <x/>
    </i>
    <i r="2">
      <x v="1"/>
    </i>
    <i r="1">
      <x v="3"/>
      <x/>
    </i>
    <i t="grand">
      <x/>
    </i>
  </rowItems>
  <colFields count="1">
    <field x="9"/>
  </colFields>
  <colItems count="10">
    <i>
      <x v="2"/>
    </i>
    <i>
      <x v="9"/>
    </i>
    <i>
      <x v="12"/>
    </i>
    <i>
      <x v="13"/>
    </i>
    <i>
      <x v="17"/>
    </i>
    <i>
      <x v="23"/>
    </i>
    <i>
      <x v="24"/>
    </i>
    <i>
      <x v="26"/>
    </i>
    <i>
      <x v="27"/>
    </i>
    <i t="grand">
      <x/>
    </i>
  </colItems>
  <pageFields count="1">
    <pageField fld="4" hier="-1"/>
  </pageFields>
  <dataFields count="1">
    <dataField name="Sum of Time Spent" fld="5" baseField="11" baseItem="1"/>
  </dataFields>
  <formats count="39">
    <format dxfId="48">
      <pivotArea outline="0" collapsedLevelsAreSubtotals="1" fieldPosition="0"/>
    </format>
    <format dxfId="47">
      <pivotArea dataOnly="0" labelOnly="1" grandCol="1" outline="0" fieldPosition="0"/>
    </format>
    <format dxfId="46">
      <pivotArea type="topRight" dataOnly="0" labelOnly="1" outline="0" fieldPosition="0"/>
    </format>
    <format dxfId="45">
      <pivotArea field="11" type="button" dataOnly="0" labelOnly="1" outline="0" axis="axisRow" fieldPosition="2"/>
    </format>
    <format dxfId="44">
      <pivotArea type="all" dataOnly="0" outline="0" fieldPosition="0"/>
    </format>
    <format dxfId="43">
      <pivotArea outline="0" collapsedLevelsAreSubtotals="1" fieldPosition="0"/>
    </format>
    <format dxfId="42">
      <pivotArea dataOnly="0" labelOnly="1" outline="0" fieldPosition="0">
        <references count="1">
          <reference field="4" count="0"/>
        </references>
      </pivotArea>
    </format>
    <format dxfId="41">
      <pivotArea dataOnly="0" labelOnly="1" grandRow="1" outline="0" fieldPosition="0"/>
    </format>
    <format dxfId="40">
      <pivotArea dataOnly="0" labelOnly="1" outline="0" fieldPosition="0">
        <references count="2">
          <reference field="4" count="1" selected="0">
            <x v="0"/>
          </reference>
          <reference field="8" count="0"/>
        </references>
      </pivotArea>
    </format>
    <format dxfId="39">
      <pivotArea dataOnly="0" labelOnly="1" outline="0" fieldPosition="0">
        <references count="2">
          <reference field="4" count="1" selected="0">
            <x v="1"/>
          </reference>
          <reference field="8" count="0"/>
        </references>
      </pivotArea>
    </format>
    <format dxfId="38">
      <pivotArea dataOnly="0" labelOnly="1" outline="0" fieldPosition="0">
        <references count="2">
          <reference field="4" count="1" selected="0">
            <x v="2"/>
          </reference>
          <reference field="8" count="0"/>
        </references>
      </pivotArea>
    </format>
    <format dxfId="37">
      <pivotArea dataOnly="0" labelOnly="1" outline="0" fieldPosition="0">
        <references count="2">
          <reference field="4" count="1" selected="0">
            <x v="3"/>
          </reference>
          <reference field="8" count="0"/>
        </references>
      </pivotArea>
    </format>
    <format dxfId="36">
      <pivotArea dataOnly="0" labelOnly="1" outline="0" fieldPosition="0">
        <references count="2">
          <reference field="4" count="1" selected="0">
            <x v="4"/>
          </reference>
          <reference field="8" count="0"/>
        </references>
      </pivotArea>
    </format>
    <format dxfId="35">
      <pivotArea dataOnly="0" labelOnly="1" outline="0" fieldPosition="0">
        <references count="2">
          <reference field="4" count="1" selected="0">
            <x v="6"/>
          </reference>
          <reference field="8" count="0"/>
        </references>
      </pivotArea>
    </format>
    <format dxfId="34">
      <pivotArea dataOnly="0" labelOnly="1" outline="0" fieldPosition="0">
        <references count="2">
          <reference field="4" count="1" selected="0">
            <x v="8"/>
          </reference>
          <reference field="8" count="0"/>
        </references>
      </pivotArea>
    </format>
    <format dxfId="33">
      <pivotArea dataOnly="0" labelOnly="1" outline="0" fieldPosition="0">
        <references count="2">
          <reference field="4" count="1" selected="0">
            <x v="9"/>
          </reference>
          <reference field="8" count="0"/>
        </references>
      </pivotArea>
    </format>
    <format dxfId="32">
      <pivotArea dataOnly="0" labelOnly="1" outline="0" fieldPosition="0">
        <references count="2">
          <reference field="4" count="1" selected="0">
            <x v="11"/>
          </reference>
          <reference field="8" count="0"/>
        </references>
      </pivotArea>
    </format>
    <format dxfId="31">
      <pivotArea dataOnly="0" labelOnly="1" outline="0" fieldPosition="0">
        <references count="2">
          <reference field="4" count="1" selected="0">
            <x v="13"/>
          </reference>
          <reference field="8" count="0"/>
        </references>
      </pivotArea>
    </format>
    <format dxfId="30">
      <pivotArea dataOnly="0" labelOnly="1" outline="0" fieldPosition="0">
        <references count="2">
          <reference field="4" count="1" selected="0">
            <x v="14"/>
          </reference>
          <reference field="8" count="0"/>
        </references>
      </pivotArea>
    </format>
    <format dxfId="29">
      <pivotArea dataOnly="0" labelOnly="1" outline="0" fieldPosition="0">
        <references count="2">
          <reference field="4" count="1" selected="0">
            <x v="15"/>
          </reference>
          <reference field="8" count="0"/>
        </references>
      </pivotArea>
    </format>
    <format dxfId="28">
      <pivotArea dataOnly="0" labelOnly="1" outline="0" fieldPosition="0">
        <references count="2">
          <reference field="4" count="1" selected="0">
            <x v="16"/>
          </reference>
          <reference field="8" count="0"/>
        </references>
      </pivotArea>
    </format>
    <format dxfId="27">
      <pivotArea dataOnly="0" labelOnly="1" outline="0" fieldPosition="0">
        <references count="2">
          <reference field="4" count="1" selected="0">
            <x v="19"/>
          </reference>
          <reference field="8" count="0"/>
        </references>
      </pivotArea>
    </format>
    <format dxfId="26">
      <pivotArea dataOnly="0" labelOnly="1" outline="0" fieldPosition="0">
        <references count="2">
          <reference field="4" count="1" selected="0">
            <x v="20"/>
          </reference>
          <reference field="8" count="0"/>
        </references>
      </pivotArea>
    </format>
    <format dxfId="25">
      <pivotArea dataOnly="0" labelOnly="1" outline="0" fieldPosition="0">
        <references count="2">
          <reference field="4" count="1" selected="0">
            <x v="21"/>
          </reference>
          <reference field="8" count="0"/>
        </references>
      </pivotArea>
    </format>
    <format dxfId="24">
      <pivotArea dataOnly="0" labelOnly="1" outline="0" fieldPosition="0">
        <references count="2">
          <reference field="4" count="1" selected="0">
            <x v="22"/>
          </reference>
          <reference field="8" count="1">
            <x v="0"/>
          </reference>
        </references>
      </pivotArea>
    </format>
    <format dxfId="23">
      <pivotArea dataOnly="0" labelOnly="1" outline="0" fieldPosition="0">
        <references count="2">
          <reference field="4" count="1" selected="0">
            <x v="24"/>
          </reference>
          <reference field="8" count="1">
            <x v="1"/>
          </reference>
        </references>
      </pivotArea>
    </format>
    <format dxfId="22">
      <pivotArea dataOnly="0" labelOnly="1" outline="0" fieldPosition="0">
        <references count="2">
          <reference field="4" count="1" selected="0">
            <x v="25"/>
          </reference>
          <reference field="8" count="0"/>
        </references>
      </pivotArea>
    </format>
    <format dxfId="21">
      <pivotArea dataOnly="0" labelOnly="1" outline="0" fieldPosition="0">
        <references count="2">
          <reference field="4" count="1" selected="0">
            <x v="27"/>
          </reference>
          <reference field="8" count="0"/>
        </references>
      </pivotArea>
    </format>
    <format dxfId="20">
      <pivotArea dataOnly="0" labelOnly="1" outline="0" fieldPosition="0">
        <references count="2">
          <reference field="4" count="1" selected="0">
            <x v="29"/>
          </reference>
          <reference field="8" count="0"/>
        </references>
      </pivotArea>
    </format>
    <format dxfId="19">
      <pivotArea dataOnly="0" labelOnly="1" outline="0" fieldPosition="0">
        <references count="2">
          <reference field="4" count="1" selected="0">
            <x v="30"/>
          </reference>
          <reference field="8" count="0"/>
        </references>
      </pivotArea>
    </format>
    <format dxfId="18">
      <pivotArea dataOnly="0" labelOnly="1" outline="0" fieldPosition="0">
        <references count="2">
          <reference field="4" count="1" selected="0">
            <x v="31"/>
          </reference>
          <reference field="8" count="0"/>
        </references>
      </pivotArea>
    </format>
    <format dxfId="17">
      <pivotArea dataOnly="0" labelOnly="1" grandCol="1" outline="0" fieldPosition="0"/>
    </format>
    <format dxfId="16">
      <pivotArea grandRow="1" outline="0" collapsedLevelsAreSubtotals="1" fieldPosition="0"/>
    </format>
    <format dxfId="15">
      <pivotArea grandRow="1" outline="0" collapsedLevelsAreSubtotals="1" fieldPosition="0"/>
    </format>
    <format dxfId="14">
      <pivotArea type="all" dataOnly="0" outline="0" fieldPosition="0"/>
    </format>
    <format dxfId="13">
      <pivotArea dataOnly="0" labelOnly="1" outline="0" fieldPosition="0">
        <references count="1">
          <reference field="4" count="0"/>
        </references>
      </pivotArea>
    </format>
    <format dxfId="12">
      <pivotArea grandRow="1" outline="0" collapsedLevelsAreSubtotals="1" fieldPosition="0"/>
    </format>
    <format dxfId="11">
      <pivotArea dataOnly="0" labelOnly="1" grandRow="1" outline="0" fieldPosition="0"/>
    </format>
    <format dxfId="10">
      <pivotArea type="all" dataOnly="0" outline="0" fieldPosition="0"/>
    </format>
  </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3"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C31" firstHeaderRow="1" firstDataRow="1" firstDataCol="2"/>
  <pivotFields count="15">
    <pivotField axis="axisRow"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s>
  <rowFields count="2">
    <field x="0"/>
    <field x="2"/>
  </rowFields>
  <rowItems count="28">
    <i>
      <x/>
      <x/>
    </i>
    <i>
      <x v="1"/>
      <x/>
    </i>
    <i>
      <x v="2"/>
      <x/>
    </i>
    <i>
      <x v="3"/>
      <x/>
    </i>
    <i>
      <x v="4"/>
      <x/>
    </i>
    <i>
      <x v="5"/>
      <x/>
    </i>
    <i>
      <x v="6"/>
      <x/>
    </i>
    <i>
      <x v="7"/>
      <x/>
    </i>
    <i r="1">
      <x v="1"/>
    </i>
    <i>
      <x v="8"/>
      <x/>
    </i>
    <i>
      <x v="9"/>
      <x/>
    </i>
    <i>
      <x v="10"/>
      <x/>
    </i>
    <i>
      <x v="11"/>
      <x/>
    </i>
    <i>
      <x v="12"/>
      <x/>
    </i>
    <i>
      <x v="13"/>
      <x/>
    </i>
    <i>
      <x v="14"/>
      <x/>
    </i>
    <i>
      <x v="15"/>
      <x/>
    </i>
    <i>
      <x v="16"/>
      <x/>
    </i>
    <i>
      <x v="17"/>
      <x/>
    </i>
    <i>
      <x v="18"/>
      <x/>
    </i>
    <i>
      <x v="19"/>
      <x/>
    </i>
    <i>
      <x v="20"/>
      <x/>
    </i>
    <i>
      <x v="21"/>
      <x/>
    </i>
    <i>
      <x v="22"/>
      <x/>
    </i>
    <i>
      <x v="23"/>
      <x/>
    </i>
    <i>
      <x v="24"/>
      <x/>
    </i>
    <i>
      <x v="25"/>
      <x/>
    </i>
    <i t="grand">
      <x/>
    </i>
  </rowItems>
  <colItems count="1">
    <i/>
  </colItems>
  <dataFields count="1">
    <dataField name="Sum of Total"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timesheet_2" growShrinkType="overwriteClear" adjustColumnWidth="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timesheet_1" growShrinkType="overwriteClear" adjustColumnWidth="0" connectionId="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timesheet_5" growShrinkType="overwriteClear" adjustColumnWidth="0" connectionId="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timesheet_4" growShrinkType="overwriteClear" adjustColumnWidth="0" connectionId="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imesheet_3" growShrinkType="overwriteClear" adjustColumnWidth="0" connectionId="3" autoFormatId="16" applyNumberFormats="0" applyBorderFormats="0" applyFontFormats="1" applyPatternFormats="1" applyAlignmentFormats="0" applyWidthHeightFormats="0"/>
</file>

<file path=xl/tables/table1.xml><?xml version="1.0" encoding="utf-8"?>
<table xmlns="http://schemas.openxmlformats.org/spreadsheetml/2006/main" id="2" name="表2" displayName="表2" ref="A1:D13" totalsRowShown="0" headerRowDxfId="9" dataDxfId="8">
  <autoFilter ref="A1:D13"/>
  <tableColumns count="4">
    <tableColumn id="1" name="列1" dataDxfId="7"/>
    <tableColumn id="2" name="Working days" dataDxfId="6"/>
    <tableColumn id="3" name="Hours" dataDxfId="5"/>
    <tableColumn id="4" name="Total hours" dataDxfId="4">
      <calculatedColumnFormula>B2*C2</calculatedColumnFormula>
    </tableColumn>
  </tableColumns>
  <tableStyleInfo name="TableStyleMedium13" showFirstColumn="0" showLastColumn="0" showRowStripes="1" showColumnStripes="0"/>
</table>
</file>

<file path=xl/tables/table2.xml><?xml version="1.0" encoding="utf-8"?>
<table xmlns="http://schemas.openxmlformats.org/spreadsheetml/2006/main" id="3" name="表3" displayName="表3" ref="A18:B28" totalsRowShown="0">
  <autoFilter ref="A18:B28"/>
  <tableColumns count="2">
    <tableColumn id="1" name="Type"/>
    <tableColumn id="2" name="Category"/>
  </tableColumns>
  <tableStyleInfo name="TableStyleMedium13" showFirstColumn="0" showLastColumn="0" showRowStripes="1" showColumnStripes="0"/>
</table>
</file>

<file path=xl/tables/table3.xml><?xml version="1.0" encoding="utf-8"?>
<table xmlns="http://schemas.openxmlformats.org/spreadsheetml/2006/main" id="4" name="表4" displayName="表4" ref="A31:B37" totalsRowShown="0" headerRowDxfId="3">
  <autoFilter ref="A31:B37"/>
  <tableColumns count="2">
    <tableColumn id="1" name="Team" dataDxfId="2"/>
    <tableColumn id="2" name="Percentage" dataDxfId="1"/>
  </tableColumns>
  <tableStyleInfo name="TableStyleMedium13" showFirstColumn="0" showLastColumn="0" showRowStripes="1" showColumnStripes="0"/>
</table>
</file>

<file path=xl/tables/table4.xml><?xml version="1.0" encoding="utf-8"?>
<table xmlns="http://schemas.openxmlformats.org/spreadsheetml/2006/main" id="1" name="表1" displayName="表1" ref="A1:E40" totalsRowShown="0">
  <autoFilter ref="A1:E40"/>
  <tableColumns count="5">
    <tableColumn id="1" name="User"/>
    <tableColumn id="2" name="Team Leader"/>
    <tableColumn id="3" name="Department"/>
    <tableColumn id="4" name="%">
      <calculatedColumnFormula>VLOOKUP(C2, 'time target'!$A$32:$B$37, 2, FALSE)</calculatedColumnFormula>
    </tableColumn>
    <tableColumn id="5" name="Start Date" dataDxfId="0"/>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E18"/>
  <sheetViews>
    <sheetView tabSelected="1" zoomScaleNormal="100" workbookViewId="0">
      <pane xSplit="21" ySplit="42" topLeftCell="V43" activePane="bottomRight" state="frozen"/>
      <selection pane="topRight" activeCell="V1" sqref="V1"/>
      <selection pane="bottomLeft" activeCell="A41" sqref="A41"/>
      <selection pane="bottomRight" activeCell="K16" sqref="K16"/>
    </sheetView>
  </sheetViews>
  <sheetFormatPr defaultRowHeight="15"/>
  <cols>
    <col min="1" max="2" width="9.140625" style="80"/>
    <col min="3" max="3" width="18.5703125" style="80" bestFit="1" customWidth="1"/>
    <col min="4" max="4" width="48.140625" style="80" customWidth="1"/>
    <col min="5" max="16384" width="9.140625" style="80"/>
  </cols>
  <sheetData>
    <row r="2" spans="2:5">
      <c r="B2" s="81"/>
      <c r="C2" s="82"/>
      <c r="D2" s="82"/>
      <c r="E2" s="83"/>
    </row>
    <row r="3" spans="2:5" ht="20.25" thickBot="1">
      <c r="B3" s="84"/>
      <c r="C3" s="112" t="s">
        <v>132</v>
      </c>
      <c r="D3" s="112"/>
      <c r="E3" s="85"/>
    </row>
    <row r="4" spans="2:5" ht="15.75" thickTop="1">
      <c r="B4" s="84"/>
      <c r="C4" s="86"/>
      <c r="D4" s="86"/>
      <c r="E4" s="85"/>
    </row>
    <row r="5" spans="2:5" ht="21">
      <c r="B5" s="84"/>
      <c r="C5" s="92" t="s">
        <v>138</v>
      </c>
      <c r="D5" s="93" t="s">
        <v>146</v>
      </c>
      <c r="E5" s="85"/>
    </row>
    <row r="6" spans="2:5" ht="21">
      <c r="B6" s="84"/>
      <c r="C6" s="92"/>
      <c r="D6" s="91"/>
      <c r="E6" s="85"/>
    </row>
    <row r="7" spans="2:5" ht="21">
      <c r="B7" s="84"/>
      <c r="C7" s="92" t="s">
        <v>133</v>
      </c>
      <c r="D7" s="102">
        <v>42491</v>
      </c>
      <c r="E7" s="85"/>
    </row>
    <row r="8" spans="2:5" ht="21">
      <c r="B8" s="84"/>
      <c r="C8" s="92"/>
      <c r="D8" s="108" t="s">
        <v>145</v>
      </c>
      <c r="E8" s="109">
        <f ca="1">(D9-D7)*IF(OR(D5="",LOWER(D5)="all"),30,(1+LEN(D5)-LEN(SUBSTITUTE(D5,",",))))</f>
        <v>33</v>
      </c>
    </row>
    <row r="9" spans="2:5" ht="21">
      <c r="B9" s="84"/>
      <c r="C9" s="92" t="s">
        <v>134</v>
      </c>
      <c r="D9" s="102">
        <f ca="1">TODAY()</f>
        <v>42524</v>
      </c>
      <c r="E9" s="85"/>
    </row>
    <row r="10" spans="2:5" ht="21">
      <c r="B10" s="84"/>
      <c r="C10" s="86"/>
      <c r="D10" s="87"/>
      <c r="E10" s="85"/>
    </row>
    <row r="11" spans="2:5" ht="26.25">
      <c r="B11" s="84"/>
      <c r="C11" s="110" t="s">
        <v>131</v>
      </c>
      <c r="D11" s="110"/>
      <c r="E11" s="85"/>
    </row>
    <row r="12" spans="2:5" ht="21.75" customHeight="1">
      <c r="B12" s="84"/>
      <c r="C12" s="107" t="s">
        <v>144</v>
      </c>
      <c r="D12" s="103"/>
      <c r="E12" s="85"/>
    </row>
    <row r="13" spans="2:5" ht="17.25" customHeight="1">
      <c r="B13" s="84"/>
      <c r="C13" s="103"/>
      <c r="D13" s="103"/>
      <c r="E13" s="85"/>
    </row>
    <row r="14" spans="2:5">
      <c r="B14" s="84"/>
      <c r="C14" s="86"/>
      <c r="D14" s="86"/>
      <c r="E14" s="85"/>
    </row>
    <row r="15" spans="2:5" ht="63" customHeight="1">
      <c r="B15" s="84"/>
      <c r="C15" s="111" t="s">
        <v>147</v>
      </c>
      <c r="D15" s="111"/>
      <c r="E15" s="85"/>
    </row>
    <row r="16" spans="2:5">
      <c r="B16" s="84"/>
      <c r="C16" s="86"/>
      <c r="D16" s="86"/>
      <c r="E16" s="85"/>
    </row>
    <row r="17" spans="2:5" ht="15.75" thickBot="1">
      <c r="B17" s="88"/>
      <c r="C17" s="89"/>
      <c r="D17" s="89"/>
      <c r="E17" s="90"/>
    </row>
    <row r="18" spans="2:5" ht="15.75" thickTop="1"/>
  </sheetData>
  <mergeCells count="3">
    <mergeCell ref="C11:D11"/>
    <mergeCell ref="C15:D15"/>
    <mergeCell ref="C3:D3"/>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30" r:id="rId4" name="Button 14">
              <controlPr defaultSize="0" print="0" autoFill="0" autoPict="0" macro="[0]!ThisWorkbook.ImportData">
                <anchor moveWithCells="1" sizeWithCells="1">
                  <from>
                    <xdr:col>2</xdr:col>
                    <xdr:colOff>0</xdr:colOff>
                    <xdr:row>9</xdr:row>
                    <xdr:rowOff>257175</xdr:rowOff>
                  </from>
                  <to>
                    <xdr:col>4</xdr:col>
                    <xdr:colOff>9525</xdr:colOff>
                    <xdr:row>10</xdr:row>
                    <xdr:rowOff>314325</xdr:rowOff>
                  </to>
                </anchor>
              </controlPr>
            </control>
          </mc:Choice>
        </mc:AlternateContent>
        <mc:AlternateContent xmlns:mc="http://schemas.openxmlformats.org/markup-compatibility/2006">
          <mc:Choice Requires="x14">
            <control shapeId="9259" r:id="rId5" name="Button 43">
              <controlPr defaultSize="0" print="0" autoFill="0" autoPict="0" macro="[0]!ThisWorkbook.testImport">
                <anchor moveWithCells="1" sizeWithCells="1">
                  <from>
                    <xdr:col>2</xdr:col>
                    <xdr:colOff>0</xdr:colOff>
                    <xdr:row>12</xdr:row>
                    <xdr:rowOff>0</xdr:rowOff>
                  </from>
                  <to>
                    <xdr:col>2</xdr:col>
                    <xdr:colOff>1228725</xdr:colOff>
                    <xdr:row>12</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0ADF8C3D-FC5C-48CA-9BAE-041992DBE827}">
            <x14:iconSet iconSet="3Symbols2" custom="1">
              <x14:cfvo type="percent">
                <xm:f>0</xm:f>
              </x14:cfvo>
              <x14:cfvo type="num">
                <xm:f>30</xm:f>
              </x14:cfvo>
              <x14:cfvo type="num">
                <xm:f>90</xm:f>
              </x14:cfvo>
              <x14:cfIcon iconSet="3Symbols2" iconId="2"/>
              <x14:cfIcon iconSet="3Symbols2" iconId="1"/>
              <x14:cfIcon iconSet="3Symbols2" iconId="0"/>
            </x14:iconSet>
          </x14:cfRule>
          <xm:sqref>E8</xm:sqref>
        </x14:conditionalFormatting>
      </x14:conditionalFormattings>
    </ext>
    <ext xmlns:x14="http://schemas.microsoft.com/office/spreadsheetml/2009/9/main" uri="{CCE6A557-97BC-4b89-ADB6-D9C93CAAB3DF}">
      <x14:dataValidations xmlns:xm="http://schemas.microsoft.com/office/excel/2006/main" xWindow="583" yWindow="342" count="1">
        <x14:dataValidation type="list" showInputMessage="1" prompt="E.g. _x000a__x000a_Allen &lt;-- Your JIRA login account_x000a__x000a_&quot;Candy Gan&quot; &lt;-- Name with space_x000a__x000a_&quot;Candy Gan&quot;,Allen &lt;-- Multiple names_x000a__x000a_all &lt;-- Time comsuming, everybody">
          <x14:formula1>
            <xm:f>'IT Structure'!$A:$A</xm:f>
          </x14:formula1>
          <xm:sqref>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B2:M546"/>
  <sheetViews>
    <sheetView showGridLines="0" zoomScale="85" zoomScaleNormal="85" workbookViewId="0">
      <selection activeCell="E16" sqref="E16"/>
    </sheetView>
  </sheetViews>
  <sheetFormatPr defaultColWidth="9.140625" defaultRowHeight="15" outlineLevelRow="1"/>
  <cols>
    <col min="1" max="1" width="1.85546875" style="10" customWidth="1"/>
    <col min="2" max="2" width="19" style="10" customWidth="1"/>
    <col min="3" max="3" width="16.5703125" style="9" customWidth="1"/>
    <col min="4" max="4" width="14" style="9" customWidth="1"/>
    <col min="5" max="5" width="13.140625" style="9" customWidth="1"/>
    <col min="6" max="6" width="13.85546875" style="9" customWidth="1"/>
    <col min="7" max="7" width="15.140625" style="9" customWidth="1"/>
    <col min="8" max="8" width="15.7109375" style="9" customWidth="1"/>
    <col min="9" max="9" width="22.140625" style="9" customWidth="1"/>
    <col min="10" max="10" width="21.28515625" style="9" customWidth="1"/>
    <col min="11" max="11" width="23.5703125" style="9" customWidth="1"/>
    <col min="12" max="13" width="20.7109375" style="9" customWidth="1"/>
    <col min="14" max="16384" width="9.140625" style="10"/>
  </cols>
  <sheetData>
    <row r="2" spans="2:13" ht="18.75">
      <c r="B2" s="8" t="s">
        <v>70</v>
      </c>
    </row>
    <row r="3" spans="2:13">
      <c r="B3" s="10" t="s">
        <v>93</v>
      </c>
    </row>
    <row r="6" spans="2:13">
      <c r="B6" s="18" t="s">
        <v>139</v>
      </c>
      <c r="C6" s="54"/>
      <c r="D6" s="54"/>
      <c r="E6" s="54"/>
      <c r="F6" s="58" t="s">
        <v>36</v>
      </c>
      <c r="G6" s="65"/>
      <c r="H6" s="19"/>
      <c r="I6" s="19"/>
      <c r="J6" s="59"/>
      <c r="K6" s="59"/>
      <c r="L6" s="60"/>
      <c r="M6" s="10"/>
    </row>
    <row r="7" spans="2:13">
      <c r="B7" s="20" t="s">
        <v>5</v>
      </c>
      <c r="C7" s="56" t="s">
        <v>82</v>
      </c>
      <c r="D7" s="56" t="s">
        <v>52</v>
      </c>
      <c r="E7" s="56" t="s">
        <v>37</v>
      </c>
      <c r="F7" s="46" t="s">
        <v>50</v>
      </c>
      <c r="G7" s="71" t="s">
        <v>56</v>
      </c>
      <c r="H7" s="6" t="s">
        <v>71</v>
      </c>
      <c r="I7" s="6" t="s">
        <v>72</v>
      </c>
      <c r="J7" s="49" t="s">
        <v>73</v>
      </c>
      <c r="K7" s="49" t="s">
        <v>74</v>
      </c>
      <c r="L7" s="61" t="s">
        <v>75</v>
      </c>
      <c r="M7" s="10"/>
    </row>
    <row r="8" spans="2:13">
      <c r="B8" s="106" t="s">
        <v>9</v>
      </c>
      <c r="C8" s="56" t="s">
        <v>85</v>
      </c>
      <c r="D8" s="106">
        <v>2016</v>
      </c>
      <c r="E8" s="56">
        <v>5</v>
      </c>
      <c r="F8" s="67">
        <v>46</v>
      </c>
      <c r="G8" s="68">
        <v>5</v>
      </c>
      <c r="H8" s="76" t="e">
        <f>VLOOKUP(B8,'IT Structure'!A:D,4,0)*VLOOKUP(E8,'time target'!A:D,4,0)*20/30</f>
        <v>#N/A</v>
      </c>
      <c r="I8" s="7" t="e">
        <f>(1-VLOOKUP(B8,'IT Structure'!A:D,4,0))*VLOOKUP(E8,'time target'!A:D,4,0)*20/30</f>
        <v>#N/A</v>
      </c>
      <c r="J8" s="50" t="e">
        <f t="shared" ref="J8:J71" si="0">H8-F8</f>
        <v>#N/A</v>
      </c>
      <c r="K8" s="50" t="e">
        <f t="shared" ref="K8:K71" si="1">I8-G8</f>
        <v>#N/A</v>
      </c>
      <c r="L8" s="62" t="str">
        <f>VLOOKUP(B8,'IT Structure'!A:B,2,0)</f>
        <v>Allen</v>
      </c>
      <c r="M8" s="10"/>
    </row>
    <row r="9" spans="2:13">
      <c r="B9" s="70" t="s">
        <v>9</v>
      </c>
      <c r="C9" s="56" t="s">
        <v>85</v>
      </c>
      <c r="D9" s="70">
        <v>2016</v>
      </c>
      <c r="E9" s="56">
        <v>6</v>
      </c>
      <c r="F9" s="105">
        <v>8</v>
      </c>
      <c r="G9" s="104"/>
      <c r="H9" s="76" t="e">
        <f>VLOOKUP(B9,'IT Structure'!A:D,4,0)*VLOOKUP(E9,'time target'!A:D,4,0)*20/30</f>
        <v>#N/A</v>
      </c>
      <c r="I9" s="7" t="e">
        <f>(1-VLOOKUP(B9,'IT Structure'!A:D,4,0))*VLOOKUP(E9,'time target'!A:D,4,0)*20/30</f>
        <v>#N/A</v>
      </c>
      <c r="J9" s="50" t="e">
        <f t="shared" si="0"/>
        <v>#N/A</v>
      </c>
      <c r="K9" s="50" t="e">
        <f t="shared" si="1"/>
        <v>#N/A</v>
      </c>
      <c r="L9" s="62" t="str">
        <f>VLOOKUP(B9,'IT Structure'!A:B,2,0)</f>
        <v>Allen</v>
      </c>
      <c r="M9" s="10"/>
    </row>
    <row r="10" spans="2:13">
      <c r="B10" s="22" t="s">
        <v>68</v>
      </c>
      <c r="C10" s="47"/>
      <c r="D10" s="47"/>
      <c r="E10" s="47"/>
      <c r="F10" s="69">
        <v>54</v>
      </c>
      <c r="G10" s="66">
        <v>5</v>
      </c>
      <c r="H10" s="76" t="e">
        <f>VLOOKUP(B10,'IT Structure'!A:D,4,0)*VLOOKUP(E10,'time target'!A:D,4,0)*20/30</f>
        <v>#N/A</v>
      </c>
      <c r="I10" s="7" t="e">
        <f>(1-VLOOKUP(B10,'IT Structure'!A:D,4,0))*VLOOKUP(E10,'time target'!A:D,4,0)*20/30</f>
        <v>#N/A</v>
      </c>
      <c r="J10" s="50" t="e">
        <f t="shared" si="0"/>
        <v>#N/A</v>
      </c>
      <c r="K10" s="50" t="e">
        <f t="shared" si="1"/>
        <v>#N/A</v>
      </c>
      <c r="L10" s="62" t="e">
        <f>VLOOKUP(B10,'IT Structure'!A:B,2,0)</f>
        <v>#N/A</v>
      </c>
      <c r="M10" s="10"/>
    </row>
    <row r="11" spans="2:13">
      <c r="B11"/>
      <c r="C11"/>
      <c r="D11"/>
      <c r="E11"/>
      <c r="F11"/>
      <c r="G11"/>
      <c r="H11" s="76" t="e">
        <f>VLOOKUP(B11,'IT Structure'!A:D,4,0)*VLOOKUP(E11,'time target'!A:D,4,0)*20/30</f>
        <v>#N/A</v>
      </c>
      <c r="I11" s="7" t="e">
        <f>(1-VLOOKUP(B11,'IT Structure'!A:D,4,0))*VLOOKUP(E11,'time target'!A:D,4,0)*20/30</f>
        <v>#N/A</v>
      </c>
      <c r="J11" s="50" t="e">
        <f t="shared" si="0"/>
        <v>#N/A</v>
      </c>
      <c r="K11" s="50" t="e">
        <f t="shared" si="1"/>
        <v>#N/A</v>
      </c>
      <c r="L11" s="62" t="e">
        <f>VLOOKUP(B11,'IT Structure'!A:B,2,0)</f>
        <v>#N/A</v>
      </c>
      <c r="M11" s="10"/>
    </row>
    <row r="12" spans="2:13">
      <c r="B12"/>
      <c r="C12"/>
      <c r="D12"/>
      <c r="E12"/>
      <c r="F12"/>
      <c r="G12"/>
      <c r="H12" s="76" t="e">
        <f>VLOOKUP(B12,'IT Structure'!A:D,4,0)*VLOOKUP(E12,'time target'!A:D,4,0)*20/30</f>
        <v>#N/A</v>
      </c>
      <c r="I12" s="7" t="e">
        <f>(1-VLOOKUP(B12,'IT Structure'!A:D,4,0))*VLOOKUP(E12,'time target'!A:D,4,0)*20/30</f>
        <v>#N/A</v>
      </c>
      <c r="J12" s="50" t="e">
        <f t="shared" si="0"/>
        <v>#N/A</v>
      </c>
      <c r="K12" s="50" t="e">
        <f t="shared" si="1"/>
        <v>#N/A</v>
      </c>
      <c r="L12" s="62" t="e">
        <f>VLOOKUP(B12,'IT Structure'!A:B,2,0)</f>
        <v>#N/A</v>
      </c>
      <c r="M12" s="10"/>
    </row>
    <row r="13" spans="2:13">
      <c r="B13"/>
      <c r="C13"/>
      <c r="D13"/>
      <c r="E13"/>
      <c r="F13"/>
      <c r="G13"/>
      <c r="H13" s="76" t="e">
        <f>VLOOKUP(B13,'IT Structure'!A:D,4,0)*VLOOKUP(E13,'time target'!A:D,4,0)*20/30</f>
        <v>#N/A</v>
      </c>
      <c r="I13" s="7" t="e">
        <f>(1-VLOOKUP(B13,'IT Structure'!A:D,4,0))*VLOOKUP(E13,'time target'!A:D,4,0)*20/30</f>
        <v>#N/A</v>
      </c>
      <c r="J13" s="50" t="e">
        <f t="shared" si="0"/>
        <v>#N/A</v>
      </c>
      <c r="K13" s="50" t="e">
        <f t="shared" si="1"/>
        <v>#N/A</v>
      </c>
      <c r="L13" s="62" t="e">
        <f>VLOOKUP(B13,'IT Structure'!A:B,2,0)</f>
        <v>#N/A</v>
      </c>
      <c r="M13" s="10"/>
    </row>
    <row r="14" spans="2:13">
      <c r="B14"/>
      <c r="C14"/>
      <c r="D14"/>
      <c r="E14"/>
      <c r="F14"/>
      <c r="G14"/>
      <c r="H14" s="76" t="e">
        <f>VLOOKUP(B14,'IT Structure'!A:D,4,0)*VLOOKUP(E14,'time target'!A:D,4,0)*20/30</f>
        <v>#N/A</v>
      </c>
      <c r="I14" s="7" t="e">
        <f>(1-VLOOKUP(B14,'IT Structure'!A:D,4,0))*VLOOKUP(E14,'time target'!A:D,4,0)*20/30</f>
        <v>#N/A</v>
      </c>
      <c r="J14" s="50" t="e">
        <f t="shared" si="0"/>
        <v>#N/A</v>
      </c>
      <c r="K14" s="50" t="e">
        <f t="shared" si="1"/>
        <v>#N/A</v>
      </c>
      <c r="L14" s="62" t="e">
        <f>VLOOKUP(B14,'IT Structure'!A:B,2,0)</f>
        <v>#N/A</v>
      </c>
      <c r="M14" s="10"/>
    </row>
    <row r="15" spans="2:13">
      <c r="B15"/>
      <c r="C15"/>
      <c r="D15"/>
      <c r="E15"/>
      <c r="F15"/>
      <c r="G15"/>
      <c r="H15" s="76" t="e">
        <f>VLOOKUP(B15,'IT Structure'!A:D,4,0)*VLOOKUP(E15,'time target'!A:D,4,0)*20/30</f>
        <v>#N/A</v>
      </c>
      <c r="I15" s="7" t="e">
        <f>(1-VLOOKUP(B15,'IT Structure'!A:D,4,0))*VLOOKUP(E15,'time target'!A:D,4,0)*20/30</f>
        <v>#N/A</v>
      </c>
      <c r="J15" s="50" t="e">
        <f t="shared" si="0"/>
        <v>#N/A</v>
      </c>
      <c r="K15" s="50" t="e">
        <f t="shared" si="1"/>
        <v>#N/A</v>
      </c>
      <c r="L15" s="62" t="e">
        <f>VLOOKUP(B15,'IT Structure'!A:B,2,0)</f>
        <v>#N/A</v>
      </c>
      <c r="M15" s="10"/>
    </row>
    <row r="16" spans="2:13">
      <c r="B16"/>
      <c r="C16"/>
      <c r="D16"/>
      <c r="E16"/>
      <c r="F16"/>
      <c r="G16"/>
      <c r="H16" s="76" t="e">
        <f>VLOOKUP(B16,'IT Structure'!A:D,4,0)*VLOOKUP(E16,'time target'!A:D,4,0)*20/30</f>
        <v>#N/A</v>
      </c>
      <c r="I16" s="7" t="e">
        <f>(1-VLOOKUP(B16,'IT Structure'!A:D,4,0))*VLOOKUP(E16,'time target'!A:D,4,0)*20/30</f>
        <v>#N/A</v>
      </c>
      <c r="J16" s="50" t="e">
        <f t="shared" si="0"/>
        <v>#N/A</v>
      </c>
      <c r="K16" s="50" t="e">
        <f t="shared" si="1"/>
        <v>#N/A</v>
      </c>
      <c r="L16" s="62" t="e">
        <f>VLOOKUP(B16,'IT Structure'!A:B,2,0)</f>
        <v>#N/A</v>
      </c>
      <c r="M16" s="10"/>
    </row>
    <row r="17" spans="2:13">
      <c r="B17"/>
      <c r="C17"/>
      <c r="D17"/>
      <c r="E17"/>
      <c r="F17"/>
      <c r="G17"/>
      <c r="H17" s="76" t="e">
        <f>VLOOKUP(B17,'IT Structure'!A:D,4,0)*VLOOKUP(E17,'time target'!A:D,4,0)*20/30</f>
        <v>#N/A</v>
      </c>
      <c r="I17" s="7" t="e">
        <f>(1-VLOOKUP(B17,'IT Structure'!A:D,4,0))*VLOOKUP(E17,'time target'!A:D,4,0)*20/30</f>
        <v>#N/A</v>
      </c>
      <c r="J17" s="50" t="e">
        <f t="shared" si="0"/>
        <v>#N/A</v>
      </c>
      <c r="K17" s="50" t="e">
        <f t="shared" si="1"/>
        <v>#N/A</v>
      </c>
      <c r="L17" s="62" t="e">
        <f>VLOOKUP(B17,'IT Structure'!A:B,2,0)</f>
        <v>#N/A</v>
      </c>
      <c r="M17" s="10"/>
    </row>
    <row r="18" spans="2:13">
      <c r="B18"/>
      <c r="C18"/>
      <c r="D18"/>
      <c r="E18"/>
      <c r="F18"/>
      <c r="G18"/>
      <c r="H18" s="76" t="e">
        <f>VLOOKUP(B18,'IT Structure'!A:D,4,0)*VLOOKUP(E18,'time target'!A:D,4,0)*20/30</f>
        <v>#N/A</v>
      </c>
      <c r="I18" s="7" t="e">
        <f>(1-VLOOKUP(B18,'IT Structure'!A:D,4,0))*VLOOKUP(E18,'time target'!A:D,4,0)*20/30</f>
        <v>#N/A</v>
      </c>
      <c r="J18" s="50" t="e">
        <f t="shared" si="0"/>
        <v>#N/A</v>
      </c>
      <c r="K18" s="50" t="e">
        <f t="shared" si="1"/>
        <v>#N/A</v>
      </c>
      <c r="L18" s="62" t="e">
        <f>VLOOKUP(B18,'IT Structure'!A:B,2,0)</f>
        <v>#N/A</v>
      </c>
      <c r="M18" s="10"/>
    </row>
    <row r="19" spans="2:13">
      <c r="B19"/>
      <c r="C19"/>
      <c r="D19"/>
      <c r="E19"/>
      <c r="F19"/>
      <c r="G19"/>
      <c r="H19" s="76" t="e">
        <f>VLOOKUP(B19,'IT Structure'!A:D,4,0)*VLOOKUP(E19,'time target'!A:D,4,0)*20/30</f>
        <v>#N/A</v>
      </c>
      <c r="I19" s="7" t="e">
        <f>(1-VLOOKUP(B19,'IT Structure'!A:D,4,0))*VLOOKUP(E19,'time target'!A:D,4,0)*20/30</f>
        <v>#N/A</v>
      </c>
      <c r="J19" s="50" t="e">
        <f t="shared" si="0"/>
        <v>#N/A</v>
      </c>
      <c r="K19" s="50" t="e">
        <f t="shared" si="1"/>
        <v>#N/A</v>
      </c>
      <c r="L19" s="62" t="e">
        <f>VLOOKUP(B19,'IT Structure'!A:B,2,0)</f>
        <v>#N/A</v>
      </c>
      <c r="M19" s="10"/>
    </row>
    <row r="20" spans="2:13">
      <c r="B20"/>
      <c r="C20"/>
      <c r="D20"/>
      <c r="E20"/>
      <c r="F20"/>
      <c r="G20"/>
      <c r="H20" s="76" t="e">
        <f>VLOOKUP(B20,'IT Structure'!A:D,4,0)*VLOOKUP(E20,'time target'!A:D,4,0)*20/30</f>
        <v>#N/A</v>
      </c>
      <c r="I20" s="7" t="e">
        <f>(1-VLOOKUP(B20,'IT Structure'!A:D,4,0))*VLOOKUP(E20,'time target'!A:D,4,0)*20/30</f>
        <v>#N/A</v>
      </c>
      <c r="J20" s="50" t="e">
        <f t="shared" si="0"/>
        <v>#N/A</v>
      </c>
      <c r="K20" s="50" t="e">
        <f t="shared" si="1"/>
        <v>#N/A</v>
      </c>
      <c r="L20" s="62" t="e">
        <f>VLOOKUP(B20,'IT Structure'!A:B,2,0)</f>
        <v>#N/A</v>
      </c>
      <c r="M20" s="10"/>
    </row>
    <row r="21" spans="2:13">
      <c r="B21"/>
      <c r="C21"/>
      <c r="D21"/>
      <c r="E21"/>
      <c r="F21"/>
      <c r="G21"/>
      <c r="H21" s="76" t="e">
        <f>VLOOKUP(B21,'IT Structure'!A:D,4,0)*VLOOKUP(E21,'time target'!A:D,4,0)*20/30</f>
        <v>#N/A</v>
      </c>
      <c r="I21" s="7" t="e">
        <f>(1-VLOOKUP(B21,'IT Structure'!A:D,4,0))*VLOOKUP(E21,'time target'!A:D,4,0)*20/30</f>
        <v>#N/A</v>
      </c>
      <c r="J21" s="50" t="e">
        <f t="shared" si="0"/>
        <v>#N/A</v>
      </c>
      <c r="K21" s="50" t="e">
        <f t="shared" si="1"/>
        <v>#N/A</v>
      </c>
      <c r="L21" s="62" t="e">
        <f>VLOOKUP(B21,'IT Structure'!A:B,2,0)</f>
        <v>#N/A</v>
      </c>
      <c r="M21" s="10"/>
    </row>
    <row r="22" spans="2:13">
      <c r="B22"/>
      <c r="C22"/>
      <c r="D22"/>
      <c r="E22"/>
      <c r="F22"/>
      <c r="G22"/>
      <c r="H22" s="76" t="e">
        <f>VLOOKUP(B22,'IT Structure'!A:D,4,0)*VLOOKUP(E22,'time target'!A:D,4,0)*20/30</f>
        <v>#N/A</v>
      </c>
      <c r="I22" s="7" t="e">
        <f>(1-VLOOKUP(B22,'IT Structure'!A:D,4,0))*VLOOKUP(E22,'time target'!A:D,4,0)*20/30</f>
        <v>#N/A</v>
      </c>
      <c r="J22" s="50" t="e">
        <f t="shared" si="0"/>
        <v>#N/A</v>
      </c>
      <c r="K22" s="50" t="e">
        <f t="shared" si="1"/>
        <v>#N/A</v>
      </c>
      <c r="L22" s="62" t="e">
        <f>VLOOKUP(B22,'IT Structure'!A:B,2,0)</f>
        <v>#N/A</v>
      </c>
      <c r="M22" s="10"/>
    </row>
    <row r="23" spans="2:13">
      <c r="B23"/>
      <c r="C23"/>
      <c r="D23"/>
      <c r="E23"/>
      <c r="F23"/>
      <c r="G23"/>
      <c r="H23" s="76" t="e">
        <f>VLOOKUP(B23,'IT Structure'!A:D,4,0)*VLOOKUP(E23,'time target'!A:D,4,0)*20/30</f>
        <v>#N/A</v>
      </c>
      <c r="I23" s="7" t="e">
        <f>(1-VLOOKUP(B23,'IT Structure'!A:D,4,0))*VLOOKUP(E23,'time target'!A:D,4,0)*20/30</f>
        <v>#N/A</v>
      </c>
      <c r="J23" s="50" t="e">
        <f t="shared" si="0"/>
        <v>#N/A</v>
      </c>
      <c r="K23" s="50" t="e">
        <f t="shared" si="1"/>
        <v>#N/A</v>
      </c>
      <c r="L23" s="62" t="e">
        <f>VLOOKUP(B23,'IT Structure'!A:B,2,0)</f>
        <v>#N/A</v>
      </c>
      <c r="M23" s="10"/>
    </row>
    <row r="24" spans="2:13">
      <c r="B24"/>
      <c r="C24"/>
      <c r="D24"/>
      <c r="E24"/>
      <c r="F24"/>
      <c r="G24"/>
      <c r="H24" s="76" t="e">
        <f>VLOOKUP(B24,'IT Structure'!A:D,4,0)*VLOOKUP(E24,'time target'!A:D,4,0)*20/30</f>
        <v>#N/A</v>
      </c>
      <c r="I24" s="7" t="e">
        <f>(1-VLOOKUP(B24,'IT Structure'!A:D,4,0))*VLOOKUP(E24,'time target'!A:D,4,0)*20/30</f>
        <v>#N/A</v>
      </c>
      <c r="J24" s="50" t="e">
        <f t="shared" si="0"/>
        <v>#N/A</v>
      </c>
      <c r="K24" s="50" t="e">
        <f t="shared" si="1"/>
        <v>#N/A</v>
      </c>
      <c r="L24" s="62" t="e">
        <f>VLOOKUP(B24,'IT Structure'!A:B,2,0)</f>
        <v>#N/A</v>
      </c>
      <c r="M24" s="10"/>
    </row>
    <row r="25" spans="2:13">
      <c r="B25"/>
      <c r="C25"/>
      <c r="D25"/>
      <c r="E25"/>
      <c r="F25"/>
      <c r="G25"/>
      <c r="H25" s="76" t="e">
        <f>VLOOKUP(B25,'IT Structure'!A:D,4,0)*VLOOKUP(E25,'time target'!A:D,4,0)*20/30</f>
        <v>#N/A</v>
      </c>
      <c r="I25" s="7" t="e">
        <f>(1-VLOOKUP(B25,'IT Structure'!A:D,4,0))*VLOOKUP(E25,'time target'!A:D,4,0)*20/30</f>
        <v>#N/A</v>
      </c>
      <c r="J25" s="50" t="e">
        <f t="shared" si="0"/>
        <v>#N/A</v>
      </c>
      <c r="K25" s="50" t="e">
        <f t="shared" si="1"/>
        <v>#N/A</v>
      </c>
      <c r="L25" s="62" t="e">
        <f>VLOOKUP(B25,'IT Structure'!A:B,2,0)</f>
        <v>#N/A</v>
      </c>
      <c r="M25" s="10"/>
    </row>
    <row r="26" spans="2:13">
      <c r="B26"/>
      <c r="C26"/>
      <c r="D26"/>
      <c r="E26"/>
      <c r="F26"/>
      <c r="G26"/>
      <c r="H26" s="76" t="e">
        <f>VLOOKUP(B26,'IT Structure'!A:D,4,0)*VLOOKUP(E26,'time target'!A:D,4,0)*20/30</f>
        <v>#N/A</v>
      </c>
      <c r="I26" s="7" t="e">
        <f>(1-VLOOKUP(B26,'IT Structure'!A:D,4,0))*VLOOKUP(E26,'time target'!A:D,4,0)*20/30</f>
        <v>#N/A</v>
      </c>
      <c r="J26" s="50" t="e">
        <f t="shared" si="0"/>
        <v>#N/A</v>
      </c>
      <c r="K26" s="50" t="e">
        <f t="shared" si="1"/>
        <v>#N/A</v>
      </c>
      <c r="L26" s="62" t="e">
        <f>VLOOKUP(B26,'IT Structure'!A:B,2,0)</f>
        <v>#N/A</v>
      </c>
      <c r="M26" s="10"/>
    </row>
    <row r="27" spans="2:13">
      <c r="B27"/>
      <c r="C27"/>
      <c r="D27"/>
      <c r="E27"/>
      <c r="F27"/>
      <c r="G27"/>
      <c r="H27" s="76" t="e">
        <f>VLOOKUP(B27,'IT Structure'!A:D,4,0)*VLOOKUP(E27,'time target'!A:D,4,0)*20/30</f>
        <v>#N/A</v>
      </c>
      <c r="I27" s="7" t="e">
        <f>(1-VLOOKUP(B27,'IT Structure'!A:D,4,0))*VLOOKUP(E27,'time target'!A:D,4,0)*20/30</f>
        <v>#N/A</v>
      </c>
      <c r="J27" s="50" t="e">
        <f t="shared" si="0"/>
        <v>#N/A</v>
      </c>
      <c r="K27" s="50" t="e">
        <f t="shared" si="1"/>
        <v>#N/A</v>
      </c>
      <c r="L27" s="62" t="e">
        <f>VLOOKUP(B27,'IT Structure'!A:B,2,0)</f>
        <v>#N/A</v>
      </c>
      <c r="M27" s="10"/>
    </row>
    <row r="28" spans="2:13">
      <c r="B28"/>
      <c r="C28"/>
      <c r="D28"/>
      <c r="E28"/>
      <c r="F28"/>
      <c r="G28"/>
      <c r="H28" s="76" t="e">
        <f>VLOOKUP(B28,'IT Structure'!A:D,4,0)*VLOOKUP(E28,'time target'!A:D,4,0)*20/30</f>
        <v>#N/A</v>
      </c>
      <c r="I28" s="7" t="e">
        <f>(1-VLOOKUP(B28,'IT Structure'!A:D,4,0))*VLOOKUP(E28,'time target'!A:D,4,0)*20/30</f>
        <v>#N/A</v>
      </c>
      <c r="J28" s="50" t="e">
        <f t="shared" si="0"/>
        <v>#N/A</v>
      </c>
      <c r="K28" s="50" t="e">
        <f t="shared" si="1"/>
        <v>#N/A</v>
      </c>
      <c r="L28" s="62" t="e">
        <f>VLOOKUP(B28,'IT Structure'!A:B,2,0)</f>
        <v>#N/A</v>
      </c>
      <c r="M28" s="10"/>
    </row>
    <row r="29" spans="2:13">
      <c r="B29"/>
      <c r="C29"/>
      <c r="D29"/>
      <c r="E29"/>
      <c r="F29"/>
      <c r="G29"/>
      <c r="H29" s="76" t="e">
        <f>VLOOKUP(B29,'IT Structure'!A:D,4,0)*VLOOKUP(E29,'time target'!A:D,4,0)*20/30</f>
        <v>#N/A</v>
      </c>
      <c r="I29" s="7" t="e">
        <f>(1-VLOOKUP(B29,'IT Structure'!A:D,4,0))*VLOOKUP(E29,'time target'!A:D,4,0)*20/30</f>
        <v>#N/A</v>
      </c>
      <c r="J29" s="50" t="e">
        <f t="shared" si="0"/>
        <v>#N/A</v>
      </c>
      <c r="K29" s="50" t="e">
        <f t="shared" si="1"/>
        <v>#N/A</v>
      </c>
      <c r="L29" s="62" t="e">
        <f>VLOOKUP(B29,'IT Structure'!A:B,2,0)</f>
        <v>#N/A</v>
      </c>
      <c r="M29" s="10"/>
    </row>
    <row r="30" spans="2:13">
      <c r="B30"/>
      <c r="C30"/>
      <c r="D30"/>
      <c r="E30"/>
      <c r="F30"/>
      <c r="G30"/>
      <c r="H30" s="76" t="e">
        <f>VLOOKUP(B30,'IT Structure'!A:D,4,0)*VLOOKUP(E30,'time target'!A:D,4,0)*20/30</f>
        <v>#N/A</v>
      </c>
      <c r="I30" s="7" t="e">
        <f>(1-VLOOKUP(B30,'IT Structure'!A:D,4,0))*VLOOKUP(E30,'time target'!A:D,4,0)*20/30</f>
        <v>#N/A</v>
      </c>
      <c r="J30" s="50" t="e">
        <f t="shared" si="0"/>
        <v>#N/A</v>
      </c>
      <c r="K30" s="50" t="e">
        <f t="shared" si="1"/>
        <v>#N/A</v>
      </c>
      <c r="L30" s="62" t="e">
        <f>VLOOKUP(B30,'IT Structure'!A:B,2,0)</f>
        <v>#N/A</v>
      </c>
      <c r="M30" s="10"/>
    </row>
    <row r="31" spans="2:13">
      <c r="B31"/>
      <c r="C31"/>
      <c r="D31"/>
      <c r="E31"/>
      <c r="F31"/>
      <c r="G31"/>
      <c r="H31" s="76" t="e">
        <f>VLOOKUP(B31,'IT Structure'!A:D,4,0)*VLOOKUP(E31,'time target'!A:D,4,0)*20/30</f>
        <v>#N/A</v>
      </c>
      <c r="I31" s="7" t="e">
        <f>(1-VLOOKUP(B31,'IT Structure'!A:D,4,0))*VLOOKUP(E31,'time target'!A:D,4,0)*20/30</f>
        <v>#N/A</v>
      </c>
      <c r="J31" s="50" t="e">
        <f t="shared" si="0"/>
        <v>#N/A</v>
      </c>
      <c r="K31" s="50" t="e">
        <f t="shared" si="1"/>
        <v>#N/A</v>
      </c>
      <c r="L31" s="62" t="e">
        <f>VLOOKUP(B31,'IT Structure'!A:B,2,0)</f>
        <v>#N/A</v>
      </c>
      <c r="M31" s="10"/>
    </row>
    <row r="32" spans="2:13">
      <c r="B32"/>
      <c r="C32"/>
      <c r="D32"/>
      <c r="E32"/>
      <c r="F32"/>
      <c r="G32"/>
      <c r="H32" s="76" t="e">
        <f>VLOOKUP(B32,'IT Structure'!A:D,4,0)*VLOOKUP(E32,'time target'!A:D,4,0)*20/30</f>
        <v>#N/A</v>
      </c>
      <c r="I32" s="7" t="e">
        <f>(1-VLOOKUP(B32,'IT Structure'!A:D,4,0))*VLOOKUP(E32,'time target'!A:D,4,0)*20/30</f>
        <v>#N/A</v>
      </c>
      <c r="J32" s="50" t="e">
        <f t="shared" si="0"/>
        <v>#N/A</v>
      </c>
      <c r="K32" s="50" t="e">
        <f t="shared" si="1"/>
        <v>#N/A</v>
      </c>
      <c r="L32" s="62" t="e">
        <f>VLOOKUP(B32,'IT Structure'!A:B,2,0)</f>
        <v>#N/A</v>
      </c>
      <c r="M32" s="10"/>
    </row>
    <row r="33" spans="2:13">
      <c r="B33"/>
      <c r="C33"/>
      <c r="D33"/>
      <c r="E33"/>
      <c r="F33"/>
      <c r="G33"/>
      <c r="H33" s="76" t="e">
        <f>VLOOKUP(B33,'IT Structure'!A:D,4,0)*VLOOKUP(E33,'time target'!A:D,4,0)*20/30</f>
        <v>#N/A</v>
      </c>
      <c r="I33" s="7" t="e">
        <f>(1-VLOOKUP(B33,'IT Structure'!A:D,4,0))*VLOOKUP(E33,'time target'!A:D,4,0)*20/30</f>
        <v>#N/A</v>
      </c>
      <c r="J33" s="50" t="e">
        <f t="shared" si="0"/>
        <v>#N/A</v>
      </c>
      <c r="K33" s="50" t="e">
        <f t="shared" si="1"/>
        <v>#N/A</v>
      </c>
      <c r="L33" s="62" t="e">
        <f>VLOOKUP(B33,'IT Structure'!A:B,2,0)</f>
        <v>#N/A</v>
      </c>
      <c r="M33" s="10"/>
    </row>
    <row r="34" spans="2:13">
      <c r="B34"/>
      <c r="C34"/>
      <c r="D34"/>
      <c r="E34"/>
      <c r="F34"/>
      <c r="G34"/>
      <c r="H34" s="76" t="e">
        <f>VLOOKUP(B34,'IT Structure'!A:D,4,0)*VLOOKUP(E34,'time target'!A:D,4,0)*20/30</f>
        <v>#N/A</v>
      </c>
      <c r="I34" s="7" t="e">
        <f>(1-VLOOKUP(B34,'IT Structure'!A:D,4,0))*VLOOKUP(E34,'time target'!A:D,4,0)*20/30</f>
        <v>#N/A</v>
      </c>
      <c r="J34" s="50" t="e">
        <f t="shared" si="0"/>
        <v>#N/A</v>
      </c>
      <c r="K34" s="50" t="e">
        <f t="shared" si="1"/>
        <v>#N/A</v>
      </c>
      <c r="L34" s="62" t="e">
        <f>VLOOKUP(B34,'IT Structure'!A:B,2,0)</f>
        <v>#N/A</v>
      </c>
      <c r="M34" s="10"/>
    </row>
    <row r="35" spans="2:13">
      <c r="B35"/>
      <c r="C35"/>
      <c r="D35"/>
      <c r="E35"/>
      <c r="F35"/>
      <c r="G35"/>
      <c r="H35" s="76" t="e">
        <f>VLOOKUP(B35,'IT Structure'!A:D,4,0)*VLOOKUP(E35,'time target'!A:D,4,0)*20/30</f>
        <v>#N/A</v>
      </c>
      <c r="I35" s="7" t="e">
        <f>(1-VLOOKUP(B35,'IT Structure'!A:D,4,0))*VLOOKUP(E35,'time target'!A:D,4,0)*20/30</f>
        <v>#N/A</v>
      </c>
      <c r="J35" s="50" t="e">
        <f t="shared" si="0"/>
        <v>#N/A</v>
      </c>
      <c r="K35" s="50" t="e">
        <f t="shared" si="1"/>
        <v>#N/A</v>
      </c>
      <c r="L35" s="62" t="e">
        <f>VLOOKUP(B35,'IT Structure'!A:B,2,0)</f>
        <v>#N/A</v>
      </c>
      <c r="M35" s="10"/>
    </row>
    <row r="36" spans="2:13">
      <c r="B36"/>
      <c r="C36"/>
      <c r="D36"/>
      <c r="E36"/>
      <c r="F36"/>
      <c r="G36"/>
      <c r="H36" s="76" t="e">
        <f>VLOOKUP(B36,'IT Structure'!A:D,4,0)*VLOOKUP(E36,'time target'!A:D,4,0)*20/30</f>
        <v>#N/A</v>
      </c>
      <c r="I36" s="7" t="e">
        <f>(1-VLOOKUP(B36,'IT Structure'!A:D,4,0))*VLOOKUP(E36,'time target'!A:D,4,0)*20/30</f>
        <v>#N/A</v>
      </c>
      <c r="J36" s="50" t="e">
        <f t="shared" si="0"/>
        <v>#N/A</v>
      </c>
      <c r="K36" s="50" t="e">
        <f t="shared" si="1"/>
        <v>#N/A</v>
      </c>
      <c r="L36" s="62" t="e">
        <f>VLOOKUP(B36,'IT Structure'!A:B,2,0)</f>
        <v>#N/A</v>
      </c>
      <c r="M36" s="10"/>
    </row>
    <row r="37" spans="2:13">
      <c r="B37"/>
      <c r="C37"/>
      <c r="D37"/>
      <c r="E37"/>
      <c r="F37"/>
      <c r="G37"/>
      <c r="H37" s="76" t="e">
        <f>VLOOKUP(B37,'IT Structure'!A:D,4,0)*VLOOKUP(E37,'time target'!A:D,4,0)*20/30</f>
        <v>#N/A</v>
      </c>
      <c r="I37" s="7" t="e">
        <f>(1-VLOOKUP(B37,'IT Structure'!A:D,4,0))*VLOOKUP(E37,'time target'!A:D,4,0)*20/30</f>
        <v>#N/A</v>
      </c>
      <c r="J37" s="50" t="e">
        <f t="shared" si="0"/>
        <v>#N/A</v>
      </c>
      <c r="K37" s="50" t="e">
        <f t="shared" si="1"/>
        <v>#N/A</v>
      </c>
      <c r="L37" s="62" t="e">
        <f>VLOOKUP(B37,'IT Structure'!A:B,2,0)</f>
        <v>#N/A</v>
      </c>
      <c r="M37" s="10"/>
    </row>
    <row r="38" spans="2:13">
      <c r="B38"/>
      <c r="C38"/>
      <c r="D38"/>
      <c r="E38"/>
      <c r="F38"/>
      <c r="G38"/>
      <c r="H38" s="76" t="e">
        <f>VLOOKUP(B38,'IT Structure'!A:D,4,0)*VLOOKUP(E38,'time target'!A:D,4,0)*20/30</f>
        <v>#N/A</v>
      </c>
      <c r="I38" s="7" t="e">
        <f>(1-VLOOKUP(B38,'IT Structure'!A:D,4,0))*VLOOKUP(E38,'time target'!A:D,4,0)*20/30</f>
        <v>#N/A</v>
      </c>
      <c r="J38" s="50" t="e">
        <f t="shared" si="0"/>
        <v>#N/A</v>
      </c>
      <c r="K38" s="50" t="e">
        <f t="shared" si="1"/>
        <v>#N/A</v>
      </c>
      <c r="L38" s="62" t="e">
        <f>VLOOKUP(B38,'IT Structure'!A:B,2,0)</f>
        <v>#N/A</v>
      </c>
      <c r="M38" s="10"/>
    </row>
    <row r="39" spans="2:13">
      <c r="B39"/>
      <c r="C39"/>
      <c r="D39"/>
      <c r="E39"/>
      <c r="F39"/>
      <c r="G39"/>
      <c r="H39" s="76" t="e">
        <f>VLOOKUP(B39,'IT Structure'!A:D,4,0)*VLOOKUP(E39,'time target'!A:D,4,0)*20/30</f>
        <v>#N/A</v>
      </c>
      <c r="I39" s="7" t="e">
        <f>(1-VLOOKUP(B39,'IT Structure'!A:D,4,0))*VLOOKUP(E39,'time target'!A:D,4,0)*20/30</f>
        <v>#N/A</v>
      </c>
      <c r="J39" s="50" t="e">
        <f t="shared" si="0"/>
        <v>#N/A</v>
      </c>
      <c r="K39" s="50" t="e">
        <f t="shared" si="1"/>
        <v>#N/A</v>
      </c>
      <c r="L39" s="62" t="e">
        <f>VLOOKUP(B39,'IT Structure'!A:B,2,0)</f>
        <v>#N/A</v>
      </c>
      <c r="M39" s="10"/>
    </row>
    <row r="40" spans="2:13">
      <c r="B40"/>
      <c r="C40"/>
      <c r="D40"/>
      <c r="E40"/>
      <c r="F40"/>
      <c r="G40"/>
      <c r="H40" s="76" t="e">
        <f>VLOOKUP(B40,'IT Structure'!A:D,4,0)*VLOOKUP(E40,'time target'!A:D,4,0)*20/30</f>
        <v>#N/A</v>
      </c>
      <c r="I40" s="7" t="e">
        <f>(1-VLOOKUP(B40,'IT Structure'!A:D,4,0))*VLOOKUP(E40,'time target'!A:D,4,0)*20/30</f>
        <v>#N/A</v>
      </c>
      <c r="J40" s="50" t="e">
        <f t="shared" si="0"/>
        <v>#N/A</v>
      </c>
      <c r="K40" s="50" t="e">
        <f t="shared" si="1"/>
        <v>#N/A</v>
      </c>
      <c r="L40" s="62" t="e">
        <f>VLOOKUP(B40,'IT Structure'!A:B,2,0)</f>
        <v>#N/A</v>
      </c>
      <c r="M40" s="10"/>
    </row>
    <row r="41" spans="2:13">
      <c r="B41"/>
      <c r="C41"/>
      <c r="D41"/>
      <c r="E41"/>
      <c r="F41"/>
      <c r="G41"/>
      <c r="H41" s="76" t="e">
        <f>VLOOKUP(B41,'IT Structure'!A:D,4,0)*VLOOKUP(E41,'time target'!A:D,4,0)*20/30</f>
        <v>#N/A</v>
      </c>
      <c r="I41" s="7" t="e">
        <f>(1-VLOOKUP(B41,'IT Structure'!A:D,4,0))*VLOOKUP(E41,'time target'!A:D,4,0)*20/30</f>
        <v>#N/A</v>
      </c>
      <c r="J41" s="50" t="e">
        <f t="shared" si="0"/>
        <v>#N/A</v>
      </c>
      <c r="K41" s="50" t="e">
        <f t="shared" si="1"/>
        <v>#N/A</v>
      </c>
      <c r="L41" s="62" t="e">
        <f>VLOOKUP(B41,'IT Structure'!A:B,2,0)</f>
        <v>#N/A</v>
      </c>
      <c r="M41" s="10"/>
    </row>
    <row r="42" spans="2:13">
      <c r="B42"/>
      <c r="C42"/>
      <c r="D42"/>
      <c r="E42"/>
      <c r="F42"/>
      <c r="G42"/>
      <c r="H42" s="76" t="e">
        <f>VLOOKUP(B42,'IT Structure'!A:D,4,0)*VLOOKUP(E42,'time target'!A:D,4,0)*20/30</f>
        <v>#N/A</v>
      </c>
      <c r="I42" s="7" t="e">
        <f>(1-VLOOKUP(B42,'IT Structure'!A:D,4,0))*VLOOKUP(E42,'time target'!A:D,4,0)*20/30</f>
        <v>#N/A</v>
      </c>
      <c r="J42" s="50" t="e">
        <f t="shared" si="0"/>
        <v>#N/A</v>
      </c>
      <c r="K42" s="50" t="e">
        <f t="shared" si="1"/>
        <v>#N/A</v>
      </c>
      <c r="L42" s="62" t="e">
        <f>VLOOKUP(B42,'IT Structure'!A:B,2,0)</f>
        <v>#N/A</v>
      </c>
      <c r="M42" s="10"/>
    </row>
    <row r="43" spans="2:13">
      <c r="B43"/>
      <c r="C43"/>
      <c r="D43"/>
      <c r="E43"/>
      <c r="F43"/>
      <c r="G43"/>
      <c r="H43" s="76" t="e">
        <f>VLOOKUP(B43,'IT Structure'!A:D,4,0)*VLOOKUP(E43,'time target'!A:D,4,0)*20/30</f>
        <v>#N/A</v>
      </c>
      <c r="I43" s="7" t="e">
        <f>(1-VLOOKUP(B43,'IT Structure'!A:D,4,0))*VLOOKUP(E43,'time target'!A:D,4,0)*20/30</f>
        <v>#N/A</v>
      </c>
      <c r="J43" s="50" t="e">
        <f t="shared" si="0"/>
        <v>#N/A</v>
      </c>
      <c r="K43" s="50" t="e">
        <f t="shared" si="1"/>
        <v>#N/A</v>
      </c>
      <c r="L43" s="62" t="e">
        <f>VLOOKUP(B43,'IT Structure'!A:B,2,0)</f>
        <v>#N/A</v>
      </c>
      <c r="M43" s="10"/>
    </row>
    <row r="44" spans="2:13">
      <c r="B44"/>
      <c r="C44"/>
      <c r="D44"/>
      <c r="E44"/>
      <c r="F44"/>
      <c r="G44"/>
      <c r="H44" s="76" t="e">
        <f>VLOOKUP(B44,'IT Structure'!A:D,4,0)*VLOOKUP(E44,'time target'!A:D,4,0)*20/30</f>
        <v>#N/A</v>
      </c>
      <c r="I44" s="7" t="e">
        <f>(1-VLOOKUP(B44,'IT Structure'!A:D,4,0))*VLOOKUP(E44,'time target'!A:D,4,0)*20/30</f>
        <v>#N/A</v>
      </c>
      <c r="J44" s="50" t="e">
        <f t="shared" si="0"/>
        <v>#N/A</v>
      </c>
      <c r="K44" s="50" t="e">
        <f t="shared" si="1"/>
        <v>#N/A</v>
      </c>
      <c r="L44" s="62" t="e">
        <f>VLOOKUP(B44,'IT Structure'!A:B,2,0)</f>
        <v>#N/A</v>
      </c>
      <c r="M44" s="10"/>
    </row>
    <row r="45" spans="2:13">
      <c r="B45"/>
      <c r="C45"/>
      <c r="D45"/>
      <c r="E45"/>
      <c r="F45"/>
      <c r="G45"/>
      <c r="H45" s="76" t="e">
        <f>VLOOKUP(B45,'IT Structure'!A:D,4,0)*VLOOKUP(E45,'time target'!A:D,4,0)*20/30</f>
        <v>#N/A</v>
      </c>
      <c r="I45" s="7" t="e">
        <f>(1-VLOOKUP(B45,'IT Structure'!A:D,4,0))*VLOOKUP(E45,'time target'!A:D,4,0)*20/30</f>
        <v>#N/A</v>
      </c>
      <c r="J45" s="50" t="e">
        <f t="shared" si="0"/>
        <v>#N/A</v>
      </c>
      <c r="K45" s="50" t="e">
        <f t="shared" si="1"/>
        <v>#N/A</v>
      </c>
      <c r="L45" s="62" t="e">
        <f>VLOOKUP(B45,'IT Structure'!A:B,2,0)</f>
        <v>#N/A</v>
      </c>
      <c r="M45" s="10"/>
    </row>
    <row r="46" spans="2:13">
      <c r="B46"/>
      <c r="C46"/>
      <c r="D46"/>
      <c r="E46"/>
      <c r="F46"/>
      <c r="G46"/>
      <c r="H46" s="76" t="e">
        <f>VLOOKUP(B46,'IT Structure'!A:D,4,0)*VLOOKUP(E46,'time target'!A:D,4,0)*20/30</f>
        <v>#N/A</v>
      </c>
      <c r="I46" s="7" t="e">
        <f>(1-VLOOKUP(B46,'IT Structure'!A:D,4,0))*VLOOKUP(E46,'time target'!A:D,4,0)*20/30</f>
        <v>#N/A</v>
      </c>
      <c r="J46" s="50" t="e">
        <f t="shared" si="0"/>
        <v>#N/A</v>
      </c>
      <c r="K46" s="50" t="e">
        <f t="shared" si="1"/>
        <v>#N/A</v>
      </c>
      <c r="L46" s="62" t="e">
        <f>VLOOKUP(B46,'IT Structure'!A:B,2,0)</f>
        <v>#N/A</v>
      </c>
      <c r="M46" s="10"/>
    </row>
    <row r="47" spans="2:13">
      <c r="B47"/>
      <c r="C47"/>
      <c r="D47"/>
      <c r="E47"/>
      <c r="F47"/>
      <c r="G47"/>
      <c r="H47" s="76" t="e">
        <f>VLOOKUP(B47,'IT Structure'!A:D,4,0)*VLOOKUP(E47,'time target'!A:D,4,0)*20/30</f>
        <v>#N/A</v>
      </c>
      <c r="I47" s="7" t="e">
        <f>(1-VLOOKUP(B47,'IT Structure'!A:D,4,0))*VLOOKUP(E47,'time target'!A:D,4,0)*20/30</f>
        <v>#N/A</v>
      </c>
      <c r="J47" s="50" t="e">
        <f t="shared" si="0"/>
        <v>#N/A</v>
      </c>
      <c r="K47" s="50" t="e">
        <f t="shared" si="1"/>
        <v>#N/A</v>
      </c>
      <c r="L47" s="62" t="e">
        <f>VLOOKUP(B47,'IT Structure'!A:B,2,0)</f>
        <v>#N/A</v>
      </c>
      <c r="M47" s="10"/>
    </row>
    <row r="48" spans="2:13">
      <c r="B48"/>
      <c r="C48"/>
      <c r="D48"/>
      <c r="E48"/>
      <c r="F48"/>
      <c r="G48"/>
      <c r="H48" s="76" t="e">
        <f>VLOOKUP(B48,'IT Structure'!A:D,4,0)*VLOOKUP(E48,'time target'!A:D,4,0)*20/30</f>
        <v>#N/A</v>
      </c>
      <c r="I48" s="7" t="e">
        <f>(1-VLOOKUP(B48,'IT Structure'!A:D,4,0))*VLOOKUP(E48,'time target'!A:D,4,0)*20/30</f>
        <v>#N/A</v>
      </c>
      <c r="J48" s="50" t="e">
        <f t="shared" si="0"/>
        <v>#N/A</v>
      </c>
      <c r="K48" s="50" t="e">
        <f t="shared" si="1"/>
        <v>#N/A</v>
      </c>
      <c r="L48" s="62" t="e">
        <f>VLOOKUP(B48,'IT Structure'!A:B,2,0)</f>
        <v>#N/A</v>
      </c>
      <c r="M48" s="10"/>
    </row>
    <row r="49" spans="2:13">
      <c r="B49"/>
      <c r="C49"/>
      <c r="D49"/>
      <c r="E49"/>
      <c r="F49"/>
      <c r="G49"/>
      <c r="H49" s="76" t="e">
        <f>VLOOKUP(B49,'IT Structure'!A:D,4,0)*VLOOKUP(E49,'time target'!A:D,4,0)*20/30</f>
        <v>#N/A</v>
      </c>
      <c r="I49" s="7" t="e">
        <f>(1-VLOOKUP(B49,'IT Structure'!A:D,4,0))*VLOOKUP(E49,'time target'!A:D,4,0)*20/30</f>
        <v>#N/A</v>
      </c>
      <c r="J49" s="50" t="e">
        <f t="shared" si="0"/>
        <v>#N/A</v>
      </c>
      <c r="K49" s="50" t="e">
        <f t="shared" si="1"/>
        <v>#N/A</v>
      </c>
      <c r="L49" s="62" t="e">
        <f>VLOOKUP(B49,'IT Structure'!A:B,2,0)</f>
        <v>#N/A</v>
      </c>
      <c r="M49" s="10"/>
    </row>
    <row r="50" spans="2:13">
      <c r="B50"/>
      <c r="C50"/>
      <c r="D50"/>
      <c r="E50"/>
      <c r="F50"/>
      <c r="G50"/>
      <c r="H50" s="76" t="e">
        <f>VLOOKUP(B50,'IT Structure'!A:D,4,0)*VLOOKUP(E50,'time target'!A:D,4,0)*20/30</f>
        <v>#N/A</v>
      </c>
      <c r="I50" s="7" t="e">
        <f>(1-VLOOKUP(B50,'IT Structure'!A:D,4,0))*VLOOKUP(E50,'time target'!A:D,4,0)*20/30</f>
        <v>#N/A</v>
      </c>
      <c r="J50" s="50" t="e">
        <f t="shared" si="0"/>
        <v>#N/A</v>
      </c>
      <c r="K50" s="50" t="e">
        <f t="shared" si="1"/>
        <v>#N/A</v>
      </c>
      <c r="L50" s="62" t="e">
        <f>VLOOKUP(B50,'IT Structure'!A:B,2,0)</f>
        <v>#N/A</v>
      </c>
      <c r="M50" s="10"/>
    </row>
    <row r="51" spans="2:13">
      <c r="B51"/>
      <c r="C51"/>
      <c r="D51"/>
      <c r="E51"/>
      <c r="F51"/>
      <c r="G51"/>
      <c r="H51" s="76" t="e">
        <f>VLOOKUP(B51,'IT Structure'!A:D,4,0)*VLOOKUP(E51,'time target'!A:D,4,0)*20/30</f>
        <v>#N/A</v>
      </c>
      <c r="I51" s="7" t="e">
        <f>(1-VLOOKUP(B51,'IT Structure'!A:D,4,0))*VLOOKUP(E51,'time target'!A:D,4,0)*20/30</f>
        <v>#N/A</v>
      </c>
      <c r="J51" s="50" t="e">
        <f t="shared" si="0"/>
        <v>#N/A</v>
      </c>
      <c r="K51" s="50" t="e">
        <f t="shared" si="1"/>
        <v>#N/A</v>
      </c>
      <c r="L51" s="62" t="e">
        <f>VLOOKUP(B51,'IT Structure'!A:B,2,0)</f>
        <v>#N/A</v>
      </c>
      <c r="M51" s="10"/>
    </row>
    <row r="52" spans="2:13">
      <c r="B52"/>
      <c r="C52"/>
      <c r="D52"/>
      <c r="E52"/>
      <c r="F52"/>
      <c r="G52"/>
      <c r="H52" s="76" t="e">
        <f>VLOOKUP(B52,'IT Structure'!A:D,4,0)*VLOOKUP(E52,'time target'!A:D,4,0)*20/30</f>
        <v>#N/A</v>
      </c>
      <c r="I52" s="7" t="e">
        <f>(1-VLOOKUP(B52,'IT Structure'!A:D,4,0))*VLOOKUP(E52,'time target'!A:D,4,0)*20/30</f>
        <v>#N/A</v>
      </c>
      <c r="J52" s="50" t="e">
        <f t="shared" si="0"/>
        <v>#N/A</v>
      </c>
      <c r="K52" s="50" t="e">
        <f t="shared" si="1"/>
        <v>#N/A</v>
      </c>
      <c r="L52" s="62" t="e">
        <f>VLOOKUP(B52,'IT Structure'!A:B,2,0)</f>
        <v>#N/A</v>
      </c>
      <c r="M52" s="10"/>
    </row>
    <row r="53" spans="2:13">
      <c r="B53"/>
      <c r="C53"/>
      <c r="D53"/>
      <c r="E53"/>
      <c r="F53"/>
      <c r="G53"/>
      <c r="H53" s="76" t="e">
        <f>VLOOKUP(B53,'IT Structure'!A:D,4,0)*VLOOKUP(E53,'time target'!A:D,4,0)*20/30</f>
        <v>#N/A</v>
      </c>
      <c r="I53" s="7" t="e">
        <f>(1-VLOOKUP(B53,'IT Structure'!A:D,4,0))*VLOOKUP(E53,'time target'!A:D,4,0)*20/30</f>
        <v>#N/A</v>
      </c>
      <c r="J53" s="50" t="e">
        <f t="shared" si="0"/>
        <v>#N/A</v>
      </c>
      <c r="K53" s="50" t="e">
        <f t="shared" si="1"/>
        <v>#N/A</v>
      </c>
      <c r="L53" s="62" t="e">
        <f>VLOOKUP(B53,'IT Structure'!A:B,2,0)</f>
        <v>#N/A</v>
      </c>
      <c r="M53" s="10"/>
    </row>
    <row r="54" spans="2:13">
      <c r="B54"/>
      <c r="C54"/>
      <c r="D54"/>
      <c r="E54"/>
      <c r="F54"/>
      <c r="G54"/>
      <c r="H54" s="76" t="e">
        <f>VLOOKUP(B54,'IT Structure'!A:D,4,0)*VLOOKUP(E54,'time target'!A:D,4,0)*20/30</f>
        <v>#N/A</v>
      </c>
      <c r="I54" s="7" t="e">
        <f>(1-VLOOKUP(B54,'IT Structure'!A:D,4,0))*VLOOKUP(E54,'time target'!A:D,4,0)*20/30</f>
        <v>#N/A</v>
      </c>
      <c r="J54" s="50" t="e">
        <f t="shared" si="0"/>
        <v>#N/A</v>
      </c>
      <c r="K54" s="50" t="e">
        <f t="shared" si="1"/>
        <v>#N/A</v>
      </c>
      <c r="L54" s="62" t="e">
        <f>VLOOKUP(B54,'IT Structure'!A:B,2,0)</f>
        <v>#N/A</v>
      </c>
      <c r="M54" s="10"/>
    </row>
    <row r="55" spans="2:13">
      <c r="B55"/>
      <c r="C55"/>
      <c r="D55"/>
      <c r="E55"/>
      <c r="F55"/>
      <c r="G55"/>
      <c r="H55" s="76" t="e">
        <f>VLOOKUP(B55,'IT Structure'!A:D,4,0)*VLOOKUP(E55,'time target'!A:D,4,0)*20/30</f>
        <v>#N/A</v>
      </c>
      <c r="I55" s="7" t="e">
        <f>(1-VLOOKUP(B55,'IT Structure'!A:D,4,0))*VLOOKUP(E55,'time target'!A:D,4,0)*20/30</f>
        <v>#N/A</v>
      </c>
      <c r="J55" s="50" t="e">
        <f t="shared" si="0"/>
        <v>#N/A</v>
      </c>
      <c r="K55" s="50" t="e">
        <f t="shared" si="1"/>
        <v>#N/A</v>
      </c>
      <c r="L55" s="62" t="e">
        <f>VLOOKUP(B55,'IT Structure'!A:B,2,0)</f>
        <v>#N/A</v>
      </c>
      <c r="M55" s="10"/>
    </row>
    <row r="56" spans="2:13">
      <c r="B56"/>
      <c r="C56"/>
      <c r="D56"/>
      <c r="E56"/>
      <c r="F56"/>
      <c r="G56"/>
      <c r="H56" s="76" t="e">
        <f>VLOOKUP(B56,'IT Structure'!A:D,4,0)*VLOOKUP(E56,'time target'!A:D,4,0)*20/30</f>
        <v>#N/A</v>
      </c>
      <c r="I56" s="7" t="e">
        <f>(1-VLOOKUP(B56,'IT Structure'!A:D,4,0))*VLOOKUP(E56,'time target'!A:D,4,0)*20/30</f>
        <v>#N/A</v>
      </c>
      <c r="J56" s="50" t="e">
        <f t="shared" si="0"/>
        <v>#N/A</v>
      </c>
      <c r="K56" s="50" t="e">
        <f t="shared" si="1"/>
        <v>#N/A</v>
      </c>
      <c r="L56" s="62" t="e">
        <f>VLOOKUP(B56,'IT Structure'!A:B,2,0)</f>
        <v>#N/A</v>
      </c>
      <c r="M56" s="10"/>
    </row>
    <row r="57" spans="2:13">
      <c r="B57"/>
      <c r="C57"/>
      <c r="D57"/>
      <c r="E57"/>
      <c r="F57"/>
      <c r="G57"/>
      <c r="H57" s="76" t="e">
        <f>VLOOKUP(B57,'IT Structure'!A:D,4,0)*VLOOKUP(E57,'time target'!A:D,4,0)*20/30</f>
        <v>#N/A</v>
      </c>
      <c r="I57" s="7" t="e">
        <f>(1-VLOOKUP(B57,'IT Structure'!A:D,4,0))*VLOOKUP(E57,'time target'!A:D,4,0)*20/30</f>
        <v>#N/A</v>
      </c>
      <c r="J57" s="50" t="e">
        <f t="shared" si="0"/>
        <v>#N/A</v>
      </c>
      <c r="K57" s="50" t="e">
        <f t="shared" si="1"/>
        <v>#N/A</v>
      </c>
      <c r="L57" s="62" t="e">
        <f>VLOOKUP(B57,'IT Structure'!A:B,2,0)</f>
        <v>#N/A</v>
      </c>
      <c r="M57" s="10"/>
    </row>
    <row r="58" spans="2:13">
      <c r="B58"/>
      <c r="C58"/>
      <c r="D58"/>
      <c r="E58"/>
      <c r="F58"/>
      <c r="G58"/>
      <c r="H58" s="76" t="e">
        <f>VLOOKUP(B58,'IT Structure'!A:D,4,0)*VLOOKUP(E58,'time target'!A:D,4,0)*20/30</f>
        <v>#N/A</v>
      </c>
      <c r="I58" s="7" t="e">
        <f>(1-VLOOKUP(B58,'IT Structure'!A:D,4,0))*VLOOKUP(E58,'time target'!A:D,4,0)*20/30</f>
        <v>#N/A</v>
      </c>
      <c r="J58" s="50" t="e">
        <f t="shared" si="0"/>
        <v>#N/A</v>
      </c>
      <c r="K58" s="50" t="e">
        <f t="shared" si="1"/>
        <v>#N/A</v>
      </c>
      <c r="L58" s="62" t="e">
        <f>VLOOKUP(B58,'IT Structure'!A:B,2,0)</f>
        <v>#N/A</v>
      </c>
      <c r="M58" s="10"/>
    </row>
    <row r="59" spans="2:13">
      <c r="B59"/>
      <c r="C59"/>
      <c r="D59"/>
      <c r="E59"/>
      <c r="F59"/>
      <c r="G59"/>
      <c r="H59" s="76" t="e">
        <f>VLOOKUP(B59,'IT Structure'!A:D,4,0)*VLOOKUP(E59,'time target'!A:D,4,0)*20/30</f>
        <v>#N/A</v>
      </c>
      <c r="I59" s="7" t="e">
        <f>(1-VLOOKUP(B59,'IT Structure'!A:D,4,0))*VLOOKUP(E59,'time target'!A:D,4,0)*20/30</f>
        <v>#N/A</v>
      </c>
      <c r="J59" s="50" t="e">
        <f t="shared" si="0"/>
        <v>#N/A</v>
      </c>
      <c r="K59" s="50" t="e">
        <f t="shared" si="1"/>
        <v>#N/A</v>
      </c>
      <c r="L59" s="62" t="e">
        <f>VLOOKUP(B59,'IT Structure'!A:B,2,0)</f>
        <v>#N/A</v>
      </c>
      <c r="M59" s="10"/>
    </row>
    <row r="60" spans="2:13">
      <c r="B60"/>
      <c r="C60"/>
      <c r="D60"/>
      <c r="E60"/>
      <c r="F60"/>
      <c r="G60"/>
      <c r="H60" s="76" t="e">
        <f>VLOOKUP(B60,'IT Structure'!A:D,4,0)*VLOOKUP(E60,'time target'!A:D,4,0)*20/30</f>
        <v>#N/A</v>
      </c>
      <c r="I60" s="7" t="e">
        <f>(1-VLOOKUP(B60,'IT Structure'!A:D,4,0))*VLOOKUP(E60,'time target'!A:D,4,0)*20/30</f>
        <v>#N/A</v>
      </c>
      <c r="J60" s="50" t="e">
        <f t="shared" si="0"/>
        <v>#N/A</v>
      </c>
      <c r="K60" s="50" t="e">
        <f t="shared" si="1"/>
        <v>#N/A</v>
      </c>
      <c r="L60" s="62" t="e">
        <f>VLOOKUP(B60,'IT Structure'!A:B,2,0)</f>
        <v>#N/A</v>
      </c>
      <c r="M60" s="10"/>
    </row>
    <row r="61" spans="2:13">
      <c r="B61"/>
      <c r="C61"/>
      <c r="D61"/>
      <c r="E61"/>
      <c r="F61"/>
      <c r="G61"/>
      <c r="H61" s="76" t="e">
        <f>VLOOKUP(B61,'IT Structure'!A:D,4,0)*VLOOKUP(E61,'time target'!A:D,4,0)*20/30</f>
        <v>#N/A</v>
      </c>
      <c r="I61" s="7" t="e">
        <f>(1-VLOOKUP(B61,'IT Structure'!A:D,4,0))*VLOOKUP(E61,'time target'!A:D,4,0)*20/30</f>
        <v>#N/A</v>
      </c>
      <c r="J61" s="50" t="e">
        <f t="shared" si="0"/>
        <v>#N/A</v>
      </c>
      <c r="K61" s="50" t="e">
        <f t="shared" si="1"/>
        <v>#N/A</v>
      </c>
      <c r="L61" s="62" t="e">
        <f>VLOOKUP(B61,'IT Structure'!A:B,2,0)</f>
        <v>#N/A</v>
      </c>
      <c r="M61" s="10"/>
    </row>
    <row r="62" spans="2:13">
      <c r="B62"/>
      <c r="C62"/>
      <c r="D62"/>
      <c r="E62"/>
      <c r="F62"/>
      <c r="G62"/>
      <c r="H62" s="76" t="e">
        <f>VLOOKUP(B62,'IT Structure'!A:D,4,0)*VLOOKUP(E62,'time target'!A:D,4,0)*20/30</f>
        <v>#N/A</v>
      </c>
      <c r="I62" s="7" t="e">
        <f>(1-VLOOKUP(B62,'IT Structure'!A:D,4,0))*VLOOKUP(E62,'time target'!A:D,4,0)*20/30</f>
        <v>#N/A</v>
      </c>
      <c r="J62" s="50" t="e">
        <f t="shared" si="0"/>
        <v>#N/A</v>
      </c>
      <c r="K62" s="50" t="e">
        <f t="shared" si="1"/>
        <v>#N/A</v>
      </c>
      <c r="L62" s="62" t="e">
        <f>VLOOKUP(B62,'IT Structure'!A:B,2,0)</f>
        <v>#N/A</v>
      </c>
      <c r="M62" s="10"/>
    </row>
    <row r="63" spans="2:13">
      <c r="B63"/>
      <c r="C63"/>
      <c r="D63"/>
      <c r="E63"/>
      <c r="F63"/>
      <c r="G63"/>
      <c r="H63" s="76" t="e">
        <f>VLOOKUP(B63,'IT Structure'!A:D,4,0)*VLOOKUP(E63,'time target'!A:D,4,0)*20/30</f>
        <v>#N/A</v>
      </c>
      <c r="I63" s="7" t="e">
        <f>(1-VLOOKUP(B63,'IT Structure'!A:D,4,0))*VLOOKUP(E63,'time target'!A:D,4,0)*20/30</f>
        <v>#N/A</v>
      </c>
      <c r="J63" s="50" t="e">
        <f t="shared" si="0"/>
        <v>#N/A</v>
      </c>
      <c r="K63" s="50" t="e">
        <f t="shared" si="1"/>
        <v>#N/A</v>
      </c>
      <c r="L63" s="62" t="e">
        <f>VLOOKUP(B63,'IT Structure'!A:B,2,0)</f>
        <v>#N/A</v>
      </c>
      <c r="M63" s="10"/>
    </row>
    <row r="64" spans="2:13">
      <c r="B64"/>
      <c r="C64"/>
      <c r="D64"/>
      <c r="E64"/>
      <c r="F64"/>
      <c r="G64"/>
      <c r="H64" s="76" t="e">
        <f>VLOOKUP(B64,'IT Structure'!A:D,4,0)*VLOOKUP(E64,'time target'!A:D,4,0)*20/30</f>
        <v>#N/A</v>
      </c>
      <c r="I64" s="7" t="e">
        <f>(1-VLOOKUP(B64,'IT Structure'!A:D,4,0))*VLOOKUP(E64,'time target'!A:D,4,0)*20/30</f>
        <v>#N/A</v>
      </c>
      <c r="J64" s="50" t="e">
        <f t="shared" si="0"/>
        <v>#N/A</v>
      </c>
      <c r="K64" s="50" t="e">
        <f t="shared" si="1"/>
        <v>#N/A</v>
      </c>
      <c r="L64" s="62" t="e">
        <f>VLOOKUP(B64,'IT Structure'!A:B,2,0)</f>
        <v>#N/A</v>
      </c>
      <c r="M64" s="10"/>
    </row>
    <row r="65" spans="2:13">
      <c r="B65"/>
      <c r="C65"/>
      <c r="D65"/>
      <c r="E65"/>
      <c r="F65"/>
      <c r="G65"/>
      <c r="H65" s="76" t="e">
        <f>VLOOKUP(B65,'IT Structure'!A:D,4,0)*VLOOKUP(E65,'time target'!A:D,4,0)*20/30</f>
        <v>#N/A</v>
      </c>
      <c r="I65" s="7" t="e">
        <f>(1-VLOOKUP(B65,'IT Structure'!A:D,4,0))*VLOOKUP(E65,'time target'!A:D,4,0)*20/30</f>
        <v>#N/A</v>
      </c>
      <c r="J65" s="50" t="e">
        <f t="shared" si="0"/>
        <v>#N/A</v>
      </c>
      <c r="K65" s="50" t="e">
        <f t="shared" si="1"/>
        <v>#N/A</v>
      </c>
      <c r="L65" s="62" t="e">
        <f>VLOOKUP(B65,'IT Structure'!A:B,2,0)</f>
        <v>#N/A</v>
      </c>
      <c r="M65" s="10"/>
    </row>
    <row r="66" spans="2:13">
      <c r="B66"/>
      <c r="C66"/>
      <c r="D66"/>
      <c r="E66"/>
      <c r="F66"/>
      <c r="G66"/>
      <c r="H66" s="76" t="e">
        <f>VLOOKUP(B66,'IT Structure'!A:D,4,0)*VLOOKUP(E66,'time target'!A:D,4,0)*20/30</f>
        <v>#N/A</v>
      </c>
      <c r="I66" s="7" t="e">
        <f>(1-VLOOKUP(B66,'IT Structure'!A:D,4,0))*VLOOKUP(E66,'time target'!A:D,4,0)*20/30</f>
        <v>#N/A</v>
      </c>
      <c r="J66" s="50" t="e">
        <f t="shared" si="0"/>
        <v>#N/A</v>
      </c>
      <c r="K66" s="50" t="e">
        <f t="shared" si="1"/>
        <v>#N/A</v>
      </c>
      <c r="L66" s="62" t="e">
        <f>VLOOKUP(B66,'IT Structure'!A:B,2,0)</f>
        <v>#N/A</v>
      </c>
      <c r="M66" s="10"/>
    </row>
    <row r="67" spans="2:13">
      <c r="B67"/>
      <c r="C67"/>
      <c r="D67"/>
      <c r="E67"/>
      <c r="F67"/>
      <c r="G67"/>
      <c r="H67" s="76" t="e">
        <f>VLOOKUP(B67,'IT Structure'!A:D,4,0)*VLOOKUP(E67,'time target'!A:D,4,0)*20/30</f>
        <v>#N/A</v>
      </c>
      <c r="I67" s="7" t="e">
        <f>(1-VLOOKUP(B67,'IT Structure'!A:D,4,0))*VLOOKUP(E67,'time target'!A:D,4,0)*20/30</f>
        <v>#N/A</v>
      </c>
      <c r="J67" s="50" t="e">
        <f t="shared" si="0"/>
        <v>#N/A</v>
      </c>
      <c r="K67" s="50" t="e">
        <f t="shared" si="1"/>
        <v>#N/A</v>
      </c>
      <c r="L67" s="62" t="e">
        <f>VLOOKUP(B67,'IT Structure'!A:B,2,0)</f>
        <v>#N/A</v>
      </c>
      <c r="M67" s="10"/>
    </row>
    <row r="68" spans="2:13">
      <c r="B68"/>
      <c r="C68"/>
      <c r="D68"/>
      <c r="E68"/>
      <c r="F68"/>
      <c r="G68"/>
      <c r="H68" s="76" t="e">
        <f>VLOOKUP(B68,'IT Structure'!A:D,4,0)*VLOOKUP(E68,'time target'!A:D,4,0)*20/30</f>
        <v>#N/A</v>
      </c>
      <c r="I68" s="7" t="e">
        <f>(1-VLOOKUP(B68,'IT Structure'!A:D,4,0))*VLOOKUP(E68,'time target'!A:D,4,0)*20/30</f>
        <v>#N/A</v>
      </c>
      <c r="J68" s="50" t="e">
        <f t="shared" si="0"/>
        <v>#N/A</v>
      </c>
      <c r="K68" s="50" t="e">
        <f t="shared" si="1"/>
        <v>#N/A</v>
      </c>
      <c r="L68" s="62" t="e">
        <f>VLOOKUP(B68,'IT Structure'!A:B,2,0)</f>
        <v>#N/A</v>
      </c>
      <c r="M68" s="10"/>
    </row>
    <row r="69" spans="2:13">
      <c r="B69"/>
      <c r="C69"/>
      <c r="D69"/>
      <c r="E69"/>
      <c r="F69"/>
      <c r="G69"/>
      <c r="H69" s="76" t="e">
        <f>VLOOKUP(B69,'IT Structure'!A:D,4,0)*VLOOKUP(E69,'time target'!A:D,4,0)*20/30</f>
        <v>#N/A</v>
      </c>
      <c r="I69" s="7" t="e">
        <f>(1-VLOOKUP(B69,'IT Structure'!A:D,4,0))*VLOOKUP(E69,'time target'!A:D,4,0)*20/30</f>
        <v>#N/A</v>
      </c>
      <c r="J69" s="50" t="e">
        <f t="shared" si="0"/>
        <v>#N/A</v>
      </c>
      <c r="K69" s="50" t="e">
        <f t="shared" si="1"/>
        <v>#N/A</v>
      </c>
      <c r="L69" s="62" t="e">
        <f>VLOOKUP(B69,'IT Structure'!A:B,2,0)</f>
        <v>#N/A</v>
      </c>
      <c r="M69" s="10"/>
    </row>
    <row r="70" spans="2:13">
      <c r="B70"/>
      <c r="C70"/>
      <c r="D70"/>
      <c r="E70"/>
      <c r="F70"/>
      <c r="G70"/>
      <c r="H70" s="76" t="e">
        <f>VLOOKUP(B70,'IT Structure'!A:D,4,0)*VLOOKUP(E70,'time target'!A:D,4,0)*20/30</f>
        <v>#N/A</v>
      </c>
      <c r="I70" s="7" t="e">
        <f>(1-VLOOKUP(B70,'IT Structure'!A:D,4,0))*VLOOKUP(E70,'time target'!A:D,4,0)*20/30</f>
        <v>#N/A</v>
      </c>
      <c r="J70" s="50" t="e">
        <f t="shared" si="0"/>
        <v>#N/A</v>
      </c>
      <c r="K70" s="50" t="e">
        <f t="shared" si="1"/>
        <v>#N/A</v>
      </c>
      <c r="L70" s="62" t="e">
        <f>VLOOKUP(B70,'IT Structure'!A:B,2,0)</f>
        <v>#N/A</v>
      </c>
      <c r="M70" s="10"/>
    </row>
    <row r="71" spans="2:13">
      <c r="B71"/>
      <c r="C71"/>
      <c r="D71"/>
      <c r="E71"/>
      <c r="F71"/>
      <c r="G71"/>
      <c r="H71" s="76" t="e">
        <f>VLOOKUP(B71,'IT Structure'!A:D,4,0)*VLOOKUP(E71,'time target'!A:D,4,0)*20/30</f>
        <v>#N/A</v>
      </c>
      <c r="I71" s="7" t="e">
        <f>(1-VLOOKUP(B71,'IT Structure'!A:D,4,0))*VLOOKUP(E71,'time target'!A:D,4,0)*20/30</f>
        <v>#N/A</v>
      </c>
      <c r="J71" s="50" t="e">
        <f t="shared" si="0"/>
        <v>#N/A</v>
      </c>
      <c r="K71" s="50" t="e">
        <f t="shared" si="1"/>
        <v>#N/A</v>
      </c>
      <c r="L71" s="62" t="e">
        <f>VLOOKUP(B71,'IT Structure'!A:B,2,0)</f>
        <v>#N/A</v>
      </c>
      <c r="M71" s="10"/>
    </row>
    <row r="72" spans="2:13">
      <c r="B72"/>
      <c r="C72"/>
      <c r="D72"/>
      <c r="E72"/>
      <c r="F72"/>
      <c r="G72"/>
      <c r="H72" s="76" t="e">
        <f>VLOOKUP(B72,'IT Structure'!A:D,4,0)*VLOOKUP(E72,'time target'!A:D,4,0)*20/30</f>
        <v>#N/A</v>
      </c>
      <c r="I72" s="7" t="e">
        <f>(1-VLOOKUP(B72,'IT Structure'!A:D,4,0))*VLOOKUP(E72,'time target'!A:D,4,0)*20/30</f>
        <v>#N/A</v>
      </c>
      <c r="J72" s="50" t="e">
        <f t="shared" ref="J72:J135" si="2">H72-F72</f>
        <v>#N/A</v>
      </c>
      <c r="K72" s="50" t="e">
        <f t="shared" ref="K72:K135" si="3">I72-G72</f>
        <v>#N/A</v>
      </c>
      <c r="L72" s="62" t="e">
        <f>VLOOKUP(B72,'IT Structure'!A:B,2,0)</f>
        <v>#N/A</v>
      </c>
      <c r="M72" s="10"/>
    </row>
    <row r="73" spans="2:13">
      <c r="B73"/>
      <c r="C73"/>
      <c r="D73"/>
      <c r="E73"/>
      <c r="F73"/>
      <c r="G73"/>
      <c r="H73" s="76" t="e">
        <f>VLOOKUP(B73,'IT Structure'!A:D,4,0)*VLOOKUP(E73,'time target'!A:D,4,0)*20/30</f>
        <v>#N/A</v>
      </c>
      <c r="I73" s="7" t="e">
        <f>(1-VLOOKUP(B73,'IT Structure'!A:D,4,0))*VLOOKUP(E73,'time target'!A:D,4,0)*20/30</f>
        <v>#N/A</v>
      </c>
      <c r="J73" s="50" t="e">
        <f t="shared" si="2"/>
        <v>#N/A</v>
      </c>
      <c r="K73" s="50" t="e">
        <f t="shared" si="3"/>
        <v>#N/A</v>
      </c>
      <c r="L73" s="62" t="e">
        <f>VLOOKUP(B73,'IT Structure'!A:B,2,0)</f>
        <v>#N/A</v>
      </c>
      <c r="M73" s="10"/>
    </row>
    <row r="74" spans="2:13">
      <c r="B74"/>
      <c r="C74"/>
      <c r="D74"/>
      <c r="E74"/>
      <c r="F74"/>
      <c r="G74"/>
      <c r="H74" s="76" t="e">
        <f>VLOOKUP(B74,'IT Structure'!A:D,4,0)*VLOOKUP(E74,'time target'!A:D,4,0)*20/30</f>
        <v>#N/A</v>
      </c>
      <c r="I74" s="7" t="e">
        <f>(1-VLOOKUP(B74,'IT Structure'!A:D,4,0))*VLOOKUP(E74,'time target'!A:D,4,0)*20/30</f>
        <v>#N/A</v>
      </c>
      <c r="J74" s="50" t="e">
        <f t="shared" si="2"/>
        <v>#N/A</v>
      </c>
      <c r="K74" s="50" t="e">
        <f t="shared" si="3"/>
        <v>#N/A</v>
      </c>
      <c r="L74" s="62" t="e">
        <f>VLOOKUP(B74,'IT Structure'!A:B,2,0)</f>
        <v>#N/A</v>
      </c>
      <c r="M74" s="10"/>
    </row>
    <row r="75" spans="2:13">
      <c r="B75"/>
      <c r="C75"/>
      <c r="D75"/>
      <c r="E75"/>
      <c r="F75"/>
      <c r="G75"/>
      <c r="H75" s="76" t="e">
        <f>VLOOKUP(B75,'IT Structure'!A:D,4,0)*VLOOKUP(E75,'time target'!A:D,4,0)*20/30</f>
        <v>#N/A</v>
      </c>
      <c r="I75" s="7" t="e">
        <f>(1-VLOOKUP(B75,'IT Structure'!A:D,4,0))*VLOOKUP(E75,'time target'!A:D,4,0)*20/30</f>
        <v>#N/A</v>
      </c>
      <c r="J75" s="50" t="e">
        <f t="shared" si="2"/>
        <v>#N/A</v>
      </c>
      <c r="K75" s="50" t="e">
        <f t="shared" si="3"/>
        <v>#N/A</v>
      </c>
      <c r="L75" s="62" t="e">
        <f>VLOOKUP(B75,'IT Structure'!A:B,2,0)</f>
        <v>#N/A</v>
      </c>
      <c r="M75" s="10"/>
    </row>
    <row r="76" spans="2:13">
      <c r="B76"/>
      <c r="C76"/>
      <c r="D76"/>
      <c r="E76"/>
      <c r="F76"/>
      <c r="G76"/>
      <c r="H76" s="76" t="e">
        <f>VLOOKUP(B76,'IT Structure'!A:D,4,0)*VLOOKUP(E76,'time target'!A:D,4,0)*20/30</f>
        <v>#N/A</v>
      </c>
      <c r="I76" s="7" t="e">
        <f>(1-VLOOKUP(B76,'IT Structure'!A:D,4,0))*VLOOKUP(E76,'time target'!A:D,4,0)*20/30</f>
        <v>#N/A</v>
      </c>
      <c r="J76" s="50" t="e">
        <f t="shared" si="2"/>
        <v>#N/A</v>
      </c>
      <c r="K76" s="50" t="e">
        <f t="shared" si="3"/>
        <v>#N/A</v>
      </c>
      <c r="L76" s="62" t="e">
        <f>VLOOKUP(B76,'IT Structure'!A:B,2,0)</f>
        <v>#N/A</v>
      </c>
      <c r="M76" s="10"/>
    </row>
    <row r="77" spans="2:13">
      <c r="B77"/>
      <c r="C77"/>
      <c r="D77"/>
      <c r="E77"/>
      <c r="F77"/>
      <c r="G77"/>
      <c r="H77" s="76" t="e">
        <f>VLOOKUP(B77,'IT Structure'!A:D,4,0)*VLOOKUP(E77,'time target'!A:D,4,0)*20/30</f>
        <v>#N/A</v>
      </c>
      <c r="I77" s="7" t="e">
        <f>(1-VLOOKUP(B77,'IT Structure'!A:D,4,0))*VLOOKUP(E77,'time target'!A:D,4,0)*20/30</f>
        <v>#N/A</v>
      </c>
      <c r="J77" s="50" t="e">
        <f t="shared" si="2"/>
        <v>#N/A</v>
      </c>
      <c r="K77" s="50" t="e">
        <f t="shared" si="3"/>
        <v>#N/A</v>
      </c>
      <c r="L77" s="62" t="e">
        <f>VLOOKUP(B77,'IT Structure'!A:B,2,0)</f>
        <v>#N/A</v>
      </c>
      <c r="M77" s="10"/>
    </row>
    <row r="78" spans="2:13">
      <c r="B78"/>
      <c r="C78"/>
      <c r="D78"/>
      <c r="E78"/>
      <c r="F78"/>
      <c r="G78"/>
      <c r="H78" s="76" t="e">
        <f>VLOOKUP(B78,'IT Structure'!A:D,4,0)*VLOOKUP(E78,'time target'!A:D,4,0)*20/30</f>
        <v>#N/A</v>
      </c>
      <c r="I78" s="7" t="e">
        <f>(1-VLOOKUP(B78,'IT Structure'!A:D,4,0))*VLOOKUP(E78,'time target'!A:D,4,0)*20/30</f>
        <v>#N/A</v>
      </c>
      <c r="J78" s="50" t="e">
        <f t="shared" si="2"/>
        <v>#N/A</v>
      </c>
      <c r="K78" s="50" t="e">
        <f t="shared" si="3"/>
        <v>#N/A</v>
      </c>
      <c r="L78" s="62" t="e">
        <f>VLOOKUP(B78,'IT Structure'!A:B,2,0)</f>
        <v>#N/A</v>
      </c>
      <c r="M78" s="10"/>
    </row>
    <row r="79" spans="2:13">
      <c r="B79"/>
      <c r="C79"/>
      <c r="D79"/>
      <c r="E79"/>
      <c r="F79"/>
      <c r="G79"/>
      <c r="H79" s="76" t="e">
        <f>VLOOKUP(B79,'IT Structure'!A:D,4,0)*VLOOKUP(E79,'time target'!A:D,4,0)*20/30</f>
        <v>#N/A</v>
      </c>
      <c r="I79" s="7" t="e">
        <f>(1-VLOOKUP(B79,'IT Structure'!A:D,4,0))*VLOOKUP(E79,'time target'!A:D,4,0)*20/30</f>
        <v>#N/A</v>
      </c>
      <c r="J79" s="50" t="e">
        <f t="shared" si="2"/>
        <v>#N/A</v>
      </c>
      <c r="K79" s="50" t="e">
        <f t="shared" si="3"/>
        <v>#N/A</v>
      </c>
      <c r="L79" s="62" t="e">
        <f>VLOOKUP(B79,'IT Structure'!A:B,2,0)</f>
        <v>#N/A</v>
      </c>
      <c r="M79" s="10"/>
    </row>
    <row r="80" spans="2:13">
      <c r="B80"/>
      <c r="C80"/>
      <c r="D80"/>
      <c r="E80"/>
      <c r="F80"/>
      <c r="G80"/>
      <c r="H80" s="76" t="e">
        <f>VLOOKUP(B80,'IT Structure'!A:D,4,0)*VLOOKUP(E80,'time target'!A:D,4,0)*20/30</f>
        <v>#N/A</v>
      </c>
      <c r="I80" s="7" t="e">
        <f>(1-VLOOKUP(B80,'IT Structure'!A:D,4,0))*VLOOKUP(E80,'time target'!A:D,4,0)*20/30</f>
        <v>#N/A</v>
      </c>
      <c r="J80" s="50" t="e">
        <f t="shared" si="2"/>
        <v>#N/A</v>
      </c>
      <c r="K80" s="50" t="e">
        <f t="shared" si="3"/>
        <v>#N/A</v>
      </c>
      <c r="L80" s="62" t="e">
        <f>VLOOKUP(B80,'IT Structure'!A:B,2,0)</f>
        <v>#N/A</v>
      </c>
      <c r="M80" s="10"/>
    </row>
    <row r="81" spans="2:13">
      <c r="B81"/>
      <c r="C81"/>
      <c r="D81"/>
      <c r="E81"/>
      <c r="F81"/>
      <c r="G81"/>
      <c r="H81" s="76" t="e">
        <f>VLOOKUP(B81,'IT Structure'!A:D,4,0)*VLOOKUP(E81,'time target'!A:D,4,0)*20/30</f>
        <v>#N/A</v>
      </c>
      <c r="I81" s="7" t="e">
        <f>(1-VLOOKUP(B81,'IT Structure'!A:D,4,0))*VLOOKUP(E81,'time target'!A:D,4,0)*20/30</f>
        <v>#N/A</v>
      </c>
      <c r="J81" s="50" t="e">
        <f t="shared" si="2"/>
        <v>#N/A</v>
      </c>
      <c r="K81" s="50" t="e">
        <f t="shared" si="3"/>
        <v>#N/A</v>
      </c>
      <c r="L81" s="62" t="e">
        <f>VLOOKUP(B81,'IT Structure'!A:B,2,0)</f>
        <v>#N/A</v>
      </c>
      <c r="M81" s="10"/>
    </row>
    <row r="82" spans="2:13">
      <c r="B82"/>
      <c r="C82"/>
      <c r="D82"/>
      <c r="E82"/>
      <c r="F82"/>
      <c r="G82"/>
      <c r="H82" s="76" t="e">
        <f>VLOOKUP(B82,'IT Structure'!A:D,4,0)*VLOOKUP(E82,'time target'!A:D,4,0)*20/30</f>
        <v>#N/A</v>
      </c>
      <c r="I82" s="7" t="e">
        <f>(1-VLOOKUP(B82,'IT Structure'!A:D,4,0))*VLOOKUP(E82,'time target'!A:D,4,0)*20/30</f>
        <v>#N/A</v>
      </c>
      <c r="J82" s="50" t="e">
        <f t="shared" si="2"/>
        <v>#N/A</v>
      </c>
      <c r="K82" s="50" t="e">
        <f t="shared" si="3"/>
        <v>#N/A</v>
      </c>
      <c r="L82" s="62" t="e">
        <f>VLOOKUP(B82,'IT Structure'!A:B,2,0)</f>
        <v>#N/A</v>
      </c>
      <c r="M82" s="10"/>
    </row>
    <row r="83" spans="2:13">
      <c r="B83"/>
      <c r="C83"/>
      <c r="D83"/>
      <c r="E83"/>
      <c r="F83"/>
      <c r="G83"/>
      <c r="H83" s="76" t="e">
        <f>VLOOKUP(B83,'IT Structure'!A:D,4,0)*VLOOKUP(E83,'time target'!A:D,4,0)*20/30</f>
        <v>#N/A</v>
      </c>
      <c r="I83" s="7" t="e">
        <f>(1-VLOOKUP(B83,'IT Structure'!A:D,4,0))*VLOOKUP(E83,'time target'!A:D,4,0)*20/30</f>
        <v>#N/A</v>
      </c>
      <c r="J83" s="50" t="e">
        <f t="shared" si="2"/>
        <v>#N/A</v>
      </c>
      <c r="K83" s="50" t="e">
        <f t="shared" si="3"/>
        <v>#N/A</v>
      </c>
      <c r="L83" s="62" t="e">
        <f>VLOOKUP(B83,'IT Structure'!A:B,2,0)</f>
        <v>#N/A</v>
      </c>
      <c r="M83" s="10"/>
    </row>
    <row r="84" spans="2:13">
      <c r="B84"/>
      <c r="C84"/>
      <c r="D84"/>
      <c r="E84"/>
      <c r="F84"/>
      <c r="G84"/>
      <c r="H84" s="76" t="e">
        <f>VLOOKUP(B84,'IT Structure'!A:D,4,0)*VLOOKUP(E84,'time target'!A:D,4,0)*20/30</f>
        <v>#N/A</v>
      </c>
      <c r="I84" s="7" t="e">
        <f>(1-VLOOKUP(B84,'IT Structure'!A:D,4,0))*VLOOKUP(E84,'time target'!A:D,4,0)*20/30</f>
        <v>#N/A</v>
      </c>
      <c r="J84" s="50" t="e">
        <f t="shared" si="2"/>
        <v>#N/A</v>
      </c>
      <c r="K84" s="50" t="e">
        <f t="shared" si="3"/>
        <v>#N/A</v>
      </c>
      <c r="L84" s="62" t="e">
        <f>VLOOKUP(B84,'IT Structure'!A:B,2,0)</f>
        <v>#N/A</v>
      </c>
      <c r="M84" s="10"/>
    </row>
    <row r="85" spans="2:13">
      <c r="B85"/>
      <c r="C85"/>
      <c r="D85"/>
      <c r="E85"/>
      <c r="F85"/>
      <c r="G85"/>
      <c r="H85" s="76" t="e">
        <f>VLOOKUP(B85,'IT Structure'!A:D,4,0)*VLOOKUP(E85,'time target'!A:D,4,0)*20/30</f>
        <v>#N/A</v>
      </c>
      <c r="I85" s="7" t="e">
        <f>(1-VLOOKUP(B85,'IT Structure'!A:D,4,0))*VLOOKUP(E85,'time target'!A:D,4,0)*20/30</f>
        <v>#N/A</v>
      </c>
      <c r="J85" s="50" t="e">
        <f t="shared" si="2"/>
        <v>#N/A</v>
      </c>
      <c r="K85" s="50" t="e">
        <f t="shared" si="3"/>
        <v>#N/A</v>
      </c>
      <c r="L85" s="62" t="e">
        <f>VLOOKUP(B85,'IT Structure'!A:B,2,0)</f>
        <v>#N/A</v>
      </c>
      <c r="M85" s="10"/>
    </row>
    <row r="86" spans="2:13">
      <c r="B86"/>
      <c r="C86"/>
      <c r="D86"/>
      <c r="E86"/>
      <c r="F86"/>
      <c r="G86"/>
      <c r="H86" s="76" t="e">
        <f>VLOOKUP(B86,'IT Structure'!A:D,4,0)*VLOOKUP(E86,'time target'!A:D,4,0)*20/30</f>
        <v>#N/A</v>
      </c>
      <c r="I86" s="7" t="e">
        <f>(1-VLOOKUP(B86,'IT Structure'!A:D,4,0))*VLOOKUP(E86,'time target'!A:D,4,0)*20/30</f>
        <v>#N/A</v>
      </c>
      <c r="J86" s="50" t="e">
        <f t="shared" si="2"/>
        <v>#N/A</v>
      </c>
      <c r="K86" s="50" t="e">
        <f t="shared" si="3"/>
        <v>#N/A</v>
      </c>
      <c r="L86" s="62" t="e">
        <f>VLOOKUP(B86,'IT Structure'!A:B,2,0)</f>
        <v>#N/A</v>
      </c>
      <c r="M86" s="10"/>
    </row>
    <row r="87" spans="2:13">
      <c r="B87"/>
      <c r="C87"/>
      <c r="D87"/>
      <c r="E87"/>
      <c r="F87"/>
      <c r="G87"/>
      <c r="H87" s="76" t="e">
        <f>VLOOKUP(B87,'IT Structure'!A:D,4,0)*VLOOKUP(E87,'time target'!A:D,4,0)*20/30</f>
        <v>#N/A</v>
      </c>
      <c r="I87" s="7" t="e">
        <f>(1-VLOOKUP(B87,'IT Structure'!A:D,4,0))*VLOOKUP(E87,'time target'!A:D,4,0)*20/30</f>
        <v>#N/A</v>
      </c>
      <c r="J87" s="50" t="e">
        <f t="shared" si="2"/>
        <v>#N/A</v>
      </c>
      <c r="K87" s="50" t="e">
        <f t="shared" si="3"/>
        <v>#N/A</v>
      </c>
      <c r="L87" s="62" t="e">
        <f>VLOOKUP(B87,'IT Structure'!A:B,2,0)</f>
        <v>#N/A</v>
      </c>
      <c r="M87" s="10"/>
    </row>
    <row r="88" spans="2:13">
      <c r="B88"/>
      <c r="C88"/>
      <c r="D88"/>
      <c r="E88"/>
      <c r="F88"/>
      <c r="G88"/>
      <c r="H88" s="76" t="e">
        <f>VLOOKUP(B88,'IT Structure'!A:D,4,0)*VLOOKUP(E88,'time target'!A:D,4,0)*20/30</f>
        <v>#N/A</v>
      </c>
      <c r="I88" s="7" t="e">
        <f>(1-VLOOKUP(B88,'IT Structure'!A:D,4,0))*VLOOKUP(E88,'time target'!A:D,4,0)*20/30</f>
        <v>#N/A</v>
      </c>
      <c r="J88" s="50" t="e">
        <f t="shared" si="2"/>
        <v>#N/A</v>
      </c>
      <c r="K88" s="50" t="e">
        <f t="shared" si="3"/>
        <v>#N/A</v>
      </c>
      <c r="L88" s="62" t="e">
        <f>VLOOKUP(B88,'IT Structure'!A:B,2,0)</f>
        <v>#N/A</v>
      </c>
      <c r="M88" s="10"/>
    </row>
    <row r="89" spans="2:13">
      <c r="B89"/>
      <c r="C89"/>
      <c r="D89"/>
      <c r="E89"/>
      <c r="F89"/>
      <c r="G89"/>
      <c r="H89" s="76" t="e">
        <f>VLOOKUP(B89,'IT Structure'!A:D,4,0)*VLOOKUP(E89,'time target'!A:D,4,0)*20/30</f>
        <v>#N/A</v>
      </c>
      <c r="I89" s="7" t="e">
        <f>(1-VLOOKUP(B89,'IT Structure'!A:D,4,0))*VLOOKUP(E89,'time target'!A:D,4,0)*20/30</f>
        <v>#N/A</v>
      </c>
      <c r="J89" s="50" t="e">
        <f t="shared" si="2"/>
        <v>#N/A</v>
      </c>
      <c r="K89" s="50" t="e">
        <f t="shared" si="3"/>
        <v>#N/A</v>
      </c>
      <c r="L89" s="62" t="e">
        <f>VLOOKUP(B89,'IT Structure'!A:B,2,0)</f>
        <v>#N/A</v>
      </c>
      <c r="M89" s="10"/>
    </row>
    <row r="90" spans="2:13">
      <c r="B90"/>
      <c r="C90"/>
      <c r="D90"/>
      <c r="E90"/>
      <c r="F90"/>
      <c r="G90"/>
      <c r="H90" s="76" t="e">
        <f>VLOOKUP(B90,'IT Structure'!A:D,4,0)*VLOOKUP(E90,'time target'!A:D,4,0)*20/30</f>
        <v>#N/A</v>
      </c>
      <c r="I90" s="7" t="e">
        <f>(1-VLOOKUP(B90,'IT Structure'!A:D,4,0))*VLOOKUP(E90,'time target'!A:D,4,0)*20/30</f>
        <v>#N/A</v>
      </c>
      <c r="J90" s="50" t="e">
        <f t="shared" si="2"/>
        <v>#N/A</v>
      </c>
      <c r="K90" s="50" t="e">
        <f t="shared" si="3"/>
        <v>#N/A</v>
      </c>
      <c r="L90" s="62" t="e">
        <f>VLOOKUP(B90,'IT Structure'!A:B,2,0)</f>
        <v>#N/A</v>
      </c>
      <c r="M90" s="10"/>
    </row>
    <row r="91" spans="2:13">
      <c r="B91"/>
      <c r="C91"/>
      <c r="D91"/>
      <c r="E91"/>
      <c r="F91"/>
      <c r="G91"/>
      <c r="H91" s="76" t="e">
        <f>VLOOKUP(B91,'IT Structure'!A:D,4,0)*VLOOKUP(E91,'time target'!A:D,4,0)*20/30</f>
        <v>#N/A</v>
      </c>
      <c r="I91" s="7" t="e">
        <f>(1-VLOOKUP(B91,'IT Structure'!A:D,4,0))*VLOOKUP(E91,'time target'!A:D,4,0)*20/30</f>
        <v>#N/A</v>
      </c>
      <c r="J91" s="50" t="e">
        <f t="shared" si="2"/>
        <v>#N/A</v>
      </c>
      <c r="K91" s="50" t="e">
        <f t="shared" si="3"/>
        <v>#N/A</v>
      </c>
      <c r="L91" s="62" t="e">
        <f>VLOOKUP(B91,'IT Structure'!A:B,2,0)</f>
        <v>#N/A</v>
      </c>
      <c r="M91" s="10"/>
    </row>
    <row r="92" spans="2:13">
      <c r="B92"/>
      <c r="C92"/>
      <c r="D92"/>
      <c r="E92"/>
      <c r="F92"/>
      <c r="G92"/>
      <c r="H92" s="76" t="e">
        <f>VLOOKUP(B92,'IT Structure'!A:D,4,0)*VLOOKUP(E92,'time target'!A:D,4,0)*20/30</f>
        <v>#N/A</v>
      </c>
      <c r="I92" s="7" t="e">
        <f>(1-VLOOKUP(B92,'IT Structure'!A:D,4,0))*VLOOKUP(E92,'time target'!A:D,4,0)*20/30</f>
        <v>#N/A</v>
      </c>
      <c r="J92" s="50" t="e">
        <f t="shared" si="2"/>
        <v>#N/A</v>
      </c>
      <c r="K92" s="50" t="e">
        <f t="shared" si="3"/>
        <v>#N/A</v>
      </c>
      <c r="L92" s="62" t="e">
        <f>VLOOKUP(B92,'IT Structure'!A:B,2,0)</f>
        <v>#N/A</v>
      </c>
      <c r="M92" s="10"/>
    </row>
    <row r="93" spans="2:13">
      <c r="B93"/>
      <c r="C93"/>
      <c r="D93"/>
      <c r="E93"/>
      <c r="F93"/>
      <c r="G93"/>
      <c r="H93" s="76" t="e">
        <f>VLOOKUP(B93,'IT Structure'!A:D,4,0)*VLOOKUP(E93,'time target'!A:D,4,0)*20/30</f>
        <v>#N/A</v>
      </c>
      <c r="I93" s="7" t="e">
        <f>(1-VLOOKUP(B93,'IT Structure'!A:D,4,0))*VLOOKUP(E93,'time target'!A:D,4,0)*20/30</f>
        <v>#N/A</v>
      </c>
      <c r="J93" s="50" t="e">
        <f t="shared" si="2"/>
        <v>#N/A</v>
      </c>
      <c r="K93" s="50" t="e">
        <f t="shared" si="3"/>
        <v>#N/A</v>
      </c>
      <c r="L93" s="62" t="e">
        <f>VLOOKUP(B93,'IT Structure'!A:B,2,0)</f>
        <v>#N/A</v>
      </c>
      <c r="M93" s="10"/>
    </row>
    <row r="94" spans="2:13">
      <c r="B94"/>
      <c r="C94"/>
      <c r="D94"/>
      <c r="E94"/>
      <c r="F94"/>
      <c r="G94"/>
      <c r="H94" s="76" t="e">
        <f>VLOOKUP(B94,'IT Structure'!A:D,4,0)*VLOOKUP(E94,'time target'!A:D,4,0)*20/30</f>
        <v>#N/A</v>
      </c>
      <c r="I94" s="7" t="e">
        <f>(1-VLOOKUP(B94,'IT Structure'!A:D,4,0))*VLOOKUP(E94,'time target'!A:D,4,0)*20/30</f>
        <v>#N/A</v>
      </c>
      <c r="J94" s="50" t="e">
        <f t="shared" si="2"/>
        <v>#N/A</v>
      </c>
      <c r="K94" s="50" t="e">
        <f t="shared" si="3"/>
        <v>#N/A</v>
      </c>
      <c r="L94" s="62" t="e">
        <f>VLOOKUP(B94,'IT Structure'!A:B,2,0)</f>
        <v>#N/A</v>
      </c>
      <c r="M94" s="10"/>
    </row>
    <row r="95" spans="2:13">
      <c r="B95"/>
      <c r="C95"/>
      <c r="D95"/>
      <c r="E95"/>
      <c r="F95"/>
      <c r="G95"/>
      <c r="H95" s="76" t="e">
        <f>VLOOKUP(B95,'IT Structure'!A:D,4,0)*VLOOKUP(E95,'time target'!A:D,4,0)*20/30</f>
        <v>#N/A</v>
      </c>
      <c r="I95" s="7" t="e">
        <f>(1-VLOOKUP(B95,'IT Structure'!A:D,4,0))*VLOOKUP(E95,'time target'!A:D,4,0)*20/30</f>
        <v>#N/A</v>
      </c>
      <c r="J95" s="50" t="e">
        <f t="shared" si="2"/>
        <v>#N/A</v>
      </c>
      <c r="K95" s="50" t="e">
        <f t="shared" si="3"/>
        <v>#N/A</v>
      </c>
      <c r="L95" s="62" t="e">
        <f>VLOOKUP(B95,'IT Structure'!A:B,2,0)</f>
        <v>#N/A</v>
      </c>
      <c r="M95" s="10"/>
    </row>
    <row r="96" spans="2:13">
      <c r="B96"/>
      <c r="C96"/>
      <c r="D96"/>
      <c r="E96"/>
      <c r="F96"/>
      <c r="G96"/>
      <c r="H96" s="76" t="e">
        <f>VLOOKUP(B96,'IT Structure'!A:D,4,0)*VLOOKUP(E96,'time target'!A:D,4,0)*20/30</f>
        <v>#N/A</v>
      </c>
      <c r="I96" s="7" t="e">
        <f>(1-VLOOKUP(B96,'IT Structure'!A:D,4,0))*VLOOKUP(E96,'time target'!A:D,4,0)*20/30</f>
        <v>#N/A</v>
      </c>
      <c r="J96" s="50" t="e">
        <f t="shared" si="2"/>
        <v>#N/A</v>
      </c>
      <c r="K96" s="50" t="e">
        <f t="shared" si="3"/>
        <v>#N/A</v>
      </c>
      <c r="L96" s="62" t="e">
        <f>VLOOKUP(B96,'IT Structure'!A:B,2,0)</f>
        <v>#N/A</v>
      </c>
      <c r="M96" s="10"/>
    </row>
    <row r="97" spans="2:13">
      <c r="B97"/>
      <c r="C97"/>
      <c r="D97"/>
      <c r="E97"/>
      <c r="F97"/>
      <c r="G97"/>
      <c r="H97" s="76" t="e">
        <f>VLOOKUP(B97,'IT Structure'!A:D,4,0)*VLOOKUP(E97,'time target'!A:D,4,0)*20/30</f>
        <v>#N/A</v>
      </c>
      <c r="I97" s="7" t="e">
        <f>(1-VLOOKUP(B97,'IT Structure'!A:D,4,0))*VLOOKUP(E97,'time target'!A:D,4,0)*20/30</f>
        <v>#N/A</v>
      </c>
      <c r="J97" s="50" t="e">
        <f t="shared" si="2"/>
        <v>#N/A</v>
      </c>
      <c r="K97" s="50" t="e">
        <f t="shared" si="3"/>
        <v>#N/A</v>
      </c>
      <c r="L97" s="62" t="e">
        <f>VLOOKUP(B97,'IT Structure'!A:B,2,0)</f>
        <v>#N/A</v>
      </c>
      <c r="M97" s="10"/>
    </row>
    <row r="98" spans="2:13">
      <c r="B98"/>
      <c r="C98"/>
      <c r="D98"/>
      <c r="E98"/>
      <c r="F98"/>
      <c r="G98"/>
      <c r="H98" s="76" t="e">
        <f>VLOOKUP(B98,'IT Structure'!A:D,4,0)*VLOOKUP(E98,'time target'!A:D,4,0)*20/30</f>
        <v>#N/A</v>
      </c>
      <c r="I98" s="7" t="e">
        <f>(1-VLOOKUP(B98,'IT Structure'!A:D,4,0))*VLOOKUP(E98,'time target'!A:D,4,0)*20/30</f>
        <v>#N/A</v>
      </c>
      <c r="J98" s="50" t="e">
        <f t="shared" si="2"/>
        <v>#N/A</v>
      </c>
      <c r="K98" s="50" t="e">
        <f t="shared" si="3"/>
        <v>#N/A</v>
      </c>
      <c r="L98" s="62" t="e">
        <f>VLOOKUP(B98,'IT Structure'!A:B,2,0)</f>
        <v>#N/A</v>
      </c>
      <c r="M98" s="10"/>
    </row>
    <row r="99" spans="2:13">
      <c r="B99"/>
      <c r="C99"/>
      <c r="D99"/>
      <c r="E99"/>
      <c r="F99"/>
      <c r="G99"/>
      <c r="H99" s="76" t="e">
        <f>VLOOKUP(B99,'IT Structure'!A:D,4,0)*VLOOKUP(E99,'time target'!A:D,4,0)*20/30</f>
        <v>#N/A</v>
      </c>
      <c r="I99" s="7" t="e">
        <f>(1-VLOOKUP(B99,'IT Structure'!A:D,4,0))*VLOOKUP(E99,'time target'!A:D,4,0)*20/30</f>
        <v>#N/A</v>
      </c>
      <c r="J99" s="50" t="e">
        <f t="shared" si="2"/>
        <v>#N/A</v>
      </c>
      <c r="K99" s="50" t="e">
        <f t="shared" si="3"/>
        <v>#N/A</v>
      </c>
      <c r="L99" s="62" t="e">
        <f>VLOOKUP(B99,'IT Structure'!A:B,2,0)</f>
        <v>#N/A</v>
      </c>
      <c r="M99" s="10"/>
    </row>
    <row r="100" spans="2:13">
      <c r="B100"/>
      <c r="C100"/>
      <c r="D100"/>
      <c r="E100"/>
      <c r="F100"/>
      <c r="G100"/>
      <c r="H100" s="76" t="e">
        <f>VLOOKUP(B100,'IT Structure'!A:D,4,0)*VLOOKUP(E100,'time target'!A:D,4,0)*20/30</f>
        <v>#N/A</v>
      </c>
      <c r="I100" s="7" t="e">
        <f>(1-VLOOKUP(B100,'IT Structure'!A:D,4,0))*VLOOKUP(E100,'time target'!A:D,4,0)*20/30</f>
        <v>#N/A</v>
      </c>
      <c r="J100" s="50" t="e">
        <f t="shared" si="2"/>
        <v>#N/A</v>
      </c>
      <c r="K100" s="50" t="e">
        <f t="shared" si="3"/>
        <v>#N/A</v>
      </c>
      <c r="L100" s="62" t="e">
        <f>VLOOKUP(B100,'IT Structure'!A:B,2,0)</f>
        <v>#N/A</v>
      </c>
      <c r="M100" s="10"/>
    </row>
    <row r="101" spans="2:13">
      <c r="B101"/>
      <c r="C101"/>
      <c r="D101"/>
      <c r="E101"/>
      <c r="F101"/>
      <c r="G101"/>
      <c r="H101" s="76" t="e">
        <f>VLOOKUP(B101,'IT Structure'!A:D,4,0)*VLOOKUP(E101,'time target'!A:D,4,0)*20/30</f>
        <v>#N/A</v>
      </c>
      <c r="I101" s="7" t="e">
        <f>(1-VLOOKUP(B101,'IT Structure'!A:D,4,0))*VLOOKUP(E101,'time target'!A:D,4,0)*20/30</f>
        <v>#N/A</v>
      </c>
      <c r="J101" s="50" t="e">
        <f t="shared" si="2"/>
        <v>#N/A</v>
      </c>
      <c r="K101" s="50" t="e">
        <f t="shared" si="3"/>
        <v>#N/A</v>
      </c>
      <c r="L101" s="62" t="e">
        <f>VLOOKUP(B101,'IT Structure'!A:B,2,0)</f>
        <v>#N/A</v>
      </c>
      <c r="M101" s="10"/>
    </row>
    <row r="102" spans="2:13">
      <c r="B102"/>
      <c r="C102"/>
      <c r="D102"/>
      <c r="E102"/>
      <c r="F102"/>
      <c r="G102"/>
      <c r="H102" s="76" t="e">
        <f>VLOOKUP(B102,'IT Structure'!A:D,4,0)*VLOOKUP(E102,'time target'!A:D,4,0)*20/30</f>
        <v>#N/A</v>
      </c>
      <c r="I102" s="7" t="e">
        <f>(1-VLOOKUP(B102,'IT Structure'!A:D,4,0))*VLOOKUP(E102,'time target'!A:D,4,0)*20/30</f>
        <v>#N/A</v>
      </c>
      <c r="J102" s="50" t="e">
        <f t="shared" si="2"/>
        <v>#N/A</v>
      </c>
      <c r="K102" s="50" t="e">
        <f t="shared" si="3"/>
        <v>#N/A</v>
      </c>
      <c r="L102" s="62" t="e">
        <f>VLOOKUP(B102,'IT Structure'!A:B,2,0)</f>
        <v>#N/A</v>
      </c>
      <c r="M102" s="10"/>
    </row>
    <row r="103" spans="2:13">
      <c r="B103"/>
      <c r="C103"/>
      <c r="D103"/>
      <c r="E103"/>
      <c r="F103"/>
      <c r="G103"/>
      <c r="H103" s="76" t="e">
        <f>VLOOKUP(B103,'IT Structure'!A:D,4,0)*VLOOKUP(E103,'time target'!A:D,4,0)*20/30</f>
        <v>#N/A</v>
      </c>
      <c r="I103" s="7" t="e">
        <f>(1-VLOOKUP(B103,'IT Structure'!A:D,4,0))*VLOOKUP(E103,'time target'!A:D,4,0)*20/30</f>
        <v>#N/A</v>
      </c>
      <c r="J103" s="50" t="e">
        <f t="shared" si="2"/>
        <v>#N/A</v>
      </c>
      <c r="K103" s="50" t="e">
        <f t="shared" si="3"/>
        <v>#N/A</v>
      </c>
      <c r="L103" s="62" t="e">
        <f>VLOOKUP(B103,'IT Structure'!A:B,2,0)</f>
        <v>#N/A</v>
      </c>
      <c r="M103" s="10"/>
    </row>
    <row r="104" spans="2:13">
      <c r="B104"/>
      <c r="C104"/>
      <c r="D104"/>
      <c r="E104"/>
      <c r="F104"/>
      <c r="G104"/>
      <c r="H104" s="76" t="e">
        <f>VLOOKUP(B104,'IT Structure'!A:D,4,0)*VLOOKUP(E104,'time target'!A:D,4,0)*20/30</f>
        <v>#N/A</v>
      </c>
      <c r="I104" s="7" t="e">
        <f>(1-VLOOKUP(B104,'IT Structure'!A:D,4,0))*VLOOKUP(E104,'time target'!A:D,4,0)*20/30</f>
        <v>#N/A</v>
      </c>
      <c r="J104" s="50" t="e">
        <f t="shared" si="2"/>
        <v>#N/A</v>
      </c>
      <c r="K104" s="50" t="e">
        <f t="shared" si="3"/>
        <v>#N/A</v>
      </c>
      <c r="L104" s="62" t="e">
        <f>VLOOKUP(B104,'IT Structure'!A:B,2,0)</f>
        <v>#N/A</v>
      </c>
      <c r="M104" s="10"/>
    </row>
    <row r="105" spans="2:13">
      <c r="B105"/>
      <c r="C105"/>
      <c r="D105"/>
      <c r="E105"/>
      <c r="F105"/>
      <c r="G105"/>
      <c r="H105" s="76" t="e">
        <f>VLOOKUP(B105,'IT Structure'!A:D,4,0)*VLOOKUP(E105,'time target'!A:D,4,0)*20/30</f>
        <v>#N/A</v>
      </c>
      <c r="I105" s="7" t="e">
        <f>(1-VLOOKUP(B105,'IT Structure'!A:D,4,0))*VLOOKUP(E105,'time target'!A:D,4,0)*20/30</f>
        <v>#N/A</v>
      </c>
      <c r="J105" s="50" t="e">
        <f t="shared" si="2"/>
        <v>#N/A</v>
      </c>
      <c r="K105" s="50" t="e">
        <f t="shared" si="3"/>
        <v>#N/A</v>
      </c>
      <c r="L105" s="62" t="e">
        <f>VLOOKUP(B105,'IT Structure'!A:B,2,0)</f>
        <v>#N/A</v>
      </c>
      <c r="M105" s="10"/>
    </row>
    <row r="106" spans="2:13">
      <c r="B106"/>
      <c r="C106"/>
      <c r="D106"/>
      <c r="E106"/>
      <c r="F106"/>
      <c r="G106"/>
      <c r="H106" s="76" t="e">
        <f>VLOOKUP(B106,'IT Structure'!A:D,4,0)*VLOOKUP(E106,'time target'!A:D,4,0)*20/30</f>
        <v>#N/A</v>
      </c>
      <c r="I106" s="7" t="e">
        <f>(1-VLOOKUP(B106,'IT Structure'!A:D,4,0))*VLOOKUP(E106,'time target'!A:D,4,0)*20/30</f>
        <v>#N/A</v>
      </c>
      <c r="J106" s="50" t="e">
        <f t="shared" si="2"/>
        <v>#N/A</v>
      </c>
      <c r="K106" s="50" t="e">
        <f t="shared" si="3"/>
        <v>#N/A</v>
      </c>
      <c r="L106" s="62" t="e">
        <f>VLOOKUP(B106,'IT Structure'!A:B,2,0)</f>
        <v>#N/A</v>
      </c>
      <c r="M106" s="10"/>
    </row>
    <row r="107" spans="2:13">
      <c r="B107"/>
      <c r="C107"/>
      <c r="D107"/>
      <c r="E107"/>
      <c r="F107"/>
      <c r="G107"/>
      <c r="H107" s="76" t="e">
        <f>VLOOKUP(B107,'IT Structure'!A:D,4,0)*VLOOKUP(E107,'time target'!A:D,4,0)*20/30</f>
        <v>#N/A</v>
      </c>
      <c r="I107" s="7" t="e">
        <f>(1-VLOOKUP(B107,'IT Structure'!A:D,4,0))*VLOOKUP(E107,'time target'!A:D,4,0)*20/30</f>
        <v>#N/A</v>
      </c>
      <c r="J107" s="50" t="e">
        <f t="shared" si="2"/>
        <v>#N/A</v>
      </c>
      <c r="K107" s="50" t="e">
        <f t="shared" si="3"/>
        <v>#N/A</v>
      </c>
      <c r="L107" s="62" t="e">
        <f>VLOOKUP(B107,'IT Structure'!A:B,2,0)</f>
        <v>#N/A</v>
      </c>
      <c r="M107" s="10"/>
    </row>
    <row r="108" spans="2:13">
      <c r="B108"/>
      <c r="C108"/>
      <c r="D108"/>
      <c r="E108"/>
      <c r="F108"/>
      <c r="G108"/>
      <c r="H108" s="76" t="e">
        <f>VLOOKUP(B108,'IT Structure'!A:D,4,0)*VLOOKUP(E108,'time target'!A:D,4,0)*20/30</f>
        <v>#N/A</v>
      </c>
      <c r="I108" s="7" t="e">
        <f>(1-VLOOKUP(B108,'IT Structure'!A:D,4,0))*VLOOKUP(E108,'time target'!A:D,4,0)*20/30</f>
        <v>#N/A</v>
      </c>
      <c r="J108" s="50" t="e">
        <f t="shared" si="2"/>
        <v>#N/A</v>
      </c>
      <c r="K108" s="50" t="e">
        <f t="shared" si="3"/>
        <v>#N/A</v>
      </c>
      <c r="L108" s="62" t="e">
        <f>VLOOKUP(B108,'IT Structure'!A:B,2,0)</f>
        <v>#N/A</v>
      </c>
      <c r="M108" s="10"/>
    </row>
    <row r="109" spans="2:13">
      <c r="B109"/>
      <c r="C109"/>
      <c r="D109"/>
      <c r="E109"/>
      <c r="F109"/>
      <c r="G109"/>
      <c r="H109" s="76" t="e">
        <f>VLOOKUP(B109,'IT Structure'!A:D,4,0)*VLOOKUP(E109,'time target'!A:D,4,0)*20/30</f>
        <v>#N/A</v>
      </c>
      <c r="I109" s="7" t="e">
        <f>(1-VLOOKUP(B109,'IT Structure'!A:D,4,0))*VLOOKUP(E109,'time target'!A:D,4,0)*20/30</f>
        <v>#N/A</v>
      </c>
      <c r="J109" s="50" t="e">
        <f t="shared" si="2"/>
        <v>#N/A</v>
      </c>
      <c r="K109" s="50" t="e">
        <f t="shared" si="3"/>
        <v>#N/A</v>
      </c>
      <c r="L109" s="62" t="e">
        <f>VLOOKUP(B109,'IT Structure'!A:B,2,0)</f>
        <v>#N/A</v>
      </c>
      <c r="M109" s="10"/>
    </row>
    <row r="110" spans="2:13">
      <c r="B110"/>
      <c r="C110"/>
      <c r="D110"/>
      <c r="E110"/>
      <c r="F110"/>
      <c r="G110"/>
      <c r="H110" s="76" t="e">
        <f>VLOOKUP(B110,'IT Structure'!A:D,4,0)*VLOOKUP(E110,'time target'!A:D,4,0)*20/30</f>
        <v>#N/A</v>
      </c>
      <c r="I110" s="7" t="e">
        <f>(1-VLOOKUP(B110,'IT Structure'!A:D,4,0))*VLOOKUP(E110,'time target'!A:D,4,0)*20/30</f>
        <v>#N/A</v>
      </c>
      <c r="J110" s="50" t="e">
        <f t="shared" si="2"/>
        <v>#N/A</v>
      </c>
      <c r="K110" s="50" t="e">
        <f t="shared" si="3"/>
        <v>#N/A</v>
      </c>
      <c r="L110" s="62" t="e">
        <f>VLOOKUP(B110,'IT Structure'!A:B,2,0)</f>
        <v>#N/A</v>
      </c>
      <c r="M110" s="10"/>
    </row>
    <row r="111" spans="2:13">
      <c r="B111"/>
      <c r="C111"/>
      <c r="D111"/>
      <c r="E111"/>
      <c r="F111"/>
      <c r="G111"/>
      <c r="H111" s="76" t="e">
        <f>VLOOKUP(B111,'IT Structure'!A:D,4,0)*VLOOKUP(E111,'time target'!A:D,4,0)*20/30</f>
        <v>#N/A</v>
      </c>
      <c r="I111" s="7" t="e">
        <f>(1-VLOOKUP(B111,'IT Structure'!A:D,4,0))*VLOOKUP(E111,'time target'!A:D,4,0)*20/30</f>
        <v>#N/A</v>
      </c>
      <c r="J111" s="50" t="e">
        <f t="shared" si="2"/>
        <v>#N/A</v>
      </c>
      <c r="K111" s="50" t="e">
        <f t="shared" si="3"/>
        <v>#N/A</v>
      </c>
      <c r="L111" s="62" t="e">
        <f>VLOOKUP(B111,'IT Structure'!A:B,2,0)</f>
        <v>#N/A</v>
      </c>
      <c r="M111" s="10"/>
    </row>
    <row r="112" spans="2:13">
      <c r="B112"/>
      <c r="C112"/>
      <c r="D112"/>
      <c r="E112"/>
      <c r="F112"/>
      <c r="G112"/>
      <c r="H112" s="76" t="e">
        <f>VLOOKUP(B112,'IT Structure'!A:D,4,0)*VLOOKUP(E112,'time target'!A:D,4,0)*20/30</f>
        <v>#N/A</v>
      </c>
      <c r="I112" s="7" t="e">
        <f>(1-VLOOKUP(B112,'IT Structure'!A:D,4,0))*VLOOKUP(E112,'time target'!A:D,4,0)*20/30</f>
        <v>#N/A</v>
      </c>
      <c r="J112" s="50" t="e">
        <f t="shared" si="2"/>
        <v>#N/A</v>
      </c>
      <c r="K112" s="50" t="e">
        <f t="shared" si="3"/>
        <v>#N/A</v>
      </c>
      <c r="L112" s="62" t="e">
        <f>VLOOKUP(B112,'IT Structure'!A:B,2,0)</f>
        <v>#N/A</v>
      </c>
      <c r="M112" s="10"/>
    </row>
    <row r="113" spans="2:13">
      <c r="B113"/>
      <c r="C113"/>
      <c r="D113"/>
      <c r="E113"/>
      <c r="F113"/>
      <c r="G113"/>
      <c r="H113" s="76" t="e">
        <f>VLOOKUP(B113,'IT Structure'!A:D,4,0)*VLOOKUP(E113,'time target'!A:D,4,0)*20/30</f>
        <v>#N/A</v>
      </c>
      <c r="I113" s="7" t="e">
        <f>(1-VLOOKUP(B113,'IT Structure'!A:D,4,0))*VLOOKUP(E113,'time target'!A:D,4,0)*20/30</f>
        <v>#N/A</v>
      </c>
      <c r="J113" s="50" t="e">
        <f t="shared" si="2"/>
        <v>#N/A</v>
      </c>
      <c r="K113" s="50" t="e">
        <f t="shared" si="3"/>
        <v>#N/A</v>
      </c>
      <c r="L113" s="62" t="e">
        <f>VLOOKUP(B113,'IT Structure'!A:B,2,0)</f>
        <v>#N/A</v>
      </c>
      <c r="M113" s="10"/>
    </row>
    <row r="114" spans="2:13">
      <c r="B114"/>
      <c r="C114"/>
      <c r="D114"/>
      <c r="E114"/>
      <c r="F114"/>
      <c r="G114"/>
      <c r="H114" s="76" t="e">
        <f>VLOOKUP(B114,'IT Structure'!A:D,4,0)*VLOOKUP(E114,'time target'!A:D,4,0)*20/30</f>
        <v>#N/A</v>
      </c>
      <c r="I114" s="7" t="e">
        <f>(1-VLOOKUP(B114,'IT Structure'!A:D,4,0))*VLOOKUP(E114,'time target'!A:D,4,0)*20/30</f>
        <v>#N/A</v>
      </c>
      <c r="J114" s="50" t="e">
        <f t="shared" si="2"/>
        <v>#N/A</v>
      </c>
      <c r="K114" s="50" t="e">
        <f t="shared" si="3"/>
        <v>#N/A</v>
      </c>
      <c r="L114" s="62" t="e">
        <f>VLOOKUP(B114,'IT Structure'!A:B,2,0)</f>
        <v>#N/A</v>
      </c>
      <c r="M114" s="10"/>
    </row>
    <row r="115" spans="2:13">
      <c r="B115"/>
      <c r="C115"/>
      <c r="D115"/>
      <c r="E115"/>
      <c r="F115"/>
      <c r="G115"/>
      <c r="H115" s="76" t="e">
        <f>VLOOKUP(B115,'IT Structure'!A:D,4,0)*VLOOKUP(E115,'time target'!A:D,4,0)*20/30</f>
        <v>#N/A</v>
      </c>
      <c r="I115" s="7" t="e">
        <f>(1-VLOOKUP(B115,'IT Structure'!A:D,4,0))*VLOOKUP(E115,'time target'!A:D,4,0)*20/30</f>
        <v>#N/A</v>
      </c>
      <c r="J115" s="50" t="e">
        <f t="shared" si="2"/>
        <v>#N/A</v>
      </c>
      <c r="K115" s="50" t="e">
        <f t="shared" si="3"/>
        <v>#N/A</v>
      </c>
      <c r="L115" s="62" t="e">
        <f>VLOOKUP(B115,'IT Structure'!A:B,2,0)</f>
        <v>#N/A</v>
      </c>
      <c r="M115" s="10"/>
    </row>
    <row r="116" spans="2:13">
      <c r="B116"/>
      <c r="C116"/>
      <c r="D116"/>
      <c r="E116"/>
      <c r="F116"/>
      <c r="G116"/>
      <c r="H116" s="76" t="e">
        <f>VLOOKUP(B116,'IT Structure'!A:D,4,0)*VLOOKUP(E116,'time target'!A:D,4,0)*20/30</f>
        <v>#N/A</v>
      </c>
      <c r="I116" s="7" t="e">
        <f>(1-VLOOKUP(B116,'IT Structure'!A:D,4,0))*VLOOKUP(E116,'time target'!A:D,4,0)*20/30</f>
        <v>#N/A</v>
      </c>
      <c r="J116" s="50" t="e">
        <f t="shared" si="2"/>
        <v>#N/A</v>
      </c>
      <c r="K116" s="50" t="e">
        <f t="shared" si="3"/>
        <v>#N/A</v>
      </c>
      <c r="L116" s="62" t="e">
        <f>VLOOKUP(B116,'IT Structure'!A:B,2,0)</f>
        <v>#N/A</v>
      </c>
      <c r="M116" s="10"/>
    </row>
    <row r="117" spans="2:13">
      <c r="B117"/>
      <c r="C117"/>
      <c r="D117"/>
      <c r="E117"/>
      <c r="F117"/>
      <c r="G117"/>
      <c r="H117" s="76" t="e">
        <f>VLOOKUP(B117,'IT Structure'!A:D,4,0)*VLOOKUP(E117,'time target'!A:D,4,0)*20/30</f>
        <v>#N/A</v>
      </c>
      <c r="I117" s="7" t="e">
        <f>(1-VLOOKUP(B117,'IT Structure'!A:D,4,0))*VLOOKUP(E117,'time target'!A:D,4,0)*20/30</f>
        <v>#N/A</v>
      </c>
      <c r="J117" s="50" t="e">
        <f t="shared" si="2"/>
        <v>#N/A</v>
      </c>
      <c r="K117" s="50" t="e">
        <f t="shared" si="3"/>
        <v>#N/A</v>
      </c>
      <c r="L117" s="62" t="e">
        <f>VLOOKUP(B117,'IT Structure'!A:B,2,0)</f>
        <v>#N/A</v>
      </c>
      <c r="M117" s="10"/>
    </row>
    <row r="118" spans="2:13">
      <c r="B118"/>
      <c r="C118"/>
      <c r="D118"/>
      <c r="E118"/>
      <c r="F118"/>
      <c r="G118"/>
      <c r="H118" s="76" t="e">
        <f>VLOOKUP(B118,'IT Structure'!A:D,4,0)*VLOOKUP(E118,'time target'!A:D,4,0)*20/30</f>
        <v>#N/A</v>
      </c>
      <c r="I118" s="7" t="e">
        <f>(1-VLOOKUP(B118,'IT Structure'!A:D,4,0))*VLOOKUP(E118,'time target'!A:D,4,0)*20/30</f>
        <v>#N/A</v>
      </c>
      <c r="J118" s="50" t="e">
        <f t="shared" si="2"/>
        <v>#N/A</v>
      </c>
      <c r="K118" s="50" t="e">
        <f t="shared" si="3"/>
        <v>#N/A</v>
      </c>
      <c r="L118" s="62" t="e">
        <f>VLOOKUP(B118,'IT Structure'!A:B,2,0)</f>
        <v>#N/A</v>
      </c>
      <c r="M118" s="10"/>
    </row>
    <row r="119" spans="2:13">
      <c r="B119"/>
      <c r="C119"/>
      <c r="D119"/>
      <c r="E119"/>
      <c r="F119"/>
      <c r="G119"/>
      <c r="H119" s="76" t="e">
        <f>VLOOKUP(B119,'IT Structure'!A:D,4,0)*VLOOKUP(E119,'time target'!A:D,4,0)*20/30</f>
        <v>#N/A</v>
      </c>
      <c r="I119" s="7" t="e">
        <f>(1-VLOOKUP(B119,'IT Structure'!A:D,4,0))*VLOOKUP(E119,'time target'!A:D,4,0)*20/30</f>
        <v>#N/A</v>
      </c>
      <c r="J119" s="50" t="e">
        <f t="shared" si="2"/>
        <v>#N/A</v>
      </c>
      <c r="K119" s="50" t="e">
        <f t="shared" si="3"/>
        <v>#N/A</v>
      </c>
      <c r="L119" s="62" t="e">
        <f>VLOOKUP(B119,'IT Structure'!A:B,2,0)</f>
        <v>#N/A</v>
      </c>
      <c r="M119" s="10"/>
    </row>
    <row r="120" spans="2:13">
      <c r="B120"/>
      <c r="C120"/>
      <c r="D120"/>
      <c r="E120"/>
      <c r="F120"/>
      <c r="G120"/>
      <c r="H120" s="76" t="e">
        <f>VLOOKUP(B120,'IT Structure'!A:D,4,0)*VLOOKUP(E120,'time target'!A:D,4,0)*20/30</f>
        <v>#N/A</v>
      </c>
      <c r="I120" s="7" t="e">
        <f>(1-VLOOKUP(B120,'IT Structure'!A:D,4,0))*VLOOKUP(E120,'time target'!A:D,4,0)*20/30</f>
        <v>#N/A</v>
      </c>
      <c r="J120" s="50" t="e">
        <f t="shared" si="2"/>
        <v>#N/A</v>
      </c>
      <c r="K120" s="50" t="e">
        <f t="shared" si="3"/>
        <v>#N/A</v>
      </c>
      <c r="L120" s="62" t="e">
        <f>VLOOKUP(B120,'IT Structure'!A:B,2,0)</f>
        <v>#N/A</v>
      </c>
      <c r="M120" s="10"/>
    </row>
    <row r="121" spans="2:13">
      <c r="B121"/>
      <c r="C121"/>
      <c r="D121"/>
      <c r="E121"/>
      <c r="F121"/>
      <c r="G121"/>
      <c r="H121" s="76" t="e">
        <f>VLOOKUP(B121,'IT Structure'!A:D,4,0)*VLOOKUP(E121,'time target'!A:D,4,0)*20/30</f>
        <v>#N/A</v>
      </c>
      <c r="I121" s="7" t="e">
        <f>(1-VLOOKUP(B121,'IT Structure'!A:D,4,0))*VLOOKUP(E121,'time target'!A:D,4,0)*20/30</f>
        <v>#N/A</v>
      </c>
      <c r="J121" s="50" t="e">
        <f t="shared" si="2"/>
        <v>#N/A</v>
      </c>
      <c r="K121" s="50" t="e">
        <f t="shared" si="3"/>
        <v>#N/A</v>
      </c>
      <c r="L121" s="62" t="e">
        <f>VLOOKUP(B121,'IT Structure'!A:B,2,0)</f>
        <v>#N/A</v>
      </c>
      <c r="M121" s="10"/>
    </row>
    <row r="122" spans="2:13">
      <c r="B122"/>
      <c r="C122"/>
      <c r="D122"/>
      <c r="E122"/>
      <c r="F122"/>
      <c r="G122"/>
      <c r="H122" s="76" t="e">
        <f>VLOOKUP(B122,'IT Structure'!A:D,4,0)*VLOOKUP(E122,'time target'!A:D,4,0)*20/30</f>
        <v>#N/A</v>
      </c>
      <c r="I122" s="7" t="e">
        <f>(1-VLOOKUP(B122,'IT Structure'!A:D,4,0))*VLOOKUP(E122,'time target'!A:D,4,0)*20/30</f>
        <v>#N/A</v>
      </c>
      <c r="J122" s="50" t="e">
        <f t="shared" si="2"/>
        <v>#N/A</v>
      </c>
      <c r="K122" s="50" t="e">
        <f t="shared" si="3"/>
        <v>#N/A</v>
      </c>
      <c r="L122" s="62" t="e">
        <f>VLOOKUP(B122,'IT Structure'!A:B,2,0)</f>
        <v>#N/A</v>
      </c>
      <c r="M122" s="10"/>
    </row>
    <row r="123" spans="2:13">
      <c r="B123"/>
      <c r="C123"/>
      <c r="D123"/>
      <c r="E123"/>
      <c r="F123"/>
      <c r="G123"/>
      <c r="H123" s="76" t="e">
        <f>VLOOKUP(B123,'IT Structure'!A:D,4,0)*VLOOKUP(E123,'time target'!A:D,4,0)*20/30</f>
        <v>#N/A</v>
      </c>
      <c r="I123" s="7" t="e">
        <f>(1-VLOOKUP(B123,'IT Structure'!A:D,4,0))*VLOOKUP(E123,'time target'!A:D,4,0)*20/30</f>
        <v>#N/A</v>
      </c>
      <c r="J123" s="50" t="e">
        <f t="shared" si="2"/>
        <v>#N/A</v>
      </c>
      <c r="K123" s="50" t="e">
        <f t="shared" si="3"/>
        <v>#N/A</v>
      </c>
      <c r="L123" s="62" t="e">
        <f>VLOOKUP(B123,'IT Structure'!A:B,2,0)</f>
        <v>#N/A</v>
      </c>
      <c r="M123" s="10"/>
    </row>
    <row r="124" spans="2:13">
      <c r="B124"/>
      <c r="C124"/>
      <c r="D124"/>
      <c r="E124"/>
      <c r="F124"/>
      <c r="G124"/>
      <c r="H124" s="76" t="e">
        <f>VLOOKUP(B124,'IT Structure'!A:D,4,0)*VLOOKUP(E124,'time target'!A:D,4,0)*20/30</f>
        <v>#N/A</v>
      </c>
      <c r="I124" s="7" t="e">
        <f>(1-VLOOKUP(B124,'IT Structure'!A:D,4,0))*VLOOKUP(E124,'time target'!A:D,4,0)*20/30</f>
        <v>#N/A</v>
      </c>
      <c r="J124" s="50" t="e">
        <f t="shared" si="2"/>
        <v>#N/A</v>
      </c>
      <c r="K124" s="50" t="e">
        <f t="shared" si="3"/>
        <v>#N/A</v>
      </c>
      <c r="L124" s="62" t="e">
        <f>VLOOKUP(B124,'IT Structure'!A:B,2,0)</f>
        <v>#N/A</v>
      </c>
      <c r="M124" s="10"/>
    </row>
    <row r="125" spans="2:13">
      <c r="B125"/>
      <c r="C125"/>
      <c r="D125"/>
      <c r="E125"/>
      <c r="F125"/>
      <c r="G125"/>
      <c r="H125" s="76" t="e">
        <f>VLOOKUP(B125,'IT Structure'!A:D,4,0)*VLOOKUP(E125,'time target'!A:D,4,0)*20/30</f>
        <v>#N/A</v>
      </c>
      <c r="I125" s="7" t="e">
        <f>(1-VLOOKUP(B125,'IT Structure'!A:D,4,0))*VLOOKUP(E125,'time target'!A:D,4,0)*20/30</f>
        <v>#N/A</v>
      </c>
      <c r="J125" s="50" t="e">
        <f t="shared" si="2"/>
        <v>#N/A</v>
      </c>
      <c r="K125" s="50" t="e">
        <f t="shared" si="3"/>
        <v>#N/A</v>
      </c>
      <c r="L125" s="62" t="e">
        <f>VLOOKUP(B125,'IT Structure'!A:B,2,0)</f>
        <v>#N/A</v>
      </c>
      <c r="M125" s="10"/>
    </row>
    <row r="126" spans="2:13">
      <c r="B126"/>
      <c r="C126"/>
      <c r="D126"/>
      <c r="E126"/>
      <c r="F126"/>
      <c r="G126"/>
      <c r="H126" s="76" t="e">
        <f>VLOOKUP(B126,'IT Structure'!A:D,4,0)*VLOOKUP(E126,'time target'!A:D,4,0)*20/30</f>
        <v>#N/A</v>
      </c>
      <c r="I126" s="7" t="e">
        <f>(1-VLOOKUP(B126,'IT Structure'!A:D,4,0))*VLOOKUP(E126,'time target'!A:D,4,0)*20/30</f>
        <v>#N/A</v>
      </c>
      <c r="J126" s="50" t="e">
        <f t="shared" si="2"/>
        <v>#N/A</v>
      </c>
      <c r="K126" s="50" t="e">
        <f t="shared" si="3"/>
        <v>#N/A</v>
      </c>
      <c r="L126" s="62" t="e">
        <f>VLOOKUP(B126,'IT Structure'!A:B,2,0)</f>
        <v>#N/A</v>
      </c>
      <c r="M126" s="10"/>
    </row>
    <row r="127" spans="2:13">
      <c r="B127"/>
      <c r="C127"/>
      <c r="D127"/>
      <c r="E127"/>
      <c r="F127"/>
      <c r="G127"/>
      <c r="H127" s="76" t="e">
        <f>VLOOKUP(B127,'IT Structure'!A:D,4,0)*VLOOKUP(E127,'time target'!A:D,4,0)*20/30</f>
        <v>#N/A</v>
      </c>
      <c r="I127" s="7" t="e">
        <f>(1-VLOOKUP(B127,'IT Structure'!A:D,4,0))*VLOOKUP(E127,'time target'!A:D,4,0)*20/30</f>
        <v>#N/A</v>
      </c>
      <c r="J127" s="50" t="e">
        <f t="shared" si="2"/>
        <v>#N/A</v>
      </c>
      <c r="K127" s="50" t="e">
        <f t="shared" si="3"/>
        <v>#N/A</v>
      </c>
      <c r="L127" s="62" t="e">
        <f>VLOOKUP(B127,'IT Structure'!A:B,2,0)</f>
        <v>#N/A</v>
      </c>
      <c r="M127" s="10"/>
    </row>
    <row r="128" spans="2:13">
      <c r="B128"/>
      <c r="C128"/>
      <c r="D128"/>
      <c r="E128"/>
      <c r="F128"/>
      <c r="G128"/>
      <c r="H128" s="76" t="e">
        <f>VLOOKUP(B128,'IT Structure'!A:D,4,0)*VLOOKUP(E128,'time target'!A:D,4,0)*20/30</f>
        <v>#N/A</v>
      </c>
      <c r="I128" s="7" t="e">
        <f>(1-VLOOKUP(B128,'IT Structure'!A:D,4,0))*VLOOKUP(E128,'time target'!A:D,4,0)*20/30</f>
        <v>#N/A</v>
      </c>
      <c r="J128" s="50" t="e">
        <f t="shared" si="2"/>
        <v>#N/A</v>
      </c>
      <c r="K128" s="50" t="e">
        <f t="shared" si="3"/>
        <v>#N/A</v>
      </c>
      <c r="L128" s="62" t="e">
        <f>VLOOKUP(B128,'IT Structure'!A:B,2,0)</f>
        <v>#N/A</v>
      </c>
      <c r="M128" s="10"/>
    </row>
    <row r="129" spans="2:13">
      <c r="B129"/>
      <c r="C129"/>
      <c r="D129"/>
      <c r="E129"/>
      <c r="F129"/>
      <c r="G129"/>
      <c r="H129" s="76" t="e">
        <f>VLOOKUP(B129,'IT Structure'!A:D,4,0)*VLOOKUP(E129,'time target'!A:D,4,0)*20/30</f>
        <v>#N/A</v>
      </c>
      <c r="I129" s="7" t="e">
        <f>(1-VLOOKUP(B129,'IT Structure'!A:D,4,0))*VLOOKUP(E129,'time target'!A:D,4,0)*20/30</f>
        <v>#N/A</v>
      </c>
      <c r="J129" s="50" t="e">
        <f t="shared" si="2"/>
        <v>#N/A</v>
      </c>
      <c r="K129" s="50" t="e">
        <f t="shared" si="3"/>
        <v>#N/A</v>
      </c>
      <c r="L129" s="62" t="e">
        <f>VLOOKUP(B129,'IT Structure'!A:B,2,0)</f>
        <v>#N/A</v>
      </c>
      <c r="M129" s="10"/>
    </row>
    <row r="130" spans="2:13">
      <c r="B130"/>
      <c r="C130"/>
      <c r="D130"/>
      <c r="E130"/>
      <c r="F130"/>
      <c r="G130"/>
      <c r="H130" s="76" t="e">
        <f>VLOOKUP(B130,'IT Structure'!A:D,4,0)*VLOOKUP(E130,'time target'!A:D,4,0)*20/30</f>
        <v>#N/A</v>
      </c>
      <c r="I130" s="7" t="e">
        <f>(1-VLOOKUP(B130,'IT Structure'!A:D,4,0))*VLOOKUP(E130,'time target'!A:D,4,0)*20/30</f>
        <v>#N/A</v>
      </c>
      <c r="J130" s="50" t="e">
        <f t="shared" si="2"/>
        <v>#N/A</v>
      </c>
      <c r="K130" s="50" t="e">
        <f t="shared" si="3"/>
        <v>#N/A</v>
      </c>
      <c r="L130" s="62" t="e">
        <f>VLOOKUP(B130,'IT Structure'!A:B,2,0)</f>
        <v>#N/A</v>
      </c>
      <c r="M130" s="10"/>
    </row>
    <row r="131" spans="2:13">
      <c r="B131"/>
      <c r="C131"/>
      <c r="D131"/>
      <c r="E131"/>
      <c r="F131"/>
      <c r="G131"/>
      <c r="H131" s="76" t="e">
        <f>VLOOKUP(B131,'IT Structure'!A:D,4,0)*VLOOKUP(E131,'time target'!A:D,4,0)*20/30</f>
        <v>#N/A</v>
      </c>
      <c r="I131" s="7" t="e">
        <f>(1-VLOOKUP(B131,'IT Structure'!A:D,4,0))*VLOOKUP(E131,'time target'!A:D,4,0)*20/30</f>
        <v>#N/A</v>
      </c>
      <c r="J131" s="50" t="e">
        <f t="shared" si="2"/>
        <v>#N/A</v>
      </c>
      <c r="K131" s="50" t="e">
        <f t="shared" si="3"/>
        <v>#N/A</v>
      </c>
      <c r="L131" s="62" t="e">
        <f>VLOOKUP(B131,'IT Structure'!A:B,2,0)</f>
        <v>#N/A</v>
      </c>
      <c r="M131" s="10"/>
    </row>
    <row r="132" spans="2:13">
      <c r="B132"/>
      <c r="C132"/>
      <c r="D132"/>
      <c r="E132"/>
      <c r="F132"/>
      <c r="G132"/>
      <c r="H132" s="76" t="e">
        <f>VLOOKUP(B132,'IT Structure'!A:D,4,0)*VLOOKUP(E132,'time target'!A:D,4,0)*20/30</f>
        <v>#N/A</v>
      </c>
      <c r="I132" s="7" t="e">
        <f>(1-VLOOKUP(B132,'IT Structure'!A:D,4,0))*VLOOKUP(E132,'time target'!A:D,4,0)*20/30</f>
        <v>#N/A</v>
      </c>
      <c r="J132" s="50" t="e">
        <f t="shared" si="2"/>
        <v>#N/A</v>
      </c>
      <c r="K132" s="50" t="e">
        <f t="shared" si="3"/>
        <v>#N/A</v>
      </c>
      <c r="L132" s="62" t="e">
        <f>VLOOKUP(B132,'IT Structure'!A:B,2,0)</f>
        <v>#N/A</v>
      </c>
      <c r="M132" s="10"/>
    </row>
    <row r="133" spans="2:13">
      <c r="B133"/>
      <c r="C133"/>
      <c r="D133"/>
      <c r="E133"/>
      <c r="F133"/>
      <c r="G133"/>
      <c r="H133" s="76" t="e">
        <f>VLOOKUP(B133,'IT Structure'!A:D,4,0)*VLOOKUP(E133,'time target'!A:D,4,0)*20/30</f>
        <v>#N/A</v>
      </c>
      <c r="I133" s="7" t="e">
        <f>(1-VLOOKUP(B133,'IT Structure'!A:D,4,0))*VLOOKUP(E133,'time target'!A:D,4,0)*20/30</f>
        <v>#N/A</v>
      </c>
      <c r="J133" s="50" t="e">
        <f t="shared" si="2"/>
        <v>#N/A</v>
      </c>
      <c r="K133" s="50" t="e">
        <f t="shared" si="3"/>
        <v>#N/A</v>
      </c>
      <c r="L133" s="62" t="e">
        <f>VLOOKUP(B133,'IT Structure'!A:B,2,0)</f>
        <v>#N/A</v>
      </c>
      <c r="M133" s="10"/>
    </row>
    <row r="134" spans="2:13">
      <c r="B134"/>
      <c r="C134"/>
      <c r="D134"/>
      <c r="E134"/>
      <c r="F134"/>
      <c r="G134"/>
      <c r="H134" s="76" t="e">
        <f>VLOOKUP(B134,'IT Structure'!A:D,4,0)*VLOOKUP(E134,'time target'!A:D,4,0)*20/30</f>
        <v>#N/A</v>
      </c>
      <c r="I134" s="7" t="e">
        <f>(1-VLOOKUP(B134,'IT Structure'!A:D,4,0))*VLOOKUP(E134,'time target'!A:D,4,0)*20/30</f>
        <v>#N/A</v>
      </c>
      <c r="J134" s="50" t="e">
        <f t="shared" si="2"/>
        <v>#N/A</v>
      </c>
      <c r="K134" s="50" t="e">
        <f t="shared" si="3"/>
        <v>#N/A</v>
      </c>
      <c r="L134" s="62" t="e">
        <f>VLOOKUP(B134,'IT Structure'!A:B,2,0)</f>
        <v>#N/A</v>
      </c>
      <c r="M134" s="10"/>
    </row>
    <row r="135" spans="2:13">
      <c r="B135"/>
      <c r="C135"/>
      <c r="D135"/>
      <c r="E135"/>
      <c r="F135"/>
      <c r="G135"/>
      <c r="H135" s="76" t="e">
        <f>VLOOKUP(B135,'IT Structure'!A:D,4,0)*VLOOKUP(E135,'time target'!A:D,4,0)*20/30</f>
        <v>#N/A</v>
      </c>
      <c r="I135" s="7" t="e">
        <f>(1-VLOOKUP(B135,'IT Structure'!A:D,4,0))*VLOOKUP(E135,'time target'!A:D,4,0)*20/30</f>
        <v>#N/A</v>
      </c>
      <c r="J135" s="50" t="e">
        <f t="shared" si="2"/>
        <v>#N/A</v>
      </c>
      <c r="K135" s="50" t="e">
        <f t="shared" si="3"/>
        <v>#N/A</v>
      </c>
      <c r="L135" s="62" t="e">
        <f>VLOOKUP(B135,'IT Structure'!A:B,2,0)</f>
        <v>#N/A</v>
      </c>
      <c r="M135" s="10"/>
    </row>
    <row r="136" spans="2:13">
      <c r="B136"/>
      <c r="C136"/>
      <c r="D136"/>
      <c r="E136"/>
      <c r="F136"/>
      <c r="G136"/>
      <c r="H136" s="76" t="e">
        <f>VLOOKUP(B136,'IT Structure'!A:D,4,0)*VLOOKUP(E136,'time target'!A:D,4,0)*20/30</f>
        <v>#N/A</v>
      </c>
      <c r="I136" s="7" t="e">
        <f>(1-VLOOKUP(B136,'IT Structure'!A:D,4,0))*VLOOKUP(E136,'time target'!A:D,4,0)*20/30</f>
        <v>#N/A</v>
      </c>
      <c r="J136" s="50" t="e">
        <f t="shared" ref="J136:J199" si="4">H136-F136</f>
        <v>#N/A</v>
      </c>
      <c r="K136" s="50" t="e">
        <f t="shared" ref="K136:K199" si="5">I136-G136</f>
        <v>#N/A</v>
      </c>
      <c r="L136" s="62" t="e">
        <f>VLOOKUP(B136,'IT Structure'!A:B,2,0)</f>
        <v>#N/A</v>
      </c>
      <c r="M136" s="10"/>
    </row>
    <row r="137" spans="2:13">
      <c r="B137"/>
      <c r="C137"/>
      <c r="D137"/>
      <c r="E137"/>
      <c r="F137"/>
      <c r="G137"/>
      <c r="H137" s="76" t="e">
        <f>VLOOKUP(B137,'IT Structure'!A:D,4,0)*VLOOKUP(E137,'time target'!A:D,4,0)*20/30</f>
        <v>#N/A</v>
      </c>
      <c r="I137" s="7" t="e">
        <f>(1-VLOOKUP(B137,'IT Structure'!A:D,4,0))*VLOOKUP(E137,'time target'!A:D,4,0)*20/30</f>
        <v>#N/A</v>
      </c>
      <c r="J137" s="50" t="e">
        <f t="shared" si="4"/>
        <v>#N/A</v>
      </c>
      <c r="K137" s="50" t="e">
        <f t="shared" si="5"/>
        <v>#N/A</v>
      </c>
      <c r="L137" s="62" t="e">
        <f>VLOOKUP(B137,'IT Structure'!A:B,2,0)</f>
        <v>#N/A</v>
      </c>
      <c r="M137" s="10"/>
    </row>
    <row r="138" spans="2:13">
      <c r="B138"/>
      <c r="C138"/>
      <c r="D138"/>
      <c r="E138"/>
      <c r="F138"/>
      <c r="G138"/>
      <c r="H138" s="76" t="e">
        <f>VLOOKUP(B138,'IT Structure'!A:D,4,0)*VLOOKUP(E138,'time target'!A:D,4,0)*20/30</f>
        <v>#N/A</v>
      </c>
      <c r="I138" s="7" t="e">
        <f>(1-VLOOKUP(B138,'IT Structure'!A:D,4,0))*VLOOKUP(E138,'time target'!A:D,4,0)*20/30</f>
        <v>#N/A</v>
      </c>
      <c r="J138" s="50" t="e">
        <f t="shared" si="4"/>
        <v>#N/A</v>
      </c>
      <c r="K138" s="50" t="e">
        <f t="shared" si="5"/>
        <v>#N/A</v>
      </c>
      <c r="L138" s="62" t="e">
        <f>VLOOKUP(B138,'IT Structure'!A:B,2,0)</f>
        <v>#N/A</v>
      </c>
      <c r="M138" s="10"/>
    </row>
    <row r="139" spans="2:13">
      <c r="B139"/>
      <c r="C139"/>
      <c r="D139"/>
      <c r="E139"/>
      <c r="F139"/>
      <c r="G139"/>
      <c r="H139" s="76" t="e">
        <f>VLOOKUP(B139,'IT Structure'!A:D,4,0)*VLOOKUP(E139,'time target'!A:D,4,0)*20/30</f>
        <v>#N/A</v>
      </c>
      <c r="I139" s="7" t="e">
        <f>(1-VLOOKUP(B139,'IT Structure'!A:D,4,0))*VLOOKUP(E139,'time target'!A:D,4,0)*20/30</f>
        <v>#N/A</v>
      </c>
      <c r="J139" s="50" t="e">
        <f t="shared" si="4"/>
        <v>#N/A</v>
      </c>
      <c r="K139" s="50" t="e">
        <f t="shared" si="5"/>
        <v>#N/A</v>
      </c>
      <c r="L139" s="62" t="e">
        <f>VLOOKUP(B139,'IT Structure'!A:B,2,0)</f>
        <v>#N/A</v>
      </c>
      <c r="M139" s="10"/>
    </row>
    <row r="140" spans="2:13">
      <c r="B140"/>
      <c r="C140"/>
      <c r="D140"/>
      <c r="E140"/>
      <c r="F140"/>
      <c r="G140"/>
      <c r="H140" s="76" t="e">
        <f>VLOOKUP(B140,'IT Structure'!A:D,4,0)*VLOOKUP(E140,'time target'!A:D,4,0)*20/30</f>
        <v>#N/A</v>
      </c>
      <c r="I140" s="7" t="e">
        <f>(1-VLOOKUP(B140,'IT Structure'!A:D,4,0))*VLOOKUP(E140,'time target'!A:D,4,0)*20/30</f>
        <v>#N/A</v>
      </c>
      <c r="J140" s="50" t="e">
        <f t="shared" si="4"/>
        <v>#N/A</v>
      </c>
      <c r="K140" s="50" t="e">
        <f t="shared" si="5"/>
        <v>#N/A</v>
      </c>
      <c r="L140" s="62" t="e">
        <f>VLOOKUP(B140,'IT Structure'!A:B,2,0)</f>
        <v>#N/A</v>
      </c>
      <c r="M140" s="10"/>
    </row>
    <row r="141" spans="2:13">
      <c r="B141"/>
      <c r="C141"/>
      <c r="D141"/>
      <c r="E141"/>
      <c r="F141"/>
      <c r="G141"/>
      <c r="H141" s="76" t="e">
        <f>VLOOKUP(B141,'IT Structure'!A:D,4,0)*VLOOKUP(E141,'time target'!A:D,4,0)*20/30</f>
        <v>#N/A</v>
      </c>
      <c r="I141" s="7" t="e">
        <f>(1-VLOOKUP(B141,'IT Structure'!A:D,4,0))*VLOOKUP(E141,'time target'!A:D,4,0)*20/30</f>
        <v>#N/A</v>
      </c>
      <c r="J141" s="50" t="e">
        <f t="shared" si="4"/>
        <v>#N/A</v>
      </c>
      <c r="K141" s="50" t="e">
        <f t="shared" si="5"/>
        <v>#N/A</v>
      </c>
      <c r="L141" s="62" t="e">
        <f>VLOOKUP(B141,'IT Structure'!A:B,2,0)</f>
        <v>#N/A</v>
      </c>
      <c r="M141" s="10"/>
    </row>
    <row r="142" spans="2:13">
      <c r="B142"/>
      <c r="C142"/>
      <c r="D142"/>
      <c r="E142"/>
      <c r="F142"/>
      <c r="G142"/>
      <c r="H142" s="76" t="e">
        <f>VLOOKUP(B142,'IT Structure'!A:D,4,0)*VLOOKUP(E142,'time target'!A:D,4,0)*20/30</f>
        <v>#N/A</v>
      </c>
      <c r="I142" s="7" t="e">
        <f>(1-VLOOKUP(B142,'IT Structure'!A:D,4,0))*VLOOKUP(E142,'time target'!A:D,4,0)*20/30</f>
        <v>#N/A</v>
      </c>
      <c r="J142" s="50" t="e">
        <f t="shared" si="4"/>
        <v>#N/A</v>
      </c>
      <c r="K142" s="50" t="e">
        <f t="shared" si="5"/>
        <v>#N/A</v>
      </c>
      <c r="L142" s="62" t="e">
        <f>VLOOKUP(B142,'IT Structure'!A:B,2,0)</f>
        <v>#N/A</v>
      </c>
      <c r="M142" s="10"/>
    </row>
    <row r="143" spans="2:13">
      <c r="B143"/>
      <c r="C143"/>
      <c r="D143"/>
      <c r="E143"/>
      <c r="F143"/>
      <c r="G143"/>
      <c r="H143" s="76" t="e">
        <f>VLOOKUP(B143,'IT Structure'!A:D,4,0)*VLOOKUP(E143,'time target'!A:D,4,0)*20/30</f>
        <v>#N/A</v>
      </c>
      <c r="I143" s="7" t="e">
        <f>(1-VLOOKUP(B143,'IT Structure'!A:D,4,0))*VLOOKUP(E143,'time target'!A:D,4,0)*20/30</f>
        <v>#N/A</v>
      </c>
      <c r="J143" s="50" t="e">
        <f t="shared" si="4"/>
        <v>#N/A</v>
      </c>
      <c r="K143" s="50" t="e">
        <f t="shared" si="5"/>
        <v>#N/A</v>
      </c>
      <c r="L143" s="62" t="e">
        <f>VLOOKUP(B143,'IT Structure'!A:B,2,0)</f>
        <v>#N/A</v>
      </c>
      <c r="M143" s="10"/>
    </row>
    <row r="144" spans="2:13">
      <c r="B144"/>
      <c r="C144"/>
      <c r="D144"/>
      <c r="E144"/>
      <c r="F144"/>
      <c r="G144"/>
      <c r="H144" s="76" t="e">
        <f>VLOOKUP(B144,'IT Structure'!A:D,4,0)*VLOOKUP(E144,'time target'!A:D,4,0)*20/30</f>
        <v>#N/A</v>
      </c>
      <c r="I144" s="7" t="e">
        <f>(1-VLOOKUP(B144,'IT Structure'!A:D,4,0))*VLOOKUP(E144,'time target'!A:D,4,0)*20/30</f>
        <v>#N/A</v>
      </c>
      <c r="J144" s="50" t="e">
        <f t="shared" si="4"/>
        <v>#N/A</v>
      </c>
      <c r="K144" s="50" t="e">
        <f t="shared" si="5"/>
        <v>#N/A</v>
      </c>
      <c r="L144" s="62" t="e">
        <f>VLOOKUP(B144,'IT Structure'!A:B,2,0)</f>
        <v>#N/A</v>
      </c>
      <c r="M144" s="10"/>
    </row>
    <row r="145" spans="2:13">
      <c r="B145"/>
      <c r="C145"/>
      <c r="D145"/>
      <c r="E145"/>
      <c r="F145"/>
      <c r="G145"/>
      <c r="H145" s="76" t="e">
        <f>VLOOKUP(B145,'IT Structure'!A:D,4,0)*VLOOKUP(E145,'time target'!A:D,4,0)*20/30</f>
        <v>#N/A</v>
      </c>
      <c r="I145" s="7" t="e">
        <f>(1-VLOOKUP(B145,'IT Structure'!A:D,4,0))*VLOOKUP(E145,'time target'!A:D,4,0)*20/30</f>
        <v>#N/A</v>
      </c>
      <c r="J145" s="50" t="e">
        <f t="shared" si="4"/>
        <v>#N/A</v>
      </c>
      <c r="K145" s="50" t="e">
        <f t="shared" si="5"/>
        <v>#N/A</v>
      </c>
      <c r="L145" s="62" t="e">
        <f>VLOOKUP(B145,'IT Structure'!A:B,2,0)</f>
        <v>#N/A</v>
      </c>
      <c r="M145" s="10"/>
    </row>
    <row r="146" spans="2:13">
      <c r="B146"/>
      <c r="C146"/>
      <c r="D146"/>
      <c r="E146"/>
      <c r="F146"/>
      <c r="G146"/>
      <c r="H146" s="76" t="e">
        <f>VLOOKUP(B146,'IT Structure'!A:D,4,0)*VLOOKUP(E146,'time target'!A:D,4,0)*20/30</f>
        <v>#N/A</v>
      </c>
      <c r="I146" s="7" t="e">
        <f>(1-VLOOKUP(B146,'IT Structure'!A:D,4,0))*VLOOKUP(E146,'time target'!A:D,4,0)*20/30</f>
        <v>#N/A</v>
      </c>
      <c r="J146" s="50" t="e">
        <f t="shared" si="4"/>
        <v>#N/A</v>
      </c>
      <c r="K146" s="50" t="e">
        <f t="shared" si="5"/>
        <v>#N/A</v>
      </c>
      <c r="L146" s="62" t="e">
        <f>VLOOKUP(B146,'IT Structure'!A:B,2,0)</f>
        <v>#N/A</v>
      </c>
      <c r="M146" s="10"/>
    </row>
    <row r="147" spans="2:13">
      <c r="B147"/>
      <c r="C147"/>
      <c r="D147"/>
      <c r="E147"/>
      <c r="F147"/>
      <c r="G147"/>
      <c r="H147" s="76" t="e">
        <f>VLOOKUP(B147,'IT Structure'!A:D,4,0)*VLOOKUP(E147,'time target'!A:D,4,0)*20/30</f>
        <v>#N/A</v>
      </c>
      <c r="I147" s="7" t="e">
        <f>(1-VLOOKUP(B147,'IT Structure'!A:D,4,0))*VLOOKUP(E147,'time target'!A:D,4,0)*20/30</f>
        <v>#N/A</v>
      </c>
      <c r="J147" s="50" t="e">
        <f t="shared" si="4"/>
        <v>#N/A</v>
      </c>
      <c r="K147" s="50" t="e">
        <f t="shared" si="5"/>
        <v>#N/A</v>
      </c>
      <c r="L147" s="62" t="e">
        <f>VLOOKUP(B147,'IT Structure'!A:B,2,0)</f>
        <v>#N/A</v>
      </c>
      <c r="M147" s="10"/>
    </row>
    <row r="148" spans="2:13">
      <c r="B148"/>
      <c r="C148"/>
      <c r="D148"/>
      <c r="E148"/>
      <c r="F148"/>
      <c r="G148"/>
      <c r="H148" s="76" t="e">
        <f>VLOOKUP(B148,'IT Structure'!A:D,4,0)*VLOOKUP(E148,'time target'!A:D,4,0)*20/30</f>
        <v>#N/A</v>
      </c>
      <c r="I148" s="7" t="e">
        <f>(1-VLOOKUP(B148,'IT Structure'!A:D,4,0))*VLOOKUP(E148,'time target'!A:D,4,0)*20/30</f>
        <v>#N/A</v>
      </c>
      <c r="J148" s="50" t="e">
        <f t="shared" si="4"/>
        <v>#N/A</v>
      </c>
      <c r="K148" s="50" t="e">
        <f t="shared" si="5"/>
        <v>#N/A</v>
      </c>
      <c r="L148" s="62" t="e">
        <f>VLOOKUP(B148,'IT Structure'!A:B,2,0)</f>
        <v>#N/A</v>
      </c>
      <c r="M148" s="10"/>
    </row>
    <row r="149" spans="2:13">
      <c r="B149"/>
      <c r="C149"/>
      <c r="D149"/>
      <c r="E149"/>
      <c r="F149"/>
      <c r="G149"/>
      <c r="H149" s="76" t="e">
        <f>VLOOKUP(B149,'IT Structure'!A:D,4,0)*VLOOKUP(E149,'time target'!A:D,4,0)*20/30</f>
        <v>#N/A</v>
      </c>
      <c r="I149" s="7" t="e">
        <f>(1-VLOOKUP(B149,'IT Structure'!A:D,4,0))*VLOOKUP(E149,'time target'!A:D,4,0)*20/30</f>
        <v>#N/A</v>
      </c>
      <c r="J149" s="50" t="e">
        <f t="shared" si="4"/>
        <v>#N/A</v>
      </c>
      <c r="K149" s="50" t="e">
        <f t="shared" si="5"/>
        <v>#N/A</v>
      </c>
      <c r="L149" s="62" t="e">
        <f>VLOOKUP(B149,'IT Structure'!A:B,2,0)</f>
        <v>#N/A</v>
      </c>
      <c r="M149" s="10"/>
    </row>
    <row r="150" spans="2:13">
      <c r="B150"/>
      <c r="C150"/>
      <c r="D150"/>
      <c r="E150"/>
      <c r="F150"/>
      <c r="G150"/>
      <c r="H150" s="76" t="e">
        <f>VLOOKUP(B150,'IT Structure'!A:D,4,0)*VLOOKUP(E150,'time target'!A:D,4,0)*20/30</f>
        <v>#N/A</v>
      </c>
      <c r="I150" s="7" t="e">
        <f>(1-VLOOKUP(B150,'IT Structure'!A:D,4,0))*VLOOKUP(E150,'time target'!A:D,4,0)*20/30</f>
        <v>#N/A</v>
      </c>
      <c r="J150" s="50" t="e">
        <f t="shared" si="4"/>
        <v>#N/A</v>
      </c>
      <c r="K150" s="50" t="e">
        <f t="shared" si="5"/>
        <v>#N/A</v>
      </c>
      <c r="L150" s="62" t="e">
        <f>VLOOKUP(B150,'IT Structure'!A:B,2,0)</f>
        <v>#N/A</v>
      </c>
      <c r="M150" s="10"/>
    </row>
    <row r="151" spans="2:13">
      <c r="B151"/>
      <c r="C151"/>
      <c r="D151"/>
      <c r="E151"/>
      <c r="F151"/>
      <c r="G151"/>
      <c r="H151" s="76" t="e">
        <f>VLOOKUP(B151,'IT Structure'!A:D,4,0)*VLOOKUP(E151,'time target'!A:D,4,0)*20/30</f>
        <v>#N/A</v>
      </c>
      <c r="I151" s="7" t="e">
        <f>(1-VLOOKUP(B151,'IT Structure'!A:D,4,0))*VLOOKUP(E151,'time target'!A:D,4,0)*20/30</f>
        <v>#N/A</v>
      </c>
      <c r="J151" s="50" t="e">
        <f t="shared" si="4"/>
        <v>#N/A</v>
      </c>
      <c r="K151" s="50" t="e">
        <f t="shared" si="5"/>
        <v>#N/A</v>
      </c>
      <c r="L151" s="62" t="e">
        <f>VLOOKUP(B151,'IT Structure'!A:B,2,0)</f>
        <v>#N/A</v>
      </c>
      <c r="M151" s="10"/>
    </row>
    <row r="152" spans="2:13">
      <c r="B152"/>
      <c r="C152"/>
      <c r="D152"/>
      <c r="E152"/>
      <c r="F152"/>
      <c r="G152"/>
      <c r="H152" s="76" t="e">
        <f>VLOOKUP(B152,'IT Structure'!A:D,4,0)*VLOOKUP(E152,'time target'!A:D,4,0)*20/30</f>
        <v>#N/A</v>
      </c>
      <c r="I152" s="7" t="e">
        <f>(1-VLOOKUP(B152,'IT Structure'!A:D,4,0))*VLOOKUP(E152,'time target'!A:D,4,0)*20/30</f>
        <v>#N/A</v>
      </c>
      <c r="J152" s="50" t="e">
        <f t="shared" si="4"/>
        <v>#N/A</v>
      </c>
      <c r="K152" s="50" t="e">
        <f t="shared" si="5"/>
        <v>#N/A</v>
      </c>
      <c r="L152" s="62" t="e">
        <f>VLOOKUP(B152,'IT Structure'!A:B,2,0)</f>
        <v>#N/A</v>
      </c>
      <c r="M152" s="10"/>
    </row>
    <row r="153" spans="2:13">
      <c r="B153"/>
      <c r="C153"/>
      <c r="D153"/>
      <c r="E153"/>
      <c r="F153"/>
      <c r="G153"/>
      <c r="H153" s="76" t="e">
        <f>VLOOKUP(B153,'IT Structure'!A:D,4,0)*VLOOKUP(E153,'time target'!A:D,4,0)*20/30</f>
        <v>#N/A</v>
      </c>
      <c r="I153" s="7" t="e">
        <f>(1-VLOOKUP(B153,'IT Structure'!A:D,4,0))*VLOOKUP(E153,'time target'!A:D,4,0)*20/30</f>
        <v>#N/A</v>
      </c>
      <c r="J153" s="50" t="e">
        <f t="shared" si="4"/>
        <v>#N/A</v>
      </c>
      <c r="K153" s="50" t="e">
        <f t="shared" si="5"/>
        <v>#N/A</v>
      </c>
      <c r="L153" s="62" t="e">
        <f>VLOOKUP(B153,'IT Structure'!A:B,2,0)</f>
        <v>#N/A</v>
      </c>
      <c r="M153" s="10"/>
    </row>
    <row r="154" spans="2:13">
      <c r="B154"/>
      <c r="C154"/>
      <c r="D154"/>
      <c r="E154"/>
      <c r="F154"/>
      <c r="G154"/>
      <c r="H154" s="76" t="e">
        <f>VLOOKUP(B154,'IT Structure'!A:D,4,0)*VLOOKUP(E154,'time target'!A:D,4,0)*20/30</f>
        <v>#N/A</v>
      </c>
      <c r="I154" s="7" t="e">
        <f>(1-VLOOKUP(B154,'IT Structure'!A:D,4,0))*VLOOKUP(E154,'time target'!A:D,4,0)*20/30</f>
        <v>#N/A</v>
      </c>
      <c r="J154" s="50" t="e">
        <f t="shared" si="4"/>
        <v>#N/A</v>
      </c>
      <c r="K154" s="50" t="e">
        <f t="shared" si="5"/>
        <v>#N/A</v>
      </c>
      <c r="L154" s="62" t="e">
        <f>VLOOKUP(B154,'IT Structure'!A:B,2,0)</f>
        <v>#N/A</v>
      </c>
      <c r="M154" s="10"/>
    </row>
    <row r="155" spans="2:13">
      <c r="B155"/>
      <c r="C155"/>
      <c r="D155"/>
      <c r="E155"/>
      <c r="F155"/>
      <c r="G155"/>
      <c r="H155" s="76" t="e">
        <f>VLOOKUP(B155,'IT Structure'!A:D,4,0)*VLOOKUP(E155,'time target'!A:D,4,0)*20/30</f>
        <v>#N/A</v>
      </c>
      <c r="I155" s="7" t="e">
        <f>(1-VLOOKUP(B155,'IT Structure'!A:D,4,0))*VLOOKUP(E155,'time target'!A:D,4,0)*20/30</f>
        <v>#N/A</v>
      </c>
      <c r="J155" s="50" t="e">
        <f t="shared" si="4"/>
        <v>#N/A</v>
      </c>
      <c r="K155" s="50" t="e">
        <f t="shared" si="5"/>
        <v>#N/A</v>
      </c>
      <c r="L155" s="62" t="e">
        <f>VLOOKUP(B155,'IT Structure'!A:B,2,0)</f>
        <v>#N/A</v>
      </c>
      <c r="M155" s="10"/>
    </row>
    <row r="156" spans="2:13">
      <c r="B156"/>
      <c r="C156"/>
      <c r="D156"/>
      <c r="E156"/>
      <c r="F156"/>
      <c r="G156"/>
      <c r="H156" s="76" t="e">
        <f>VLOOKUP(B156,'IT Structure'!A:D,4,0)*VLOOKUP(E156,'time target'!A:D,4,0)*20/30</f>
        <v>#N/A</v>
      </c>
      <c r="I156" s="7" t="e">
        <f>(1-VLOOKUP(B156,'IT Structure'!A:D,4,0))*VLOOKUP(E156,'time target'!A:D,4,0)*20/30</f>
        <v>#N/A</v>
      </c>
      <c r="J156" s="50" t="e">
        <f t="shared" si="4"/>
        <v>#N/A</v>
      </c>
      <c r="K156" s="50" t="e">
        <f t="shared" si="5"/>
        <v>#N/A</v>
      </c>
      <c r="L156" s="62" t="e">
        <f>VLOOKUP(B156,'IT Structure'!A:B,2,0)</f>
        <v>#N/A</v>
      </c>
      <c r="M156" s="10"/>
    </row>
    <row r="157" spans="2:13">
      <c r="B157"/>
      <c r="C157"/>
      <c r="D157"/>
      <c r="E157"/>
      <c r="F157"/>
      <c r="G157"/>
      <c r="H157" s="76" t="e">
        <f>VLOOKUP(B157,'IT Structure'!A:D,4,0)*VLOOKUP(E157,'time target'!A:D,4,0)*20/30</f>
        <v>#N/A</v>
      </c>
      <c r="I157" s="7" t="e">
        <f>(1-VLOOKUP(B157,'IT Structure'!A:D,4,0))*VLOOKUP(E157,'time target'!A:D,4,0)*20/30</f>
        <v>#N/A</v>
      </c>
      <c r="J157" s="50" t="e">
        <f t="shared" si="4"/>
        <v>#N/A</v>
      </c>
      <c r="K157" s="50" t="e">
        <f t="shared" si="5"/>
        <v>#N/A</v>
      </c>
      <c r="L157" s="62" t="e">
        <f>VLOOKUP(B157,'IT Structure'!A:B,2,0)</f>
        <v>#N/A</v>
      </c>
      <c r="M157" s="10"/>
    </row>
    <row r="158" spans="2:13">
      <c r="B158"/>
      <c r="C158"/>
      <c r="D158"/>
      <c r="E158"/>
      <c r="F158"/>
      <c r="G158"/>
      <c r="H158" s="76" t="e">
        <f>VLOOKUP(B158,'IT Structure'!A:D,4,0)*VLOOKUP(E158,'time target'!A:D,4,0)*20/30</f>
        <v>#N/A</v>
      </c>
      <c r="I158" s="7" t="e">
        <f>(1-VLOOKUP(B158,'IT Structure'!A:D,4,0))*VLOOKUP(E158,'time target'!A:D,4,0)*20/30</f>
        <v>#N/A</v>
      </c>
      <c r="J158" s="50" t="e">
        <f t="shared" si="4"/>
        <v>#N/A</v>
      </c>
      <c r="K158" s="50" t="e">
        <f t="shared" si="5"/>
        <v>#N/A</v>
      </c>
      <c r="L158" s="62" t="e">
        <f>VLOOKUP(B158,'IT Structure'!A:B,2,0)</f>
        <v>#N/A</v>
      </c>
      <c r="M158" s="10"/>
    </row>
    <row r="159" spans="2:13">
      <c r="B159"/>
      <c r="C159"/>
      <c r="D159"/>
      <c r="E159"/>
      <c r="F159"/>
      <c r="G159"/>
      <c r="H159" s="76" t="e">
        <f>VLOOKUP(B159,'IT Structure'!A:D,4,0)*VLOOKUP(E159,'time target'!A:D,4,0)*20/30</f>
        <v>#N/A</v>
      </c>
      <c r="I159" s="7" t="e">
        <f>(1-VLOOKUP(B159,'IT Structure'!A:D,4,0))*VLOOKUP(E159,'time target'!A:D,4,0)*20/30</f>
        <v>#N/A</v>
      </c>
      <c r="J159" s="50" t="e">
        <f t="shared" si="4"/>
        <v>#N/A</v>
      </c>
      <c r="K159" s="50" t="e">
        <f t="shared" si="5"/>
        <v>#N/A</v>
      </c>
      <c r="L159" s="62" t="e">
        <f>VLOOKUP(B159,'IT Structure'!A:B,2,0)</f>
        <v>#N/A</v>
      </c>
      <c r="M159" s="10"/>
    </row>
    <row r="160" spans="2:13">
      <c r="B160"/>
      <c r="C160"/>
      <c r="D160"/>
      <c r="E160"/>
      <c r="F160"/>
      <c r="G160"/>
      <c r="H160" s="76" t="e">
        <f>VLOOKUP(B160,'IT Structure'!A:D,4,0)*VLOOKUP(E160,'time target'!A:D,4,0)*20/30</f>
        <v>#N/A</v>
      </c>
      <c r="I160" s="7" t="e">
        <f>(1-VLOOKUP(B160,'IT Structure'!A:D,4,0))*VLOOKUP(E160,'time target'!A:D,4,0)*20/30</f>
        <v>#N/A</v>
      </c>
      <c r="J160" s="50" t="e">
        <f t="shared" si="4"/>
        <v>#N/A</v>
      </c>
      <c r="K160" s="50" t="e">
        <f t="shared" si="5"/>
        <v>#N/A</v>
      </c>
      <c r="L160" s="62" t="e">
        <f>VLOOKUP(B160,'IT Structure'!A:B,2,0)</f>
        <v>#N/A</v>
      </c>
      <c r="M160" s="10"/>
    </row>
    <row r="161" spans="2:13">
      <c r="B161"/>
      <c r="C161"/>
      <c r="D161"/>
      <c r="E161"/>
      <c r="F161"/>
      <c r="G161"/>
      <c r="H161" s="76" t="e">
        <f>VLOOKUP(B161,'IT Structure'!A:D,4,0)*VLOOKUP(E161,'time target'!A:D,4,0)*20/30</f>
        <v>#N/A</v>
      </c>
      <c r="I161" s="7" t="e">
        <f>(1-VLOOKUP(B161,'IT Structure'!A:D,4,0))*VLOOKUP(E161,'time target'!A:D,4,0)*20/30</f>
        <v>#N/A</v>
      </c>
      <c r="J161" s="50" t="e">
        <f t="shared" si="4"/>
        <v>#N/A</v>
      </c>
      <c r="K161" s="50" t="e">
        <f t="shared" si="5"/>
        <v>#N/A</v>
      </c>
      <c r="L161" s="62" t="e">
        <f>VLOOKUP(B161,'IT Structure'!A:B,2,0)</f>
        <v>#N/A</v>
      </c>
      <c r="M161" s="10"/>
    </row>
    <row r="162" spans="2:13">
      <c r="B162"/>
      <c r="C162"/>
      <c r="D162"/>
      <c r="E162"/>
      <c r="F162"/>
      <c r="G162"/>
      <c r="H162" s="76" t="e">
        <f>VLOOKUP(B162,'IT Structure'!A:D,4,0)*VLOOKUP(E162,'time target'!A:D,4,0)*20/30</f>
        <v>#N/A</v>
      </c>
      <c r="I162" s="7" t="e">
        <f>(1-VLOOKUP(B162,'IT Structure'!A:D,4,0))*VLOOKUP(E162,'time target'!A:D,4,0)*20/30</f>
        <v>#N/A</v>
      </c>
      <c r="J162" s="50" t="e">
        <f t="shared" si="4"/>
        <v>#N/A</v>
      </c>
      <c r="K162" s="50" t="e">
        <f t="shared" si="5"/>
        <v>#N/A</v>
      </c>
      <c r="L162" s="62" t="e">
        <f>VLOOKUP(B162,'IT Structure'!A:B,2,0)</f>
        <v>#N/A</v>
      </c>
      <c r="M162" s="10"/>
    </row>
    <row r="163" spans="2:13">
      <c r="B163"/>
      <c r="C163"/>
      <c r="D163"/>
      <c r="E163"/>
      <c r="F163"/>
      <c r="G163"/>
      <c r="H163" s="76" t="e">
        <f>VLOOKUP(B163,'IT Structure'!A:D,4,0)*VLOOKUP(E163,'time target'!A:D,4,0)*20/30</f>
        <v>#N/A</v>
      </c>
      <c r="I163" s="7" t="e">
        <f>(1-VLOOKUP(B163,'IT Structure'!A:D,4,0))*VLOOKUP(E163,'time target'!A:D,4,0)*20/30</f>
        <v>#N/A</v>
      </c>
      <c r="J163" s="50" t="e">
        <f t="shared" si="4"/>
        <v>#N/A</v>
      </c>
      <c r="K163" s="50" t="e">
        <f t="shared" si="5"/>
        <v>#N/A</v>
      </c>
      <c r="L163" s="62" t="e">
        <f>VLOOKUP(B163,'IT Structure'!A:B,2,0)</f>
        <v>#N/A</v>
      </c>
      <c r="M163" s="10"/>
    </row>
    <row r="164" spans="2:13">
      <c r="B164"/>
      <c r="C164"/>
      <c r="D164"/>
      <c r="E164"/>
      <c r="F164"/>
      <c r="G164"/>
      <c r="H164" s="76" t="e">
        <f>VLOOKUP(B164,'IT Structure'!A:D,4,0)*VLOOKUP(E164,'time target'!A:D,4,0)*20/30</f>
        <v>#N/A</v>
      </c>
      <c r="I164" s="7" t="e">
        <f>(1-VLOOKUP(B164,'IT Structure'!A:D,4,0))*VLOOKUP(E164,'time target'!A:D,4,0)*20/30</f>
        <v>#N/A</v>
      </c>
      <c r="J164" s="50" t="e">
        <f t="shared" si="4"/>
        <v>#N/A</v>
      </c>
      <c r="K164" s="50" t="e">
        <f t="shared" si="5"/>
        <v>#N/A</v>
      </c>
      <c r="L164" s="62" t="e">
        <f>VLOOKUP(B164,'IT Structure'!A:B,2,0)</f>
        <v>#N/A</v>
      </c>
      <c r="M164" s="10"/>
    </row>
    <row r="165" spans="2:13">
      <c r="B165"/>
      <c r="C165"/>
      <c r="D165"/>
      <c r="E165"/>
      <c r="F165"/>
      <c r="G165"/>
      <c r="H165" s="76" t="e">
        <f>VLOOKUP(B165,'IT Structure'!A:D,4,0)*VLOOKUP(E165,'time target'!A:D,4,0)*20/30</f>
        <v>#N/A</v>
      </c>
      <c r="I165" s="7" t="e">
        <f>(1-VLOOKUP(B165,'IT Structure'!A:D,4,0))*VLOOKUP(E165,'time target'!A:D,4,0)*20/30</f>
        <v>#N/A</v>
      </c>
      <c r="J165" s="50" t="e">
        <f t="shared" si="4"/>
        <v>#N/A</v>
      </c>
      <c r="K165" s="50" t="e">
        <f t="shared" si="5"/>
        <v>#N/A</v>
      </c>
      <c r="L165" s="62" t="e">
        <f>VLOOKUP(B165,'IT Structure'!A:B,2,0)</f>
        <v>#N/A</v>
      </c>
      <c r="M165" s="10"/>
    </row>
    <row r="166" spans="2:13">
      <c r="B166"/>
      <c r="C166"/>
      <c r="D166"/>
      <c r="E166"/>
      <c r="F166"/>
      <c r="G166"/>
      <c r="H166" s="76" t="e">
        <f>VLOOKUP(B166,'IT Structure'!A:D,4,0)*VLOOKUP(E166,'time target'!A:D,4,0)*20/30</f>
        <v>#N/A</v>
      </c>
      <c r="I166" s="7" t="e">
        <f>(1-VLOOKUP(B166,'IT Structure'!A:D,4,0))*VLOOKUP(E166,'time target'!A:D,4,0)*20/30</f>
        <v>#N/A</v>
      </c>
      <c r="J166" s="50" t="e">
        <f t="shared" si="4"/>
        <v>#N/A</v>
      </c>
      <c r="K166" s="50" t="e">
        <f t="shared" si="5"/>
        <v>#N/A</v>
      </c>
      <c r="L166" s="62" t="e">
        <f>VLOOKUP(B166,'IT Structure'!A:B,2,0)</f>
        <v>#N/A</v>
      </c>
      <c r="M166" s="10"/>
    </row>
    <row r="167" spans="2:13">
      <c r="B167"/>
      <c r="C167"/>
      <c r="D167"/>
      <c r="E167"/>
      <c r="F167"/>
      <c r="G167"/>
      <c r="H167" s="76" t="e">
        <f>VLOOKUP(B167,'IT Structure'!A:D,4,0)*VLOOKUP(E167,'time target'!A:D,4,0)*20/30</f>
        <v>#N/A</v>
      </c>
      <c r="I167" s="7" t="e">
        <f>(1-VLOOKUP(B167,'IT Structure'!A:D,4,0))*VLOOKUP(E167,'time target'!A:D,4,0)*20/30</f>
        <v>#N/A</v>
      </c>
      <c r="J167" s="50" t="e">
        <f t="shared" si="4"/>
        <v>#N/A</v>
      </c>
      <c r="K167" s="50" t="e">
        <f t="shared" si="5"/>
        <v>#N/A</v>
      </c>
      <c r="L167" s="62" t="e">
        <f>VLOOKUP(B167,'IT Structure'!A:B,2,0)</f>
        <v>#N/A</v>
      </c>
      <c r="M167" s="10"/>
    </row>
    <row r="168" spans="2:13">
      <c r="B168"/>
      <c r="C168"/>
      <c r="D168"/>
      <c r="E168"/>
      <c r="F168"/>
      <c r="G168"/>
      <c r="H168" s="76" t="e">
        <f>VLOOKUP(B168,'IT Structure'!A:D,4,0)*VLOOKUP(E168,'time target'!A:D,4,0)*20/30</f>
        <v>#N/A</v>
      </c>
      <c r="I168" s="7" t="e">
        <f>(1-VLOOKUP(B168,'IT Structure'!A:D,4,0))*VLOOKUP(E168,'time target'!A:D,4,0)*20/30</f>
        <v>#N/A</v>
      </c>
      <c r="J168" s="50" t="e">
        <f t="shared" si="4"/>
        <v>#N/A</v>
      </c>
      <c r="K168" s="50" t="e">
        <f t="shared" si="5"/>
        <v>#N/A</v>
      </c>
      <c r="L168" s="62" t="e">
        <f>VLOOKUP(B168,'IT Structure'!A:B,2,0)</f>
        <v>#N/A</v>
      </c>
      <c r="M168" s="10"/>
    </row>
    <row r="169" spans="2:13">
      <c r="B169"/>
      <c r="C169"/>
      <c r="D169"/>
      <c r="E169"/>
      <c r="F169"/>
      <c r="G169"/>
      <c r="H169" s="76" t="e">
        <f>VLOOKUP(B169,'IT Structure'!A:D,4,0)*VLOOKUP(E169,'time target'!A:D,4,0)*20/30</f>
        <v>#N/A</v>
      </c>
      <c r="I169" s="7" t="e">
        <f>(1-VLOOKUP(B169,'IT Structure'!A:D,4,0))*VLOOKUP(E169,'time target'!A:D,4,0)*20/30</f>
        <v>#N/A</v>
      </c>
      <c r="J169" s="50" t="e">
        <f t="shared" si="4"/>
        <v>#N/A</v>
      </c>
      <c r="K169" s="50" t="e">
        <f t="shared" si="5"/>
        <v>#N/A</v>
      </c>
      <c r="L169" s="62" t="e">
        <f>VLOOKUP(B169,'IT Structure'!A:B,2,0)</f>
        <v>#N/A</v>
      </c>
      <c r="M169" s="10"/>
    </row>
    <row r="170" spans="2:13">
      <c r="B170"/>
      <c r="C170"/>
      <c r="D170"/>
      <c r="E170"/>
      <c r="F170"/>
      <c r="G170"/>
      <c r="H170" s="76" t="e">
        <f>VLOOKUP(B170,'IT Structure'!A:D,4,0)*VLOOKUP(E170,'time target'!A:D,4,0)*20/30</f>
        <v>#N/A</v>
      </c>
      <c r="I170" s="7" t="e">
        <f>(1-VLOOKUP(B170,'IT Structure'!A:D,4,0))*VLOOKUP(E170,'time target'!A:D,4,0)*20/30</f>
        <v>#N/A</v>
      </c>
      <c r="J170" s="50" t="e">
        <f t="shared" si="4"/>
        <v>#N/A</v>
      </c>
      <c r="K170" s="50" t="e">
        <f t="shared" si="5"/>
        <v>#N/A</v>
      </c>
      <c r="L170" s="62" t="e">
        <f>VLOOKUP(B170,'IT Structure'!A:B,2,0)</f>
        <v>#N/A</v>
      </c>
      <c r="M170" s="10"/>
    </row>
    <row r="171" spans="2:13">
      <c r="B171"/>
      <c r="C171"/>
      <c r="D171"/>
      <c r="E171"/>
      <c r="F171"/>
      <c r="G171"/>
      <c r="H171" s="76" t="e">
        <f>VLOOKUP(B171,'IT Structure'!A:D,4,0)*VLOOKUP(E171,'time target'!A:D,4,0)*20/30</f>
        <v>#N/A</v>
      </c>
      <c r="I171" s="7" t="e">
        <f>(1-VLOOKUP(B171,'IT Structure'!A:D,4,0))*VLOOKUP(E171,'time target'!A:D,4,0)*20/30</f>
        <v>#N/A</v>
      </c>
      <c r="J171" s="50" t="e">
        <f t="shared" si="4"/>
        <v>#N/A</v>
      </c>
      <c r="K171" s="50" t="e">
        <f t="shared" si="5"/>
        <v>#N/A</v>
      </c>
      <c r="L171" s="62" t="e">
        <f>VLOOKUP(B171,'IT Structure'!A:B,2,0)</f>
        <v>#N/A</v>
      </c>
      <c r="M171" s="10"/>
    </row>
    <row r="172" spans="2:13">
      <c r="B172"/>
      <c r="C172"/>
      <c r="D172"/>
      <c r="E172"/>
      <c r="F172"/>
      <c r="G172"/>
      <c r="H172" s="76" t="e">
        <f>VLOOKUP(B172,'IT Structure'!A:D,4,0)*VLOOKUP(E172,'time target'!A:D,4,0)*20/30</f>
        <v>#N/A</v>
      </c>
      <c r="I172" s="7" t="e">
        <f>(1-VLOOKUP(B172,'IT Structure'!A:D,4,0))*VLOOKUP(E172,'time target'!A:D,4,0)*20/30</f>
        <v>#N/A</v>
      </c>
      <c r="J172" s="50" t="e">
        <f t="shared" si="4"/>
        <v>#N/A</v>
      </c>
      <c r="K172" s="50" t="e">
        <f t="shared" si="5"/>
        <v>#N/A</v>
      </c>
      <c r="L172" s="62" t="e">
        <f>VLOOKUP(B172,'IT Structure'!A:B,2,0)</f>
        <v>#N/A</v>
      </c>
      <c r="M172" s="10"/>
    </row>
    <row r="173" spans="2:13">
      <c r="B173"/>
      <c r="C173"/>
      <c r="D173"/>
      <c r="E173"/>
      <c r="F173"/>
      <c r="G173"/>
      <c r="H173" s="76" t="e">
        <f>VLOOKUP(B173,'IT Structure'!A:D,4,0)*VLOOKUP(E173,'time target'!A:D,4,0)*20/30</f>
        <v>#N/A</v>
      </c>
      <c r="I173" s="7" t="e">
        <f>(1-VLOOKUP(B173,'IT Structure'!A:D,4,0))*VLOOKUP(E173,'time target'!A:D,4,0)*20/30</f>
        <v>#N/A</v>
      </c>
      <c r="J173" s="50" t="e">
        <f t="shared" si="4"/>
        <v>#N/A</v>
      </c>
      <c r="K173" s="50" t="e">
        <f t="shared" si="5"/>
        <v>#N/A</v>
      </c>
      <c r="L173" s="62" t="e">
        <f>VLOOKUP(B173,'IT Structure'!A:B,2,0)</f>
        <v>#N/A</v>
      </c>
      <c r="M173" s="10"/>
    </row>
    <row r="174" spans="2:13">
      <c r="B174"/>
      <c r="C174"/>
      <c r="D174"/>
      <c r="E174"/>
      <c r="F174"/>
      <c r="G174"/>
      <c r="H174" s="76" t="e">
        <f>VLOOKUP(B174,'IT Structure'!A:D,4,0)*VLOOKUP(E174,'time target'!A:D,4,0)*20/30</f>
        <v>#N/A</v>
      </c>
      <c r="I174" s="7" t="e">
        <f>(1-VLOOKUP(B174,'IT Structure'!A:D,4,0))*VLOOKUP(E174,'time target'!A:D,4,0)*20/30</f>
        <v>#N/A</v>
      </c>
      <c r="J174" s="50" t="e">
        <f t="shared" si="4"/>
        <v>#N/A</v>
      </c>
      <c r="K174" s="50" t="e">
        <f t="shared" si="5"/>
        <v>#N/A</v>
      </c>
      <c r="L174" s="62" t="e">
        <f>VLOOKUP(B174,'IT Structure'!A:B,2,0)</f>
        <v>#N/A</v>
      </c>
      <c r="M174" s="10"/>
    </row>
    <row r="175" spans="2:13">
      <c r="B175"/>
      <c r="C175"/>
      <c r="D175"/>
      <c r="E175"/>
      <c r="F175"/>
      <c r="G175"/>
      <c r="H175" s="76" t="e">
        <f>VLOOKUP(B175,'IT Structure'!A:D,4,0)*VLOOKUP(E175,'time target'!A:D,4,0)*20/30</f>
        <v>#N/A</v>
      </c>
      <c r="I175" s="7" t="e">
        <f>(1-VLOOKUP(B175,'IT Structure'!A:D,4,0))*VLOOKUP(E175,'time target'!A:D,4,0)*20/30</f>
        <v>#N/A</v>
      </c>
      <c r="J175" s="50" t="e">
        <f t="shared" si="4"/>
        <v>#N/A</v>
      </c>
      <c r="K175" s="50" t="e">
        <f t="shared" si="5"/>
        <v>#N/A</v>
      </c>
      <c r="L175" s="62" t="e">
        <f>VLOOKUP(B175,'IT Structure'!A:B,2,0)</f>
        <v>#N/A</v>
      </c>
      <c r="M175" s="10"/>
    </row>
    <row r="176" spans="2:13">
      <c r="B176"/>
      <c r="C176"/>
      <c r="D176"/>
      <c r="E176"/>
      <c r="F176"/>
      <c r="G176"/>
      <c r="H176" s="76" t="e">
        <f>VLOOKUP(B176,'IT Structure'!A:D,4,0)*VLOOKUP(E176,'time target'!A:D,4,0)*20/30</f>
        <v>#N/A</v>
      </c>
      <c r="I176" s="7" t="e">
        <f>(1-VLOOKUP(B176,'IT Structure'!A:D,4,0))*VLOOKUP(E176,'time target'!A:D,4,0)*20/30</f>
        <v>#N/A</v>
      </c>
      <c r="J176" s="50" t="e">
        <f t="shared" si="4"/>
        <v>#N/A</v>
      </c>
      <c r="K176" s="50" t="e">
        <f t="shared" si="5"/>
        <v>#N/A</v>
      </c>
      <c r="L176" s="62" t="e">
        <f>VLOOKUP(B176,'IT Structure'!A:B,2,0)</f>
        <v>#N/A</v>
      </c>
      <c r="M176" s="10"/>
    </row>
    <row r="177" spans="2:13">
      <c r="B177"/>
      <c r="C177"/>
      <c r="D177"/>
      <c r="E177"/>
      <c r="F177"/>
      <c r="G177"/>
      <c r="H177" s="76" t="e">
        <f>VLOOKUP(B177,'IT Structure'!A:D,4,0)*VLOOKUP(E177,'time target'!A:D,4,0)*20/30</f>
        <v>#N/A</v>
      </c>
      <c r="I177" s="7" t="e">
        <f>(1-VLOOKUP(B177,'IT Structure'!A:D,4,0))*VLOOKUP(E177,'time target'!A:D,4,0)*20/30</f>
        <v>#N/A</v>
      </c>
      <c r="J177" s="50" t="e">
        <f t="shared" si="4"/>
        <v>#N/A</v>
      </c>
      <c r="K177" s="50" t="e">
        <f t="shared" si="5"/>
        <v>#N/A</v>
      </c>
      <c r="L177" s="62" t="e">
        <f>VLOOKUP(B177,'IT Structure'!A:B,2,0)</f>
        <v>#N/A</v>
      </c>
      <c r="M177" s="10"/>
    </row>
    <row r="178" spans="2:13">
      <c r="B178"/>
      <c r="C178"/>
      <c r="D178"/>
      <c r="E178"/>
      <c r="F178"/>
      <c r="G178"/>
      <c r="H178" s="76" t="e">
        <f>VLOOKUP(B178,'IT Structure'!A:D,4,0)*VLOOKUP(E178,'time target'!A:D,4,0)*20/30</f>
        <v>#N/A</v>
      </c>
      <c r="I178" s="7" t="e">
        <f>(1-VLOOKUP(B178,'IT Structure'!A:D,4,0))*VLOOKUP(E178,'time target'!A:D,4,0)*20/30</f>
        <v>#N/A</v>
      </c>
      <c r="J178" s="50" t="e">
        <f t="shared" si="4"/>
        <v>#N/A</v>
      </c>
      <c r="K178" s="50" t="e">
        <f t="shared" si="5"/>
        <v>#N/A</v>
      </c>
      <c r="L178" s="62" t="e">
        <f>VLOOKUP(B178,'IT Structure'!A:B,2,0)</f>
        <v>#N/A</v>
      </c>
      <c r="M178" s="10"/>
    </row>
    <row r="179" spans="2:13">
      <c r="B179"/>
      <c r="C179"/>
      <c r="D179"/>
      <c r="E179"/>
      <c r="F179"/>
      <c r="G179"/>
      <c r="H179" s="76" t="e">
        <f>VLOOKUP(B179,'IT Structure'!A:D,4,0)*VLOOKUP(E179,'time target'!A:D,4,0)*20/30</f>
        <v>#N/A</v>
      </c>
      <c r="I179" s="7" t="e">
        <f>(1-VLOOKUP(B179,'IT Structure'!A:D,4,0))*VLOOKUP(E179,'time target'!A:D,4,0)*20/30</f>
        <v>#N/A</v>
      </c>
      <c r="J179" s="50" t="e">
        <f t="shared" si="4"/>
        <v>#N/A</v>
      </c>
      <c r="K179" s="50" t="e">
        <f t="shared" si="5"/>
        <v>#N/A</v>
      </c>
      <c r="L179" s="62" t="e">
        <f>VLOOKUP(B179,'IT Structure'!A:B,2,0)</f>
        <v>#N/A</v>
      </c>
      <c r="M179" s="10"/>
    </row>
    <row r="180" spans="2:13">
      <c r="B180"/>
      <c r="C180"/>
      <c r="D180"/>
      <c r="E180"/>
      <c r="F180"/>
      <c r="G180"/>
      <c r="H180" s="76" t="e">
        <f>VLOOKUP(B180,'IT Structure'!A:D,4,0)*VLOOKUP(E180,'time target'!A:D,4,0)*20/30</f>
        <v>#N/A</v>
      </c>
      <c r="I180" s="7" t="e">
        <f>(1-VLOOKUP(B180,'IT Structure'!A:D,4,0))*VLOOKUP(E180,'time target'!A:D,4,0)*20/30</f>
        <v>#N/A</v>
      </c>
      <c r="J180" s="50" t="e">
        <f t="shared" si="4"/>
        <v>#N/A</v>
      </c>
      <c r="K180" s="50" t="e">
        <f t="shared" si="5"/>
        <v>#N/A</v>
      </c>
      <c r="L180" s="62" t="e">
        <f>VLOOKUP(B180,'IT Structure'!A:B,2,0)</f>
        <v>#N/A</v>
      </c>
      <c r="M180" s="10"/>
    </row>
    <row r="181" spans="2:13">
      <c r="B181"/>
      <c r="C181"/>
      <c r="D181"/>
      <c r="E181"/>
      <c r="F181"/>
      <c r="G181"/>
      <c r="H181" s="76" t="e">
        <f>VLOOKUP(B181,'IT Structure'!A:D,4,0)*VLOOKUP(E181,'time target'!A:D,4,0)*20/30</f>
        <v>#N/A</v>
      </c>
      <c r="I181" s="7" t="e">
        <f>(1-VLOOKUP(B181,'IT Structure'!A:D,4,0))*VLOOKUP(E181,'time target'!A:D,4,0)*20/30</f>
        <v>#N/A</v>
      </c>
      <c r="J181" s="50" t="e">
        <f t="shared" si="4"/>
        <v>#N/A</v>
      </c>
      <c r="K181" s="50" t="e">
        <f t="shared" si="5"/>
        <v>#N/A</v>
      </c>
      <c r="L181" s="62" t="e">
        <f>VLOOKUP(B181,'IT Structure'!A:B,2,0)</f>
        <v>#N/A</v>
      </c>
      <c r="M181" s="10"/>
    </row>
    <row r="182" spans="2:13">
      <c r="B182"/>
      <c r="C182"/>
      <c r="D182"/>
      <c r="E182"/>
      <c r="F182"/>
      <c r="G182"/>
      <c r="H182" s="76" t="e">
        <f>VLOOKUP(B182,'IT Structure'!A:D,4,0)*VLOOKUP(E182,'time target'!A:D,4,0)*20/30</f>
        <v>#N/A</v>
      </c>
      <c r="I182" s="7" t="e">
        <f>(1-VLOOKUP(B182,'IT Structure'!A:D,4,0))*VLOOKUP(E182,'time target'!A:D,4,0)*20/30</f>
        <v>#N/A</v>
      </c>
      <c r="J182" s="50" t="e">
        <f t="shared" si="4"/>
        <v>#N/A</v>
      </c>
      <c r="K182" s="50" t="e">
        <f t="shared" si="5"/>
        <v>#N/A</v>
      </c>
      <c r="L182" s="62" t="e">
        <f>VLOOKUP(B182,'IT Structure'!A:B,2,0)</f>
        <v>#N/A</v>
      </c>
      <c r="M182" s="10"/>
    </row>
    <row r="183" spans="2:13">
      <c r="B183"/>
      <c r="C183"/>
      <c r="D183"/>
      <c r="E183"/>
      <c r="F183"/>
      <c r="G183"/>
      <c r="H183" s="76" t="e">
        <f>VLOOKUP(B183,'IT Structure'!A:D,4,0)*VLOOKUP(E183,'time target'!A:D,4,0)*20/30</f>
        <v>#N/A</v>
      </c>
      <c r="I183" s="7" t="e">
        <f>(1-VLOOKUP(B183,'IT Structure'!A:D,4,0))*VLOOKUP(E183,'time target'!A:D,4,0)*20/30</f>
        <v>#N/A</v>
      </c>
      <c r="J183" s="50" t="e">
        <f t="shared" si="4"/>
        <v>#N/A</v>
      </c>
      <c r="K183" s="50" t="e">
        <f t="shared" si="5"/>
        <v>#N/A</v>
      </c>
      <c r="L183" s="62" t="e">
        <f>VLOOKUP(B183,'IT Structure'!A:B,2,0)</f>
        <v>#N/A</v>
      </c>
      <c r="M183" s="10"/>
    </row>
    <row r="184" spans="2:13">
      <c r="B184"/>
      <c r="C184"/>
      <c r="D184"/>
      <c r="E184"/>
      <c r="F184"/>
      <c r="G184"/>
      <c r="H184" s="76" t="e">
        <f>VLOOKUP(B184,'IT Structure'!A:D,4,0)*VLOOKUP(E184,'time target'!A:D,4,0)*20/30</f>
        <v>#N/A</v>
      </c>
      <c r="I184" s="7" t="e">
        <f>(1-VLOOKUP(B184,'IT Structure'!A:D,4,0))*VLOOKUP(E184,'time target'!A:D,4,0)*20/30</f>
        <v>#N/A</v>
      </c>
      <c r="J184" s="50" t="e">
        <f t="shared" si="4"/>
        <v>#N/A</v>
      </c>
      <c r="K184" s="50" t="e">
        <f t="shared" si="5"/>
        <v>#N/A</v>
      </c>
      <c r="L184" s="62" t="e">
        <f>VLOOKUP(B184,'IT Structure'!A:B,2,0)</f>
        <v>#N/A</v>
      </c>
      <c r="M184" s="10"/>
    </row>
    <row r="185" spans="2:13">
      <c r="B185"/>
      <c r="C185"/>
      <c r="D185"/>
      <c r="E185"/>
      <c r="F185"/>
      <c r="G185"/>
      <c r="H185" s="76" t="e">
        <f>VLOOKUP(B185,'IT Structure'!A:D,4,0)*VLOOKUP(E185,'time target'!A:D,4,0)*20/30</f>
        <v>#N/A</v>
      </c>
      <c r="I185" s="7" t="e">
        <f>(1-VLOOKUP(B185,'IT Structure'!A:D,4,0))*VLOOKUP(E185,'time target'!A:D,4,0)*20/30</f>
        <v>#N/A</v>
      </c>
      <c r="J185" s="50" t="e">
        <f t="shared" si="4"/>
        <v>#N/A</v>
      </c>
      <c r="K185" s="50" t="e">
        <f t="shared" si="5"/>
        <v>#N/A</v>
      </c>
      <c r="L185" s="62" t="e">
        <f>VLOOKUP(B185,'IT Structure'!A:B,2,0)</f>
        <v>#N/A</v>
      </c>
      <c r="M185" s="10"/>
    </row>
    <row r="186" spans="2:13">
      <c r="B186"/>
      <c r="C186"/>
      <c r="D186"/>
      <c r="E186"/>
      <c r="F186"/>
      <c r="G186"/>
      <c r="H186" s="76" t="e">
        <f>VLOOKUP(B186,'IT Structure'!A:D,4,0)*VLOOKUP(E186,'time target'!A:D,4,0)*20/30</f>
        <v>#N/A</v>
      </c>
      <c r="I186" s="7" t="e">
        <f>(1-VLOOKUP(B186,'IT Structure'!A:D,4,0))*VLOOKUP(E186,'time target'!A:D,4,0)*20/30</f>
        <v>#N/A</v>
      </c>
      <c r="J186" s="50" t="e">
        <f t="shared" si="4"/>
        <v>#N/A</v>
      </c>
      <c r="K186" s="50" t="e">
        <f t="shared" si="5"/>
        <v>#N/A</v>
      </c>
      <c r="L186" s="62" t="e">
        <f>VLOOKUP(B186,'IT Structure'!A:B,2,0)</f>
        <v>#N/A</v>
      </c>
      <c r="M186" s="10"/>
    </row>
    <row r="187" spans="2:13">
      <c r="B187"/>
      <c r="C187"/>
      <c r="D187"/>
      <c r="E187"/>
      <c r="F187"/>
      <c r="G187"/>
      <c r="H187" s="76" t="e">
        <f>VLOOKUP(B187,'IT Structure'!A:D,4,0)*VLOOKUP(E187,'time target'!A:D,4,0)*20/30</f>
        <v>#N/A</v>
      </c>
      <c r="I187" s="7" t="e">
        <f>(1-VLOOKUP(B187,'IT Structure'!A:D,4,0))*VLOOKUP(E187,'time target'!A:D,4,0)*20/30</f>
        <v>#N/A</v>
      </c>
      <c r="J187" s="50" t="e">
        <f t="shared" si="4"/>
        <v>#N/A</v>
      </c>
      <c r="K187" s="50" t="e">
        <f t="shared" si="5"/>
        <v>#N/A</v>
      </c>
      <c r="L187" s="62" t="e">
        <f>VLOOKUP(B187,'IT Structure'!A:B,2,0)</f>
        <v>#N/A</v>
      </c>
      <c r="M187" s="10"/>
    </row>
    <row r="188" spans="2:13">
      <c r="B188"/>
      <c r="C188"/>
      <c r="D188"/>
      <c r="E188"/>
      <c r="F188"/>
      <c r="G188"/>
      <c r="H188" s="76" t="e">
        <f>VLOOKUP(B188,'IT Structure'!A:D,4,0)*VLOOKUP(E188,'time target'!A:D,4,0)*20/30</f>
        <v>#N/A</v>
      </c>
      <c r="I188" s="7" t="e">
        <f>(1-VLOOKUP(B188,'IT Structure'!A:D,4,0))*VLOOKUP(E188,'time target'!A:D,4,0)*20/30</f>
        <v>#N/A</v>
      </c>
      <c r="J188" s="50" t="e">
        <f t="shared" si="4"/>
        <v>#N/A</v>
      </c>
      <c r="K188" s="50" t="e">
        <f t="shared" si="5"/>
        <v>#N/A</v>
      </c>
      <c r="L188" s="62" t="e">
        <f>VLOOKUP(B188,'IT Structure'!A:B,2,0)</f>
        <v>#N/A</v>
      </c>
      <c r="M188" s="10"/>
    </row>
    <row r="189" spans="2:13">
      <c r="B189"/>
      <c r="C189"/>
      <c r="D189"/>
      <c r="E189"/>
      <c r="F189"/>
      <c r="G189"/>
      <c r="H189" s="76" t="e">
        <f>VLOOKUP(B189,'IT Structure'!A:D,4,0)*VLOOKUP(E189,'time target'!A:D,4,0)*20/30</f>
        <v>#N/A</v>
      </c>
      <c r="I189" s="7" t="e">
        <f>(1-VLOOKUP(B189,'IT Structure'!A:D,4,0))*VLOOKUP(E189,'time target'!A:D,4,0)*20/30</f>
        <v>#N/A</v>
      </c>
      <c r="J189" s="50" t="e">
        <f t="shared" si="4"/>
        <v>#N/A</v>
      </c>
      <c r="K189" s="50" t="e">
        <f t="shared" si="5"/>
        <v>#N/A</v>
      </c>
      <c r="L189" s="62" t="e">
        <f>VLOOKUP(B189,'IT Structure'!A:B,2,0)</f>
        <v>#N/A</v>
      </c>
      <c r="M189" s="10"/>
    </row>
    <row r="190" spans="2:13">
      <c r="B190"/>
      <c r="C190"/>
      <c r="D190"/>
      <c r="E190"/>
      <c r="F190"/>
      <c r="G190"/>
      <c r="H190" s="76" t="e">
        <f>VLOOKUP(B190,'IT Structure'!A:D,4,0)*VLOOKUP(E190,'time target'!A:D,4,0)*20/30</f>
        <v>#N/A</v>
      </c>
      <c r="I190" s="7" t="e">
        <f>(1-VLOOKUP(B190,'IT Structure'!A:D,4,0))*VLOOKUP(E190,'time target'!A:D,4,0)*20/30</f>
        <v>#N/A</v>
      </c>
      <c r="J190" s="50" t="e">
        <f t="shared" si="4"/>
        <v>#N/A</v>
      </c>
      <c r="K190" s="50" t="e">
        <f t="shared" si="5"/>
        <v>#N/A</v>
      </c>
      <c r="L190" s="62" t="e">
        <f>VLOOKUP(B190,'IT Structure'!A:B,2,0)</f>
        <v>#N/A</v>
      </c>
      <c r="M190" s="10"/>
    </row>
    <row r="191" spans="2:13">
      <c r="B191"/>
      <c r="C191"/>
      <c r="D191"/>
      <c r="E191"/>
      <c r="F191"/>
      <c r="G191"/>
      <c r="H191" s="76" t="e">
        <f>VLOOKUP(B191,'IT Structure'!A:D,4,0)*VLOOKUP(E191,'time target'!A:D,4,0)*20/30</f>
        <v>#N/A</v>
      </c>
      <c r="I191" s="7" t="e">
        <f>(1-VLOOKUP(B191,'IT Structure'!A:D,4,0))*VLOOKUP(E191,'time target'!A:D,4,0)*20/30</f>
        <v>#N/A</v>
      </c>
      <c r="J191" s="50" t="e">
        <f t="shared" si="4"/>
        <v>#N/A</v>
      </c>
      <c r="K191" s="50" t="e">
        <f t="shared" si="5"/>
        <v>#N/A</v>
      </c>
      <c r="L191" s="62" t="e">
        <f>VLOOKUP(B191,'IT Structure'!A:B,2,0)</f>
        <v>#N/A</v>
      </c>
      <c r="M191" s="10"/>
    </row>
    <row r="192" spans="2:13">
      <c r="B192"/>
      <c r="C192"/>
      <c r="D192"/>
      <c r="E192"/>
      <c r="F192"/>
      <c r="G192"/>
      <c r="H192" s="76" t="e">
        <f>VLOOKUP(B192,'IT Structure'!A:D,4,0)*VLOOKUP(E192,'time target'!A:D,4,0)*20/30</f>
        <v>#N/A</v>
      </c>
      <c r="I192" s="7" t="e">
        <f>(1-VLOOKUP(B192,'IT Structure'!A:D,4,0))*VLOOKUP(E192,'time target'!A:D,4,0)*20/30</f>
        <v>#N/A</v>
      </c>
      <c r="J192" s="50" t="e">
        <f t="shared" si="4"/>
        <v>#N/A</v>
      </c>
      <c r="K192" s="50" t="e">
        <f t="shared" si="5"/>
        <v>#N/A</v>
      </c>
      <c r="L192" s="62" t="e">
        <f>VLOOKUP(B192,'IT Structure'!A:B,2,0)</f>
        <v>#N/A</v>
      </c>
      <c r="M192" s="10"/>
    </row>
    <row r="193" spans="2:13">
      <c r="B193"/>
      <c r="C193"/>
      <c r="D193"/>
      <c r="E193"/>
      <c r="F193"/>
      <c r="G193"/>
      <c r="H193" s="76" t="e">
        <f>VLOOKUP(B193,'IT Structure'!A:D,4,0)*VLOOKUP(E193,'time target'!A:D,4,0)*20/30</f>
        <v>#N/A</v>
      </c>
      <c r="I193" s="7" t="e">
        <f>(1-VLOOKUP(B193,'IT Structure'!A:D,4,0))*VLOOKUP(E193,'time target'!A:D,4,0)*20/30</f>
        <v>#N/A</v>
      </c>
      <c r="J193" s="50" t="e">
        <f t="shared" si="4"/>
        <v>#N/A</v>
      </c>
      <c r="K193" s="50" t="e">
        <f t="shared" si="5"/>
        <v>#N/A</v>
      </c>
      <c r="L193" s="62" t="e">
        <f>VLOOKUP(B193,'IT Structure'!A:B,2,0)</f>
        <v>#N/A</v>
      </c>
      <c r="M193" s="10"/>
    </row>
    <row r="194" spans="2:13">
      <c r="B194"/>
      <c r="C194"/>
      <c r="D194"/>
      <c r="E194"/>
      <c r="F194"/>
      <c r="G194"/>
      <c r="H194" s="76" t="e">
        <f>VLOOKUP(B194,'IT Structure'!A:D,4,0)*VLOOKUP(E194,'time target'!A:D,4,0)*20/30</f>
        <v>#N/A</v>
      </c>
      <c r="I194" s="7" t="e">
        <f>(1-VLOOKUP(B194,'IT Structure'!A:D,4,0))*VLOOKUP(E194,'time target'!A:D,4,0)*20/30</f>
        <v>#N/A</v>
      </c>
      <c r="J194" s="50" t="e">
        <f t="shared" si="4"/>
        <v>#N/A</v>
      </c>
      <c r="K194" s="50" t="e">
        <f t="shared" si="5"/>
        <v>#N/A</v>
      </c>
      <c r="L194" s="62" t="e">
        <f>VLOOKUP(B194,'IT Structure'!A:B,2,0)</f>
        <v>#N/A</v>
      </c>
      <c r="M194" s="10"/>
    </row>
    <row r="195" spans="2:13">
      <c r="B195"/>
      <c r="C195"/>
      <c r="D195"/>
      <c r="E195"/>
      <c r="F195"/>
      <c r="G195"/>
      <c r="H195" s="76" t="e">
        <f>VLOOKUP(B195,'IT Structure'!A:D,4,0)*VLOOKUP(E195,'time target'!A:D,4,0)*20/30</f>
        <v>#N/A</v>
      </c>
      <c r="I195" s="7" t="e">
        <f>(1-VLOOKUP(B195,'IT Structure'!A:D,4,0))*VLOOKUP(E195,'time target'!A:D,4,0)*20/30</f>
        <v>#N/A</v>
      </c>
      <c r="J195" s="50" t="e">
        <f t="shared" si="4"/>
        <v>#N/A</v>
      </c>
      <c r="K195" s="50" t="e">
        <f t="shared" si="5"/>
        <v>#N/A</v>
      </c>
      <c r="L195" s="62" t="e">
        <f>VLOOKUP(B195,'IT Structure'!A:B,2,0)</f>
        <v>#N/A</v>
      </c>
      <c r="M195" s="10"/>
    </row>
    <row r="196" spans="2:13">
      <c r="B196"/>
      <c r="C196"/>
      <c r="D196"/>
      <c r="E196"/>
      <c r="F196"/>
      <c r="G196"/>
      <c r="H196" s="76" t="e">
        <f>VLOOKUP(B196,'IT Structure'!A:D,4,0)*VLOOKUP(E196,'time target'!A:D,4,0)*20/30</f>
        <v>#N/A</v>
      </c>
      <c r="I196" s="7" t="e">
        <f>(1-VLOOKUP(B196,'IT Structure'!A:D,4,0))*VLOOKUP(E196,'time target'!A:D,4,0)*20/30</f>
        <v>#N/A</v>
      </c>
      <c r="J196" s="50" t="e">
        <f t="shared" si="4"/>
        <v>#N/A</v>
      </c>
      <c r="K196" s="50" t="e">
        <f t="shared" si="5"/>
        <v>#N/A</v>
      </c>
      <c r="L196" s="62" t="e">
        <f>VLOOKUP(B196,'IT Structure'!A:B,2,0)</f>
        <v>#N/A</v>
      </c>
      <c r="M196" s="10"/>
    </row>
    <row r="197" spans="2:13">
      <c r="B197"/>
      <c r="C197"/>
      <c r="D197"/>
      <c r="E197"/>
      <c r="F197"/>
      <c r="G197"/>
      <c r="H197" s="76" t="e">
        <f>VLOOKUP(B197,'IT Structure'!A:D,4,0)*VLOOKUP(E197,'time target'!A:D,4,0)*20/30</f>
        <v>#N/A</v>
      </c>
      <c r="I197" s="7" t="e">
        <f>(1-VLOOKUP(B197,'IT Structure'!A:D,4,0))*VLOOKUP(E197,'time target'!A:D,4,0)*20/30</f>
        <v>#N/A</v>
      </c>
      <c r="J197" s="50" t="e">
        <f t="shared" si="4"/>
        <v>#N/A</v>
      </c>
      <c r="K197" s="50" t="e">
        <f t="shared" si="5"/>
        <v>#N/A</v>
      </c>
      <c r="L197" s="62" t="e">
        <f>VLOOKUP(B197,'IT Structure'!A:B,2,0)</f>
        <v>#N/A</v>
      </c>
      <c r="M197" s="10"/>
    </row>
    <row r="198" spans="2:13">
      <c r="B198"/>
      <c r="C198"/>
      <c r="D198"/>
      <c r="E198"/>
      <c r="F198"/>
      <c r="G198"/>
      <c r="H198" s="76" t="e">
        <f>VLOOKUP(B198,'IT Structure'!A:D,4,0)*VLOOKUP(E198,'time target'!A:D,4,0)*20/30</f>
        <v>#N/A</v>
      </c>
      <c r="I198" s="7" t="e">
        <f>(1-VLOOKUP(B198,'IT Structure'!A:D,4,0))*VLOOKUP(E198,'time target'!A:D,4,0)*20/30</f>
        <v>#N/A</v>
      </c>
      <c r="J198" s="50" t="e">
        <f t="shared" si="4"/>
        <v>#N/A</v>
      </c>
      <c r="K198" s="50" t="e">
        <f t="shared" si="5"/>
        <v>#N/A</v>
      </c>
      <c r="L198" s="62" t="e">
        <f>VLOOKUP(B198,'IT Structure'!A:B,2,0)</f>
        <v>#N/A</v>
      </c>
      <c r="M198" s="10"/>
    </row>
    <row r="199" spans="2:13">
      <c r="B199"/>
      <c r="C199"/>
      <c r="D199"/>
      <c r="E199"/>
      <c r="F199"/>
      <c r="G199"/>
      <c r="H199" s="76" t="e">
        <f>VLOOKUP(B199,'IT Structure'!A:D,4,0)*VLOOKUP(E199,'time target'!A:D,4,0)*20/30</f>
        <v>#N/A</v>
      </c>
      <c r="I199" s="7" t="e">
        <f>(1-VLOOKUP(B199,'IT Structure'!A:D,4,0))*VLOOKUP(E199,'time target'!A:D,4,0)*20/30</f>
        <v>#N/A</v>
      </c>
      <c r="J199" s="50" t="e">
        <f t="shared" si="4"/>
        <v>#N/A</v>
      </c>
      <c r="K199" s="50" t="e">
        <f t="shared" si="5"/>
        <v>#N/A</v>
      </c>
      <c r="L199" s="62" t="e">
        <f>VLOOKUP(B199,'IT Structure'!A:B,2,0)</f>
        <v>#N/A</v>
      </c>
      <c r="M199" s="10"/>
    </row>
    <row r="200" spans="2:13">
      <c r="B200"/>
      <c r="C200"/>
      <c r="D200"/>
      <c r="E200"/>
      <c r="F200"/>
      <c r="G200"/>
      <c r="H200" s="76" t="e">
        <f>VLOOKUP(B200,'IT Structure'!A:D,4,0)*VLOOKUP(E200,'time target'!A:D,4,0)*20/30</f>
        <v>#N/A</v>
      </c>
      <c r="I200" s="7" t="e">
        <f>(1-VLOOKUP(B200,'IT Structure'!A:D,4,0))*VLOOKUP(E200,'time target'!A:D,4,0)*20/30</f>
        <v>#N/A</v>
      </c>
      <c r="J200" s="50" t="e">
        <f t="shared" ref="J200:J263" si="6">H200-F200</f>
        <v>#N/A</v>
      </c>
      <c r="K200" s="50" t="e">
        <f t="shared" ref="K200:K263" si="7">I200-G200</f>
        <v>#N/A</v>
      </c>
      <c r="L200" s="62" t="e">
        <f>VLOOKUP(B200,'IT Structure'!A:B,2,0)</f>
        <v>#N/A</v>
      </c>
      <c r="M200" s="10"/>
    </row>
    <row r="201" spans="2:13">
      <c r="B201"/>
      <c r="C201"/>
      <c r="D201"/>
      <c r="E201"/>
      <c r="F201"/>
      <c r="G201"/>
      <c r="H201" s="76" t="e">
        <f>VLOOKUP(B201,'IT Structure'!A:D,4,0)*VLOOKUP(E201,'time target'!A:D,4,0)*20/30</f>
        <v>#N/A</v>
      </c>
      <c r="I201" s="7" t="e">
        <f>(1-VLOOKUP(B201,'IT Structure'!A:D,4,0))*VLOOKUP(E201,'time target'!A:D,4,0)*20/30</f>
        <v>#N/A</v>
      </c>
      <c r="J201" s="50" t="e">
        <f t="shared" si="6"/>
        <v>#N/A</v>
      </c>
      <c r="K201" s="50" t="e">
        <f t="shared" si="7"/>
        <v>#N/A</v>
      </c>
      <c r="L201" s="62" t="e">
        <f>VLOOKUP(B201,'IT Structure'!A:B,2,0)</f>
        <v>#N/A</v>
      </c>
      <c r="M201" s="10"/>
    </row>
    <row r="202" spans="2:13">
      <c r="B202"/>
      <c r="C202"/>
      <c r="D202"/>
      <c r="E202"/>
      <c r="F202"/>
      <c r="G202"/>
      <c r="H202" s="76" t="e">
        <f>VLOOKUP(B202,'IT Structure'!A:D,4,0)*VLOOKUP(E202,'time target'!A:D,4,0)*20/30</f>
        <v>#N/A</v>
      </c>
      <c r="I202" s="7" t="e">
        <f>(1-VLOOKUP(B202,'IT Structure'!A:D,4,0))*VLOOKUP(E202,'time target'!A:D,4,0)*20/30</f>
        <v>#N/A</v>
      </c>
      <c r="J202" s="50" t="e">
        <f t="shared" si="6"/>
        <v>#N/A</v>
      </c>
      <c r="K202" s="50" t="e">
        <f t="shared" si="7"/>
        <v>#N/A</v>
      </c>
      <c r="L202" s="62" t="e">
        <f>VLOOKUP(B202,'IT Structure'!A:B,2,0)</f>
        <v>#N/A</v>
      </c>
      <c r="M202" s="10"/>
    </row>
    <row r="203" spans="2:13">
      <c r="B203"/>
      <c r="C203"/>
      <c r="D203"/>
      <c r="E203"/>
      <c r="F203"/>
      <c r="G203"/>
      <c r="H203" s="76" t="e">
        <f>VLOOKUP(B203,'IT Structure'!A:D,4,0)*VLOOKUP(E203,'time target'!A:D,4,0)*20/30</f>
        <v>#N/A</v>
      </c>
      <c r="I203" s="7" t="e">
        <f>(1-VLOOKUP(B203,'IT Structure'!A:D,4,0))*VLOOKUP(E203,'time target'!A:D,4,0)*20/30</f>
        <v>#N/A</v>
      </c>
      <c r="J203" s="50" t="e">
        <f t="shared" si="6"/>
        <v>#N/A</v>
      </c>
      <c r="K203" s="50" t="e">
        <f t="shared" si="7"/>
        <v>#N/A</v>
      </c>
      <c r="L203" s="62" t="e">
        <f>VLOOKUP(B203,'IT Structure'!A:B,2,0)</f>
        <v>#N/A</v>
      </c>
      <c r="M203" s="10"/>
    </row>
    <row r="204" spans="2:13">
      <c r="B204"/>
      <c r="C204"/>
      <c r="D204"/>
      <c r="E204"/>
      <c r="F204"/>
      <c r="G204"/>
      <c r="H204" s="76" t="e">
        <f>VLOOKUP(B204,'IT Structure'!A:D,4,0)*VLOOKUP(E204,'time target'!A:D,4,0)*20/30</f>
        <v>#N/A</v>
      </c>
      <c r="I204" s="7" t="e">
        <f>(1-VLOOKUP(B204,'IT Structure'!A:D,4,0))*VLOOKUP(E204,'time target'!A:D,4,0)*20/30</f>
        <v>#N/A</v>
      </c>
      <c r="J204" s="50" t="e">
        <f t="shared" si="6"/>
        <v>#N/A</v>
      </c>
      <c r="K204" s="50" t="e">
        <f t="shared" si="7"/>
        <v>#N/A</v>
      </c>
      <c r="L204" s="62" t="e">
        <f>VLOOKUP(B204,'IT Structure'!A:B,2,0)</f>
        <v>#N/A</v>
      </c>
      <c r="M204" s="10"/>
    </row>
    <row r="205" spans="2:13">
      <c r="B205"/>
      <c r="C205"/>
      <c r="D205"/>
      <c r="E205"/>
      <c r="F205"/>
      <c r="G205"/>
      <c r="H205" s="76" t="e">
        <f>VLOOKUP(B205,'IT Structure'!A:D,4,0)*VLOOKUP(E205,'time target'!A:D,4,0)*20/30</f>
        <v>#N/A</v>
      </c>
      <c r="I205" s="7" t="e">
        <f>(1-VLOOKUP(B205,'IT Structure'!A:D,4,0))*VLOOKUP(E205,'time target'!A:D,4,0)*20/30</f>
        <v>#N/A</v>
      </c>
      <c r="J205" s="50" t="e">
        <f t="shared" si="6"/>
        <v>#N/A</v>
      </c>
      <c r="K205" s="50" t="e">
        <f t="shared" si="7"/>
        <v>#N/A</v>
      </c>
      <c r="L205" s="62" t="e">
        <f>VLOOKUP(B205,'IT Structure'!A:B,2,0)</f>
        <v>#N/A</v>
      </c>
      <c r="M205" s="10"/>
    </row>
    <row r="206" spans="2:13">
      <c r="B206"/>
      <c r="C206"/>
      <c r="D206"/>
      <c r="E206"/>
      <c r="F206"/>
      <c r="G206"/>
      <c r="H206" s="76" t="e">
        <f>VLOOKUP(B206,'IT Structure'!A:D,4,0)*VLOOKUP(E206,'time target'!A:D,4,0)*20/30</f>
        <v>#N/A</v>
      </c>
      <c r="I206" s="7" t="e">
        <f>(1-VLOOKUP(B206,'IT Structure'!A:D,4,0))*VLOOKUP(E206,'time target'!A:D,4,0)*20/30</f>
        <v>#N/A</v>
      </c>
      <c r="J206" s="50" t="e">
        <f t="shared" si="6"/>
        <v>#N/A</v>
      </c>
      <c r="K206" s="50" t="e">
        <f t="shared" si="7"/>
        <v>#N/A</v>
      </c>
      <c r="L206" s="62" t="e">
        <f>VLOOKUP(B206,'IT Structure'!A:B,2,0)</f>
        <v>#N/A</v>
      </c>
      <c r="M206" s="10"/>
    </row>
    <row r="207" spans="2:13">
      <c r="B207"/>
      <c r="C207"/>
      <c r="D207"/>
      <c r="E207"/>
      <c r="F207"/>
      <c r="G207"/>
      <c r="H207" s="76" t="e">
        <f>VLOOKUP(B207,'IT Structure'!A:D,4,0)*VLOOKUP(E207,'time target'!A:D,4,0)*20/30</f>
        <v>#N/A</v>
      </c>
      <c r="I207" s="7" t="e">
        <f>(1-VLOOKUP(B207,'IT Structure'!A:D,4,0))*VLOOKUP(E207,'time target'!A:D,4,0)*20/30</f>
        <v>#N/A</v>
      </c>
      <c r="J207" s="50" t="e">
        <f t="shared" si="6"/>
        <v>#N/A</v>
      </c>
      <c r="K207" s="50" t="e">
        <f t="shared" si="7"/>
        <v>#N/A</v>
      </c>
      <c r="L207" s="62" t="e">
        <f>VLOOKUP(B207,'IT Structure'!A:B,2,0)</f>
        <v>#N/A</v>
      </c>
      <c r="M207" s="10"/>
    </row>
    <row r="208" spans="2:13">
      <c r="B208"/>
      <c r="C208"/>
      <c r="D208"/>
      <c r="E208"/>
      <c r="F208"/>
      <c r="G208"/>
      <c r="H208" s="76" t="e">
        <f>VLOOKUP(B208,'IT Structure'!A:D,4,0)*VLOOKUP(E208,'time target'!A:D,4,0)*20/30</f>
        <v>#N/A</v>
      </c>
      <c r="I208" s="7" t="e">
        <f>(1-VLOOKUP(B208,'IT Structure'!A:D,4,0))*VLOOKUP(E208,'time target'!A:D,4,0)*20/30</f>
        <v>#N/A</v>
      </c>
      <c r="J208" s="50" t="e">
        <f t="shared" si="6"/>
        <v>#N/A</v>
      </c>
      <c r="K208" s="50" t="e">
        <f t="shared" si="7"/>
        <v>#N/A</v>
      </c>
      <c r="L208" s="62" t="e">
        <f>VLOOKUP(B208,'IT Structure'!A:B,2,0)</f>
        <v>#N/A</v>
      </c>
      <c r="M208" s="10"/>
    </row>
    <row r="209" spans="2:13">
      <c r="B209"/>
      <c r="C209"/>
      <c r="D209"/>
      <c r="E209"/>
      <c r="F209"/>
      <c r="G209"/>
      <c r="H209" s="76" t="e">
        <f>VLOOKUP(B209,'IT Structure'!A:D,4,0)*VLOOKUP(E209,'time target'!A:D,4,0)*20/30</f>
        <v>#N/A</v>
      </c>
      <c r="I209" s="7" t="e">
        <f>(1-VLOOKUP(B209,'IT Structure'!A:D,4,0))*VLOOKUP(E209,'time target'!A:D,4,0)*20/30</f>
        <v>#N/A</v>
      </c>
      <c r="J209" s="50" t="e">
        <f t="shared" si="6"/>
        <v>#N/A</v>
      </c>
      <c r="K209" s="50" t="e">
        <f t="shared" si="7"/>
        <v>#N/A</v>
      </c>
      <c r="L209" s="62" t="e">
        <f>VLOOKUP(B209,'IT Structure'!A:B,2,0)</f>
        <v>#N/A</v>
      </c>
      <c r="M209" s="10"/>
    </row>
    <row r="210" spans="2:13">
      <c r="B210"/>
      <c r="C210"/>
      <c r="D210"/>
      <c r="E210"/>
      <c r="F210"/>
      <c r="G210"/>
      <c r="H210" s="76" t="e">
        <f>VLOOKUP(B210,'IT Structure'!A:D,4,0)*VLOOKUP(E210,'time target'!A:D,4,0)*20/30</f>
        <v>#N/A</v>
      </c>
      <c r="I210" s="7" t="e">
        <f>(1-VLOOKUP(B210,'IT Structure'!A:D,4,0))*VLOOKUP(E210,'time target'!A:D,4,0)*20/30</f>
        <v>#N/A</v>
      </c>
      <c r="J210" s="50" t="e">
        <f t="shared" si="6"/>
        <v>#N/A</v>
      </c>
      <c r="K210" s="50" t="e">
        <f t="shared" si="7"/>
        <v>#N/A</v>
      </c>
      <c r="L210" s="62" t="e">
        <f>VLOOKUP(B210,'IT Structure'!A:B,2,0)</f>
        <v>#N/A</v>
      </c>
      <c r="M210" s="10"/>
    </row>
    <row r="211" spans="2:13">
      <c r="B211"/>
      <c r="C211"/>
      <c r="D211"/>
      <c r="E211"/>
      <c r="F211"/>
      <c r="G211"/>
      <c r="H211" s="76" t="e">
        <f>VLOOKUP(B211,'IT Structure'!A:D,4,0)*VLOOKUP(E211,'time target'!A:D,4,0)*20/30</f>
        <v>#N/A</v>
      </c>
      <c r="I211" s="7" t="e">
        <f>(1-VLOOKUP(B211,'IT Structure'!A:D,4,0))*VLOOKUP(E211,'time target'!A:D,4,0)*20/30</f>
        <v>#N/A</v>
      </c>
      <c r="J211" s="50" t="e">
        <f t="shared" si="6"/>
        <v>#N/A</v>
      </c>
      <c r="K211" s="50" t="e">
        <f t="shared" si="7"/>
        <v>#N/A</v>
      </c>
      <c r="L211" s="62" t="e">
        <f>VLOOKUP(B211,'IT Structure'!A:B,2,0)</f>
        <v>#N/A</v>
      </c>
      <c r="M211" s="10"/>
    </row>
    <row r="212" spans="2:13">
      <c r="B212"/>
      <c r="C212"/>
      <c r="D212"/>
      <c r="E212"/>
      <c r="F212"/>
      <c r="G212"/>
      <c r="H212" s="76" t="e">
        <f>VLOOKUP(B212,'IT Structure'!A:D,4,0)*VLOOKUP(E212,'time target'!A:D,4,0)*20/30</f>
        <v>#N/A</v>
      </c>
      <c r="I212" s="7" t="e">
        <f>(1-VLOOKUP(B212,'IT Structure'!A:D,4,0))*VLOOKUP(E212,'time target'!A:D,4,0)*20/30</f>
        <v>#N/A</v>
      </c>
      <c r="J212" s="50" t="e">
        <f t="shared" si="6"/>
        <v>#N/A</v>
      </c>
      <c r="K212" s="50" t="e">
        <f t="shared" si="7"/>
        <v>#N/A</v>
      </c>
      <c r="L212" s="62" t="e">
        <f>VLOOKUP(B212,'IT Structure'!A:B,2,0)</f>
        <v>#N/A</v>
      </c>
      <c r="M212" s="10"/>
    </row>
    <row r="213" spans="2:13">
      <c r="B213"/>
      <c r="C213"/>
      <c r="D213"/>
      <c r="E213"/>
      <c r="F213"/>
      <c r="G213"/>
      <c r="H213" s="76" t="e">
        <f>VLOOKUP(B213,'IT Structure'!A:D,4,0)*VLOOKUP(E213,'time target'!A:D,4,0)*20/30</f>
        <v>#N/A</v>
      </c>
      <c r="I213" s="7" t="e">
        <f>(1-VLOOKUP(B213,'IT Structure'!A:D,4,0))*VLOOKUP(E213,'time target'!A:D,4,0)*20/30</f>
        <v>#N/A</v>
      </c>
      <c r="J213" s="50" t="e">
        <f t="shared" si="6"/>
        <v>#N/A</v>
      </c>
      <c r="K213" s="50" t="e">
        <f t="shared" si="7"/>
        <v>#N/A</v>
      </c>
      <c r="L213" s="62" t="e">
        <f>VLOOKUP(B213,'IT Structure'!A:B,2,0)</f>
        <v>#N/A</v>
      </c>
      <c r="M213" s="10"/>
    </row>
    <row r="214" spans="2:13">
      <c r="B214"/>
      <c r="C214"/>
      <c r="D214"/>
      <c r="E214"/>
      <c r="F214"/>
      <c r="G214"/>
      <c r="H214" s="76" t="e">
        <f>VLOOKUP(B214,'IT Structure'!A:D,4,0)*VLOOKUP(E214,'time target'!A:D,4,0)*20/30</f>
        <v>#N/A</v>
      </c>
      <c r="I214" s="7" t="e">
        <f>(1-VLOOKUP(B214,'IT Structure'!A:D,4,0))*VLOOKUP(E214,'time target'!A:D,4,0)*20/30</f>
        <v>#N/A</v>
      </c>
      <c r="J214" s="50" t="e">
        <f t="shared" si="6"/>
        <v>#N/A</v>
      </c>
      <c r="K214" s="50" t="e">
        <f t="shared" si="7"/>
        <v>#N/A</v>
      </c>
      <c r="L214" s="62" t="e">
        <f>VLOOKUP(B214,'IT Structure'!A:B,2,0)</f>
        <v>#N/A</v>
      </c>
      <c r="M214" s="10"/>
    </row>
    <row r="215" spans="2:13">
      <c r="B215"/>
      <c r="C215"/>
      <c r="D215"/>
      <c r="E215"/>
      <c r="F215"/>
      <c r="G215"/>
      <c r="H215" s="76" t="e">
        <f>VLOOKUP(B215,'IT Structure'!A:D,4,0)*VLOOKUP(E215,'time target'!A:D,4,0)*20/30</f>
        <v>#N/A</v>
      </c>
      <c r="I215" s="7" t="e">
        <f>(1-VLOOKUP(B215,'IT Structure'!A:D,4,0))*VLOOKUP(E215,'time target'!A:D,4,0)*20/30</f>
        <v>#N/A</v>
      </c>
      <c r="J215" s="50" t="e">
        <f t="shared" si="6"/>
        <v>#N/A</v>
      </c>
      <c r="K215" s="50" t="e">
        <f t="shared" si="7"/>
        <v>#N/A</v>
      </c>
      <c r="L215" s="62" t="e">
        <f>VLOOKUP(B215,'IT Structure'!A:B,2,0)</f>
        <v>#N/A</v>
      </c>
      <c r="M215" s="10"/>
    </row>
    <row r="216" spans="2:13">
      <c r="B216"/>
      <c r="C216"/>
      <c r="D216"/>
      <c r="E216"/>
      <c r="F216"/>
      <c r="G216"/>
      <c r="H216" s="76" t="e">
        <f>VLOOKUP(B216,'IT Structure'!A:D,4,0)*VLOOKUP(E216,'time target'!A:D,4,0)*20/30</f>
        <v>#N/A</v>
      </c>
      <c r="I216" s="7" t="e">
        <f>(1-VLOOKUP(B216,'IT Structure'!A:D,4,0))*VLOOKUP(E216,'time target'!A:D,4,0)*20/30</f>
        <v>#N/A</v>
      </c>
      <c r="J216" s="50" t="e">
        <f t="shared" si="6"/>
        <v>#N/A</v>
      </c>
      <c r="K216" s="50" t="e">
        <f t="shared" si="7"/>
        <v>#N/A</v>
      </c>
      <c r="L216" s="62" t="e">
        <f>VLOOKUP(B216,'IT Structure'!A:B,2,0)</f>
        <v>#N/A</v>
      </c>
      <c r="M216" s="10"/>
    </row>
    <row r="217" spans="2:13">
      <c r="B217"/>
      <c r="C217"/>
      <c r="D217"/>
      <c r="E217"/>
      <c r="F217"/>
      <c r="G217"/>
      <c r="H217" s="76" t="e">
        <f>VLOOKUP(B217,'IT Structure'!A:D,4,0)*VLOOKUP(E217,'time target'!A:D,4,0)*20/30</f>
        <v>#N/A</v>
      </c>
      <c r="I217" s="7" t="e">
        <f>(1-VLOOKUP(B217,'IT Structure'!A:D,4,0))*VLOOKUP(E217,'time target'!A:D,4,0)*20/30</f>
        <v>#N/A</v>
      </c>
      <c r="J217" s="50" t="e">
        <f t="shared" si="6"/>
        <v>#N/A</v>
      </c>
      <c r="K217" s="50" t="e">
        <f t="shared" si="7"/>
        <v>#N/A</v>
      </c>
      <c r="L217" s="62" t="e">
        <f>VLOOKUP(B217,'IT Structure'!A:B,2,0)</f>
        <v>#N/A</v>
      </c>
      <c r="M217" s="10"/>
    </row>
    <row r="218" spans="2:13">
      <c r="B218"/>
      <c r="C218"/>
      <c r="D218"/>
      <c r="E218"/>
      <c r="F218"/>
      <c r="G218"/>
      <c r="H218" s="76" t="e">
        <f>VLOOKUP(B218,'IT Structure'!A:D,4,0)*VLOOKUP(E218,'time target'!A:D,4,0)*20/30</f>
        <v>#N/A</v>
      </c>
      <c r="I218" s="7" t="e">
        <f>(1-VLOOKUP(B218,'IT Structure'!A:D,4,0))*VLOOKUP(E218,'time target'!A:D,4,0)*20/30</f>
        <v>#N/A</v>
      </c>
      <c r="J218" s="50" t="e">
        <f t="shared" si="6"/>
        <v>#N/A</v>
      </c>
      <c r="K218" s="50" t="e">
        <f t="shared" si="7"/>
        <v>#N/A</v>
      </c>
      <c r="L218" s="62" t="e">
        <f>VLOOKUP(B218,'IT Structure'!A:B,2,0)</f>
        <v>#N/A</v>
      </c>
      <c r="M218" s="10"/>
    </row>
    <row r="219" spans="2:13">
      <c r="B219"/>
      <c r="C219"/>
      <c r="D219"/>
      <c r="E219"/>
      <c r="F219"/>
      <c r="G219"/>
      <c r="H219" s="76" t="e">
        <f>VLOOKUP(B219,'IT Structure'!A:D,4,0)*VLOOKUP(E219,'time target'!A:D,4,0)*20/30</f>
        <v>#N/A</v>
      </c>
      <c r="I219" s="7" t="e">
        <f>(1-VLOOKUP(B219,'IT Structure'!A:D,4,0))*VLOOKUP(E219,'time target'!A:D,4,0)*20/30</f>
        <v>#N/A</v>
      </c>
      <c r="J219" s="50" t="e">
        <f t="shared" si="6"/>
        <v>#N/A</v>
      </c>
      <c r="K219" s="50" t="e">
        <f t="shared" si="7"/>
        <v>#N/A</v>
      </c>
      <c r="L219" s="62" t="e">
        <f>VLOOKUP(B219,'IT Structure'!A:B,2,0)</f>
        <v>#N/A</v>
      </c>
      <c r="M219" s="10"/>
    </row>
    <row r="220" spans="2:13">
      <c r="B220"/>
      <c r="C220"/>
      <c r="D220"/>
      <c r="E220"/>
      <c r="F220"/>
      <c r="G220"/>
      <c r="H220" s="76" t="e">
        <f>VLOOKUP(B220,'IT Structure'!A:D,4,0)*VLOOKUP(E220,'time target'!A:D,4,0)*20/30</f>
        <v>#N/A</v>
      </c>
      <c r="I220" s="7" t="e">
        <f>(1-VLOOKUP(B220,'IT Structure'!A:D,4,0))*VLOOKUP(E220,'time target'!A:D,4,0)*20/30</f>
        <v>#N/A</v>
      </c>
      <c r="J220" s="50" t="e">
        <f t="shared" si="6"/>
        <v>#N/A</v>
      </c>
      <c r="K220" s="50" t="e">
        <f t="shared" si="7"/>
        <v>#N/A</v>
      </c>
      <c r="L220" s="62" t="e">
        <f>VLOOKUP(B220,'IT Structure'!A:B,2,0)</f>
        <v>#N/A</v>
      </c>
      <c r="M220" s="10"/>
    </row>
    <row r="221" spans="2:13">
      <c r="B221"/>
      <c r="C221"/>
      <c r="D221"/>
      <c r="E221"/>
      <c r="F221"/>
      <c r="G221"/>
      <c r="H221" s="76" t="e">
        <f>VLOOKUP(B221,'IT Structure'!A:D,4,0)*VLOOKUP(E221,'time target'!A:D,4,0)*20/30</f>
        <v>#N/A</v>
      </c>
      <c r="I221" s="7" t="e">
        <f>(1-VLOOKUP(B221,'IT Structure'!A:D,4,0))*VLOOKUP(E221,'time target'!A:D,4,0)*20/30</f>
        <v>#N/A</v>
      </c>
      <c r="J221" s="50" t="e">
        <f t="shared" si="6"/>
        <v>#N/A</v>
      </c>
      <c r="K221" s="50" t="e">
        <f t="shared" si="7"/>
        <v>#N/A</v>
      </c>
      <c r="L221" s="62" t="e">
        <f>VLOOKUP(B221,'IT Structure'!A:B,2,0)</f>
        <v>#N/A</v>
      </c>
      <c r="M221" s="10"/>
    </row>
    <row r="222" spans="2:13">
      <c r="B222"/>
      <c r="C222"/>
      <c r="D222"/>
      <c r="E222"/>
      <c r="F222"/>
      <c r="G222"/>
      <c r="H222" s="76" t="e">
        <f>VLOOKUP(B222,'IT Structure'!A:D,4,0)*VLOOKUP(E222,'time target'!A:D,4,0)*20/30</f>
        <v>#N/A</v>
      </c>
      <c r="I222" s="7" t="e">
        <f>(1-VLOOKUP(B222,'IT Structure'!A:D,4,0))*VLOOKUP(E222,'time target'!A:D,4,0)*20/30</f>
        <v>#N/A</v>
      </c>
      <c r="J222" s="50" t="e">
        <f t="shared" si="6"/>
        <v>#N/A</v>
      </c>
      <c r="K222" s="50" t="e">
        <f t="shared" si="7"/>
        <v>#N/A</v>
      </c>
      <c r="L222" s="62" t="e">
        <f>VLOOKUP(B222,'IT Structure'!A:B,2,0)</f>
        <v>#N/A</v>
      </c>
      <c r="M222" s="10"/>
    </row>
    <row r="223" spans="2:13">
      <c r="B223"/>
      <c r="C223"/>
      <c r="D223"/>
      <c r="E223"/>
      <c r="F223"/>
      <c r="G223"/>
      <c r="H223" s="76" t="e">
        <f>VLOOKUP(B223,'IT Structure'!A:D,4,0)*VLOOKUP(E223,'time target'!A:D,4,0)*20/30</f>
        <v>#N/A</v>
      </c>
      <c r="I223" s="7" t="e">
        <f>(1-VLOOKUP(B223,'IT Structure'!A:D,4,0))*VLOOKUP(E223,'time target'!A:D,4,0)*20/30</f>
        <v>#N/A</v>
      </c>
      <c r="J223" s="50" t="e">
        <f t="shared" si="6"/>
        <v>#N/A</v>
      </c>
      <c r="K223" s="50" t="e">
        <f t="shared" si="7"/>
        <v>#N/A</v>
      </c>
      <c r="L223" s="62" t="e">
        <f>VLOOKUP(B223,'IT Structure'!A:B,2,0)</f>
        <v>#N/A</v>
      </c>
      <c r="M223" s="10"/>
    </row>
    <row r="224" spans="2:13">
      <c r="B224"/>
      <c r="C224"/>
      <c r="D224"/>
      <c r="E224"/>
      <c r="F224"/>
      <c r="G224"/>
      <c r="H224" s="76" t="e">
        <f>VLOOKUP(B224,'IT Structure'!A:D,4,0)*VLOOKUP(E224,'time target'!A:D,4,0)*20/30</f>
        <v>#N/A</v>
      </c>
      <c r="I224" s="7" t="e">
        <f>(1-VLOOKUP(B224,'IT Structure'!A:D,4,0))*VLOOKUP(E224,'time target'!A:D,4,0)*20/30</f>
        <v>#N/A</v>
      </c>
      <c r="J224" s="50" t="e">
        <f t="shared" si="6"/>
        <v>#N/A</v>
      </c>
      <c r="K224" s="50" t="e">
        <f t="shared" si="7"/>
        <v>#N/A</v>
      </c>
      <c r="L224" s="62" t="e">
        <f>VLOOKUP(B224,'IT Structure'!A:B,2,0)</f>
        <v>#N/A</v>
      </c>
      <c r="M224" s="10"/>
    </row>
    <row r="225" spans="2:13">
      <c r="B225"/>
      <c r="C225"/>
      <c r="D225"/>
      <c r="E225"/>
      <c r="F225"/>
      <c r="G225"/>
      <c r="H225" s="76" t="e">
        <f>VLOOKUP(B225,'IT Structure'!A:D,4,0)*VLOOKUP(E225,'time target'!A:D,4,0)*20/30</f>
        <v>#N/A</v>
      </c>
      <c r="I225" s="7" t="e">
        <f>(1-VLOOKUP(B225,'IT Structure'!A:D,4,0))*VLOOKUP(E225,'time target'!A:D,4,0)*20/30</f>
        <v>#N/A</v>
      </c>
      <c r="J225" s="50" t="e">
        <f t="shared" si="6"/>
        <v>#N/A</v>
      </c>
      <c r="K225" s="50" t="e">
        <f t="shared" si="7"/>
        <v>#N/A</v>
      </c>
      <c r="L225" s="62" t="e">
        <f>VLOOKUP(B225,'IT Structure'!A:B,2,0)</f>
        <v>#N/A</v>
      </c>
      <c r="M225" s="10"/>
    </row>
    <row r="226" spans="2:13">
      <c r="B226"/>
      <c r="C226"/>
      <c r="D226"/>
      <c r="E226"/>
      <c r="F226"/>
      <c r="G226"/>
      <c r="H226" s="76" t="e">
        <f>VLOOKUP(B226,'IT Structure'!A:D,4,0)*VLOOKUP(E226,'time target'!A:D,4,0)*20/30</f>
        <v>#N/A</v>
      </c>
      <c r="I226" s="7" t="e">
        <f>(1-VLOOKUP(B226,'IT Structure'!A:D,4,0))*VLOOKUP(E226,'time target'!A:D,4,0)*20/30</f>
        <v>#N/A</v>
      </c>
      <c r="J226" s="50" t="e">
        <f t="shared" si="6"/>
        <v>#N/A</v>
      </c>
      <c r="K226" s="50" t="e">
        <f t="shared" si="7"/>
        <v>#N/A</v>
      </c>
      <c r="L226" s="62" t="e">
        <f>VLOOKUP(B226,'IT Structure'!A:B,2,0)</f>
        <v>#N/A</v>
      </c>
      <c r="M226" s="10"/>
    </row>
    <row r="227" spans="2:13">
      <c r="B227"/>
      <c r="C227"/>
      <c r="D227"/>
      <c r="E227"/>
      <c r="F227"/>
      <c r="G227"/>
      <c r="H227" s="76" t="e">
        <f>VLOOKUP(B227,'IT Structure'!A:D,4,0)*VLOOKUP(E227,'time target'!A:D,4,0)*20/30</f>
        <v>#N/A</v>
      </c>
      <c r="I227" s="7" t="e">
        <f>(1-VLOOKUP(B227,'IT Structure'!A:D,4,0))*VLOOKUP(E227,'time target'!A:D,4,0)*20/30</f>
        <v>#N/A</v>
      </c>
      <c r="J227" s="50" t="e">
        <f t="shared" si="6"/>
        <v>#N/A</v>
      </c>
      <c r="K227" s="50" t="e">
        <f t="shared" si="7"/>
        <v>#N/A</v>
      </c>
      <c r="L227" s="62" t="e">
        <f>VLOOKUP(B227,'IT Structure'!A:B,2,0)</f>
        <v>#N/A</v>
      </c>
      <c r="M227" s="10"/>
    </row>
    <row r="228" spans="2:13">
      <c r="B228"/>
      <c r="C228"/>
      <c r="D228"/>
      <c r="E228"/>
      <c r="F228"/>
      <c r="G228"/>
      <c r="H228" s="76" t="e">
        <f>VLOOKUP(B228,'IT Structure'!A:D,4,0)*VLOOKUP(E228,'time target'!A:D,4,0)*20/30</f>
        <v>#N/A</v>
      </c>
      <c r="I228" s="7" t="e">
        <f>(1-VLOOKUP(B228,'IT Structure'!A:D,4,0))*VLOOKUP(E228,'time target'!A:D,4,0)*20/30</f>
        <v>#N/A</v>
      </c>
      <c r="J228" s="50" t="e">
        <f t="shared" si="6"/>
        <v>#N/A</v>
      </c>
      <c r="K228" s="50" t="e">
        <f t="shared" si="7"/>
        <v>#N/A</v>
      </c>
      <c r="L228" s="62" t="e">
        <f>VLOOKUP(B228,'IT Structure'!A:B,2,0)</f>
        <v>#N/A</v>
      </c>
      <c r="M228" s="10"/>
    </row>
    <row r="229" spans="2:13">
      <c r="B229"/>
      <c r="C229"/>
      <c r="D229"/>
      <c r="E229"/>
      <c r="F229"/>
      <c r="G229"/>
      <c r="H229" s="76" t="e">
        <f>VLOOKUP(B229,'IT Structure'!A:D,4,0)*VLOOKUP(E229,'time target'!A:D,4,0)*20/30</f>
        <v>#N/A</v>
      </c>
      <c r="I229" s="7" t="e">
        <f>(1-VLOOKUP(B229,'IT Structure'!A:D,4,0))*VLOOKUP(E229,'time target'!A:D,4,0)*20/30</f>
        <v>#N/A</v>
      </c>
      <c r="J229" s="50" t="e">
        <f t="shared" si="6"/>
        <v>#N/A</v>
      </c>
      <c r="K229" s="50" t="e">
        <f t="shared" si="7"/>
        <v>#N/A</v>
      </c>
      <c r="L229" s="62" t="e">
        <f>VLOOKUP(B229,'IT Structure'!A:B,2,0)</f>
        <v>#N/A</v>
      </c>
      <c r="M229" s="10"/>
    </row>
    <row r="230" spans="2:13">
      <c r="B230"/>
      <c r="C230"/>
      <c r="D230"/>
      <c r="E230"/>
      <c r="F230"/>
      <c r="G230"/>
      <c r="H230" s="76" t="e">
        <f>VLOOKUP(B230,'IT Structure'!A:D,4,0)*VLOOKUP(E230,'time target'!A:D,4,0)*20/30</f>
        <v>#N/A</v>
      </c>
      <c r="I230" s="7" t="e">
        <f>(1-VLOOKUP(B230,'IT Structure'!A:D,4,0))*VLOOKUP(E230,'time target'!A:D,4,0)*20/30</f>
        <v>#N/A</v>
      </c>
      <c r="J230" s="50" t="e">
        <f t="shared" si="6"/>
        <v>#N/A</v>
      </c>
      <c r="K230" s="50" t="e">
        <f t="shared" si="7"/>
        <v>#N/A</v>
      </c>
      <c r="L230" s="62" t="e">
        <f>VLOOKUP(B230,'IT Structure'!A:B,2,0)</f>
        <v>#N/A</v>
      </c>
      <c r="M230" s="10"/>
    </row>
    <row r="231" spans="2:13">
      <c r="B231"/>
      <c r="C231"/>
      <c r="D231"/>
      <c r="E231"/>
      <c r="F231"/>
      <c r="G231"/>
      <c r="H231" s="76" t="e">
        <f>VLOOKUP(B231,'IT Structure'!A:D,4,0)*VLOOKUP(E231,'time target'!A:D,4,0)*20/30</f>
        <v>#N/A</v>
      </c>
      <c r="I231" s="7" t="e">
        <f>(1-VLOOKUP(B231,'IT Structure'!A:D,4,0))*VLOOKUP(E231,'time target'!A:D,4,0)*20/30</f>
        <v>#N/A</v>
      </c>
      <c r="J231" s="50" t="e">
        <f t="shared" si="6"/>
        <v>#N/A</v>
      </c>
      <c r="K231" s="50" t="e">
        <f t="shared" si="7"/>
        <v>#N/A</v>
      </c>
      <c r="L231" s="62" t="e">
        <f>VLOOKUP(B231,'IT Structure'!A:B,2,0)</f>
        <v>#N/A</v>
      </c>
      <c r="M231" s="10"/>
    </row>
    <row r="232" spans="2:13">
      <c r="B232"/>
      <c r="C232"/>
      <c r="D232"/>
      <c r="E232"/>
      <c r="F232"/>
      <c r="G232"/>
      <c r="H232" s="76" t="e">
        <f>VLOOKUP(B232,'IT Structure'!A:D,4,0)*VLOOKUP(E232,'time target'!A:D,4,0)*20/30</f>
        <v>#N/A</v>
      </c>
      <c r="I232" s="7" t="e">
        <f>(1-VLOOKUP(B232,'IT Structure'!A:D,4,0))*VLOOKUP(E232,'time target'!A:D,4,0)*20/30</f>
        <v>#N/A</v>
      </c>
      <c r="J232" s="50" t="e">
        <f t="shared" si="6"/>
        <v>#N/A</v>
      </c>
      <c r="K232" s="50" t="e">
        <f t="shared" si="7"/>
        <v>#N/A</v>
      </c>
      <c r="L232" s="62" t="e">
        <f>VLOOKUP(B232,'IT Structure'!A:B,2,0)</f>
        <v>#N/A</v>
      </c>
      <c r="M232" s="10"/>
    </row>
    <row r="233" spans="2:13">
      <c r="B233"/>
      <c r="C233"/>
      <c r="D233"/>
      <c r="E233"/>
      <c r="F233"/>
      <c r="G233"/>
      <c r="H233" s="76" t="e">
        <f>VLOOKUP(B233,'IT Structure'!A:D,4,0)*VLOOKUP(E233,'time target'!A:D,4,0)*20/30</f>
        <v>#N/A</v>
      </c>
      <c r="I233" s="7" t="e">
        <f>(1-VLOOKUP(B233,'IT Structure'!A:D,4,0))*VLOOKUP(E233,'time target'!A:D,4,0)*20/30</f>
        <v>#N/A</v>
      </c>
      <c r="J233" s="50" t="e">
        <f t="shared" si="6"/>
        <v>#N/A</v>
      </c>
      <c r="K233" s="50" t="e">
        <f t="shared" si="7"/>
        <v>#N/A</v>
      </c>
      <c r="L233" s="62" t="e">
        <f>VLOOKUP(B233,'IT Structure'!A:B,2,0)</f>
        <v>#N/A</v>
      </c>
      <c r="M233" s="10"/>
    </row>
    <row r="234" spans="2:13">
      <c r="B234"/>
      <c r="C234"/>
      <c r="D234"/>
      <c r="E234"/>
      <c r="F234"/>
      <c r="G234"/>
      <c r="H234" s="76" t="e">
        <f>VLOOKUP(B234,'IT Structure'!A:D,4,0)*VLOOKUP(E234,'time target'!A:D,4,0)*20/30</f>
        <v>#N/A</v>
      </c>
      <c r="I234" s="7" t="e">
        <f>(1-VLOOKUP(B234,'IT Structure'!A:D,4,0))*VLOOKUP(E234,'time target'!A:D,4,0)*20/30</f>
        <v>#N/A</v>
      </c>
      <c r="J234" s="50" t="e">
        <f t="shared" si="6"/>
        <v>#N/A</v>
      </c>
      <c r="K234" s="50" t="e">
        <f t="shared" si="7"/>
        <v>#N/A</v>
      </c>
      <c r="L234" s="62" t="e">
        <f>VLOOKUP(B234,'IT Structure'!A:B,2,0)</f>
        <v>#N/A</v>
      </c>
      <c r="M234" s="10"/>
    </row>
    <row r="235" spans="2:13">
      <c r="B235"/>
      <c r="C235"/>
      <c r="D235"/>
      <c r="E235"/>
      <c r="F235"/>
      <c r="G235"/>
      <c r="H235" s="76" t="e">
        <f>VLOOKUP(B235,'IT Structure'!A:D,4,0)*VLOOKUP(E235,'time target'!A:D,4,0)*20/30</f>
        <v>#N/A</v>
      </c>
      <c r="I235" s="7" t="e">
        <f>(1-VLOOKUP(B235,'IT Structure'!A:D,4,0))*VLOOKUP(E235,'time target'!A:D,4,0)*20/30</f>
        <v>#N/A</v>
      </c>
      <c r="J235" s="50" t="e">
        <f t="shared" si="6"/>
        <v>#N/A</v>
      </c>
      <c r="K235" s="50" t="e">
        <f t="shared" si="7"/>
        <v>#N/A</v>
      </c>
      <c r="L235" s="62" t="e">
        <f>VLOOKUP(B235,'IT Structure'!A:B,2,0)</f>
        <v>#N/A</v>
      </c>
      <c r="M235" s="10"/>
    </row>
    <row r="236" spans="2:13">
      <c r="B236"/>
      <c r="C236"/>
      <c r="D236"/>
      <c r="E236"/>
      <c r="F236"/>
      <c r="G236"/>
      <c r="H236" s="76" t="e">
        <f>VLOOKUP(B236,'IT Structure'!A:D,4,0)*VLOOKUP(E236,'time target'!A:D,4,0)*20/30</f>
        <v>#N/A</v>
      </c>
      <c r="I236" s="7" t="e">
        <f>(1-VLOOKUP(B236,'IT Structure'!A:D,4,0))*VLOOKUP(E236,'time target'!A:D,4,0)*20/30</f>
        <v>#N/A</v>
      </c>
      <c r="J236" s="50" t="e">
        <f t="shared" si="6"/>
        <v>#N/A</v>
      </c>
      <c r="K236" s="50" t="e">
        <f t="shared" si="7"/>
        <v>#N/A</v>
      </c>
      <c r="L236" s="62" t="e">
        <f>VLOOKUP(B236,'IT Structure'!A:B,2,0)</f>
        <v>#N/A</v>
      </c>
      <c r="M236" s="10"/>
    </row>
    <row r="237" spans="2:13">
      <c r="B237"/>
      <c r="C237"/>
      <c r="D237"/>
      <c r="E237"/>
      <c r="F237"/>
      <c r="G237"/>
      <c r="H237" s="76" t="e">
        <f>VLOOKUP(B237,'IT Structure'!A:D,4,0)*VLOOKUP(E237,'time target'!A:D,4,0)*20/30</f>
        <v>#N/A</v>
      </c>
      <c r="I237" s="7" t="e">
        <f>(1-VLOOKUP(B237,'IT Structure'!A:D,4,0))*VLOOKUP(E237,'time target'!A:D,4,0)*20/30</f>
        <v>#N/A</v>
      </c>
      <c r="J237" s="50" t="e">
        <f t="shared" si="6"/>
        <v>#N/A</v>
      </c>
      <c r="K237" s="50" t="e">
        <f t="shared" si="7"/>
        <v>#N/A</v>
      </c>
      <c r="L237" s="62" t="e">
        <f>VLOOKUP(B237,'IT Structure'!A:B,2,0)</f>
        <v>#N/A</v>
      </c>
      <c r="M237" s="10"/>
    </row>
    <row r="238" spans="2:13">
      <c r="B238"/>
      <c r="C238"/>
      <c r="D238"/>
      <c r="E238"/>
      <c r="F238"/>
      <c r="G238"/>
      <c r="H238" s="76" t="e">
        <f>VLOOKUP(B238,'IT Structure'!A:D,4,0)*VLOOKUP(E238,'time target'!A:D,4,0)*20/30</f>
        <v>#N/A</v>
      </c>
      <c r="I238" s="7" t="e">
        <f>(1-VLOOKUP(B238,'IT Structure'!A:D,4,0))*VLOOKUP(E238,'time target'!A:D,4,0)*20/30</f>
        <v>#N/A</v>
      </c>
      <c r="J238" s="50" t="e">
        <f t="shared" si="6"/>
        <v>#N/A</v>
      </c>
      <c r="K238" s="50" t="e">
        <f t="shared" si="7"/>
        <v>#N/A</v>
      </c>
      <c r="L238" s="62" t="e">
        <f>VLOOKUP(B238,'IT Structure'!A:B,2,0)</f>
        <v>#N/A</v>
      </c>
      <c r="M238" s="10"/>
    </row>
    <row r="239" spans="2:13">
      <c r="B239"/>
      <c r="C239"/>
      <c r="D239"/>
      <c r="E239"/>
      <c r="F239"/>
      <c r="G239"/>
      <c r="H239" s="76" t="e">
        <f>VLOOKUP(B239,'IT Structure'!A:D,4,0)*VLOOKUP(E239,'time target'!A:D,4,0)*20/30</f>
        <v>#N/A</v>
      </c>
      <c r="I239" s="7" t="e">
        <f>(1-VLOOKUP(B239,'IT Structure'!A:D,4,0))*VLOOKUP(E239,'time target'!A:D,4,0)*20/30</f>
        <v>#N/A</v>
      </c>
      <c r="J239" s="50" t="e">
        <f t="shared" si="6"/>
        <v>#N/A</v>
      </c>
      <c r="K239" s="50" t="e">
        <f t="shared" si="7"/>
        <v>#N/A</v>
      </c>
      <c r="L239" s="62" t="e">
        <f>VLOOKUP(B239,'IT Structure'!A:B,2,0)</f>
        <v>#N/A</v>
      </c>
      <c r="M239" s="10"/>
    </row>
    <row r="240" spans="2:13">
      <c r="B240"/>
      <c r="C240"/>
      <c r="D240"/>
      <c r="E240"/>
      <c r="F240"/>
      <c r="G240"/>
      <c r="H240" s="76" t="e">
        <f>VLOOKUP(B240,'IT Structure'!A:D,4,0)*VLOOKUP(E240,'time target'!A:D,4,0)*20/30</f>
        <v>#N/A</v>
      </c>
      <c r="I240" s="7" t="e">
        <f>(1-VLOOKUP(B240,'IT Structure'!A:D,4,0))*VLOOKUP(E240,'time target'!A:D,4,0)*20/30</f>
        <v>#N/A</v>
      </c>
      <c r="J240" s="50" t="e">
        <f t="shared" si="6"/>
        <v>#N/A</v>
      </c>
      <c r="K240" s="50" t="e">
        <f t="shared" si="7"/>
        <v>#N/A</v>
      </c>
      <c r="L240" s="62" t="e">
        <f>VLOOKUP(B240,'IT Structure'!A:B,2,0)</f>
        <v>#N/A</v>
      </c>
      <c r="M240" s="10"/>
    </row>
    <row r="241" spans="2:13">
      <c r="B241"/>
      <c r="C241"/>
      <c r="D241"/>
      <c r="E241"/>
      <c r="F241"/>
      <c r="G241"/>
      <c r="H241" s="76" t="e">
        <f>VLOOKUP(B241,'IT Structure'!A:D,4,0)*VLOOKUP(E241,'time target'!A:D,4,0)*20/30</f>
        <v>#N/A</v>
      </c>
      <c r="I241" s="7" t="e">
        <f>(1-VLOOKUP(B241,'IT Structure'!A:D,4,0))*VLOOKUP(E241,'time target'!A:D,4,0)*20/30</f>
        <v>#N/A</v>
      </c>
      <c r="J241" s="50" t="e">
        <f t="shared" si="6"/>
        <v>#N/A</v>
      </c>
      <c r="K241" s="50" t="e">
        <f t="shared" si="7"/>
        <v>#N/A</v>
      </c>
      <c r="L241" s="62" t="e">
        <f>VLOOKUP(B241,'IT Structure'!A:B,2,0)</f>
        <v>#N/A</v>
      </c>
      <c r="M241" s="10"/>
    </row>
    <row r="242" spans="2:13">
      <c r="B242"/>
      <c r="C242"/>
      <c r="D242"/>
      <c r="E242"/>
      <c r="F242"/>
      <c r="G242"/>
      <c r="H242" s="76" t="e">
        <f>VLOOKUP(B242,'IT Structure'!A:D,4,0)*VLOOKUP(E242,'time target'!A:D,4,0)*20/30</f>
        <v>#N/A</v>
      </c>
      <c r="I242" s="7" t="e">
        <f>(1-VLOOKUP(B242,'IT Structure'!A:D,4,0))*VLOOKUP(E242,'time target'!A:D,4,0)*20/30</f>
        <v>#N/A</v>
      </c>
      <c r="J242" s="50" t="e">
        <f t="shared" si="6"/>
        <v>#N/A</v>
      </c>
      <c r="K242" s="50" t="e">
        <f t="shared" si="7"/>
        <v>#N/A</v>
      </c>
      <c r="L242" s="62" t="e">
        <f>VLOOKUP(B242,'IT Structure'!A:B,2,0)</f>
        <v>#N/A</v>
      </c>
      <c r="M242" s="10"/>
    </row>
    <row r="243" spans="2:13">
      <c r="B243"/>
      <c r="C243"/>
      <c r="D243"/>
      <c r="E243"/>
      <c r="F243"/>
      <c r="G243"/>
      <c r="H243" s="76" t="e">
        <f>VLOOKUP(B243,'IT Structure'!A:D,4,0)*VLOOKUP(E243,'time target'!A:D,4,0)*20/30</f>
        <v>#N/A</v>
      </c>
      <c r="I243" s="7" t="e">
        <f>(1-VLOOKUP(B243,'IT Structure'!A:D,4,0))*VLOOKUP(E243,'time target'!A:D,4,0)*20/30</f>
        <v>#N/A</v>
      </c>
      <c r="J243" s="50" t="e">
        <f t="shared" si="6"/>
        <v>#N/A</v>
      </c>
      <c r="K243" s="50" t="e">
        <f t="shared" si="7"/>
        <v>#N/A</v>
      </c>
      <c r="L243" s="62" t="e">
        <f>VLOOKUP(B243,'IT Structure'!A:B,2,0)</f>
        <v>#N/A</v>
      </c>
      <c r="M243" s="10"/>
    </row>
    <row r="244" spans="2:13">
      <c r="B244"/>
      <c r="C244"/>
      <c r="D244"/>
      <c r="E244"/>
      <c r="F244"/>
      <c r="G244"/>
      <c r="H244" s="76" t="e">
        <f>VLOOKUP(B244,'IT Structure'!A:D,4,0)*VLOOKUP(E244,'time target'!A:D,4,0)*20/30</f>
        <v>#N/A</v>
      </c>
      <c r="I244" s="7" t="e">
        <f>(1-VLOOKUP(B244,'IT Structure'!A:D,4,0))*VLOOKUP(E244,'time target'!A:D,4,0)*20/30</f>
        <v>#N/A</v>
      </c>
      <c r="J244" s="50" t="e">
        <f t="shared" si="6"/>
        <v>#N/A</v>
      </c>
      <c r="K244" s="50" t="e">
        <f t="shared" si="7"/>
        <v>#N/A</v>
      </c>
      <c r="L244" s="62" t="e">
        <f>VLOOKUP(B244,'IT Structure'!A:B,2,0)</f>
        <v>#N/A</v>
      </c>
      <c r="M244" s="10"/>
    </row>
    <row r="245" spans="2:13">
      <c r="B245"/>
      <c r="C245"/>
      <c r="D245"/>
      <c r="E245"/>
      <c r="F245"/>
      <c r="G245"/>
      <c r="H245" s="76" t="e">
        <f>VLOOKUP(B245,'IT Structure'!A:D,4,0)*VLOOKUP(E245,'time target'!A:D,4,0)*20/30</f>
        <v>#N/A</v>
      </c>
      <c r="I245" s="7" t="e">
        <f>(1-VLOOKUP(B245,'IT Structure'!A:D,4,0))*VLOOKUP(E245,'time target'!A:D,4,0)*20/30</f>
        <v>#N/A</v>
      </c>
      <c r="J245" s="50" t="e">
        <f t="shared" si="6"/>
        <v>#N/A</v>
      </c>
      <c r="K245" s="50" t="e">
        <f t="shared" si="7"/>
        <v>#N/A</v>
      </c>
      <c r="L245" s="62" t="e">
        <f>VLOOKUP(B245,'IT Structure'!A:B,2,0)</f>
        <v>#N/A</v>
      </c>
      <c r="M245" s="10"/>
    </row>
    <row r="246" spans="2:13">
      <c r="B246"/>
      <c r="C246"/>
      <c r="D246"/>
      <c r="E246"/>
      <c r="F246"/>
      <c r="G246"/>
      <c r="H246" s="76" t="e">
        <f>VLOOKUP(B246,'IT Structure'!A:D,4,0)*VLOOKUP(E246,'time target'!A:D,4,0)*20/30</f>
        <v>#N/A</v>
      </c>
      <c r="I246" s="7" t="e">
        <f>(1-VLOOKUP(B246,'IT Structure'!A:D,4,0))*VLOOKUP(E246,'time target'!A:D,4,0)*20/30</f>
        <v>#N/A</v>
      </c>
      <c r="J246" s="50" t="e">
        <f t="shared" si="6"/>
        <v>#N/A</v>
      </c>
      <c r="K246" s="50" t="e">
        <f t="shared" si="7"/>
        <v>#N/A</v>
      </c>
      <c r="L246" s="62" t="e">
        <f>VLOOKUP(B246,'IT Structure'!A:B,2,0)</f>
        <v>#N/A</v>
      </c>
      <c r="M246" s="10"/>
    </row>
    <row r="247" spans="2:13">
      <c r="B247"/>
      <c r="C247"/>
      <c r="D247"/>
      <c r="E247"/>
      <c r="F247"/>
      <c r="G247"/>
      <c r="H247" s="76" t="e">
        <f>VLOOKUP(B247,'IT Structure'!A:D,4,0)*VLOOKUP(E247,'time target'!A:D,4,0)*20/30</f>
        <v>#N/A</v>
      </c>
      <c r="I247" s="7" t="e">
        <f>(1-VLOOKUP(B247,'IT Structure'!A:D,4,0))*VLOOKUP(E247,'time target'!A:D,4,0)*20/30</f>
        <v>#N/A</v>
      </c>
      <c r="J247" s="50" t="e">
        <f t="shared" si="6"/>
        <v>#N/A</v>
      </c>
      <c r="K247" s="50" t="e">
        <f t="shared" si="7"/>
        <v>#N/A</v>
      </c>
      <c r="L247" s="62" t="e">
        <f>VLOOKUP(B247,'IT Structure'!A:B,2,0)</f>
        <v>#N/A</v>
      </c>
      <c r="M247" s="10"/>
    </row>
    <row r="248" spans="2:13">
      <c r="B248"/>
      <c r="C248"/>
      <c r="D248"/>
      <c r="E248"/>
      <c r="F248"/>
      <c r="G248"/>
      <c r="H248" s="76" t="e">
        <f>VLOOKUP(B248,'IT Structure'!A:D,4,0)*VLOOKUP(E248,'time target'!A:D,4,0)*20/30</f>
        <v>#N/A</v>
      </c>
      <c r="I248" s="7" t="e">
        <f>(1-VLOOKUP(B248,'IT Structure'!A:D,4,0))*VLOOKUP(E248,'time target'!A:D,4,0)*20/30</f>
        <v>#N/A</v>
      </c>
      <c r="J248" s="50" t="e">
        <f t="shared" si="6"/>
        <v>#N/A</v>
      </c>
      <c r="K248" s="50" t="e">
        <f t="shared" si="7"/>
        <v>#N/A</v>
      </c>
      <c r="L248" s="62" t="e">
        <f>VLOOKUP(B248,'IT Structure'!A:B,2,0)</f>
        <v>#N/A</v>
      </c>
      <c r="M248" s="10"/>
    </row>
    <row r="249" spans="2:13">
      <c r="B249"/>
      <c r="C249"/>
      <c r="D249"/>
      <c r="E249"/>
      <c r="F249"/>
      <c r="G249"/>
      <c r="H249" s="76" t="e">
        <f>VLOOKUP(B249,'IT Structure'!A:D,4,0)*VLOOKUP(E249,'time target'!A:D,4,0)*20/30</f>
        <v>#N/A</v>
      </c>
      <c r="I249" s="7" t="e">
        <f>(1-VLOOKUP(B249,'IT Structure'!A:D,4,0))*VLOOKUP(E249,'time target'!A:D,4,0)*20/30</f>
        <v>#N/A</v>
      </c>
      <c r="J249" s="50" t="e">
        <f t="shared" si="6"/>
        <v>#N/A</v>
      </c>
      <c r="K249" s="50" t="e">
        <f t="shared" si="7"/>
        <v>#N/A</v>
      </c>
      <c r="L249" s="62" t="e">
        <f>VLOOKUP(B249,'IT Structure'!A:B,2,0)</f>
        <v>#N/A</v>
      </c>
      <c r="M249" s="10"/>
    </row>
    <row r="250" spans="2:13">
      <c r="B250"/>
      <c r="C250"/>
      <c r="D250"/>
      <c r="E250"/>
      <c r="F250"/>
      <c r="G250"/>
      <c r="H250" s="76" t="e">
        <f>VLOOKUP(B250,'IT Structure'!A:D,4,0)*VLOOKUP(E250,'time target'!A:D,4,0)*20/30</f>
        <v>#N/A</v>
      </c>
      <c r="I250" s="7" t="e">
        <f>(1-VLOOKUP(B250,'IT Structure'!A:D,4,0))*VLOOKUP(E250,'time target'!A:D,4,0)*20/30</f>
        <v>#N/A</v>
      </c>
      <c r="J250" s="50" t="e">
        <f t="shared" si="6"/>
        <v>#N/A</v>
      </c>
      <c r="K250" s="50" t="e">
        <f t="shared" si="7"/>
        <v>#N/A</v>
      </c>
      <c r="L250" s="62" t="e">
        <f>VLOOKUP(B250,'IT Structure'!A:B,2,0)</f>
        <v>#N/A</v>
      </c>
      <c r="M250" s="10"/>
    </row>
    <row r="251" spans="2:13">
      <c r="B251"/>
      <c r="C251"/>
      <c r="D251"/>
      <c r="E251"/>
      <c r="F251"/>
      <c r="G251"/>
      <c r="H251" s="76" t="e">
        <f>VLOOKUP(B251,'IT Structure'!A:D,4,0)*VLOOKUP(E251,'time target'!A:D,4,0)*20/30</f>
        <v>#N/A</v>
      </c>
      <c r="I251" s="7" t="e">
        <f>(1-VLOOKUP(B251,'IT Structure'!A:D,4,0))*VLOOKUP(E251,'time target'!A:D,4,0)*20/30</f>
        <v>#N/A</v>
      </c>
      <c r="J251" s="50" t="e">
        <f t="shared" si="6"/>
        <v>#N/A</v>
      </c>
      <c r="K251" s="50" t="e">
        <f t="shared" si="7"/>
        <v>#N/A</v>
      </c>
      <c r="L251" s="62" t="e">
        <f>VLOOKUP(B251,'IT Structure'!A:B,2,0)</f>
        <v>#N/A</v>
      </c>
      <c r="M251" s="10"/>
    </row>
    <row r="252" spans="2:13">
      <c r="B252"/>
      <c r="C252"/>
      <c r="D252"/>
      <c r="E252"/>
      <c r="F252"/>
      <c r="G252"/>
      <c r="H252" s="76" t="e">
        <f>VLOOKUP(B252,'IT Structure'!A:D,4,0)*VLOOKUP(E252,'time target'!A:D,4,0)*20/30</f>
        <v>#N/A</v>
      </c>
      <c r="I252" s="7" t="e">
        <f>(1-VLOOKUP(B252,'IT Structure'!A:D,4,0))*VLOOKUP(E252,'time target'!A:D,4,0)*20/30</f>
        <v>#N/A</v>
      </c>
      <c r="J252" s="50" t="e">
        <f t="shared" si="6"/>
        <v>#N/A</v>
      </c>
      <c r="K252" s="50" t="e">
        <f t="shared" si="7"/>
        <v>#N/A</v>
      </c>
      <c r="L252" s="62" t="e">
        <f>VLOOKUP(B252,'IT Structure'!A:B,2,0)</f>
        <v>#N/A</v>
      </c>
      <c r="M252" s="10"/>
    </row>
    <row r="253" spans="2:13">
      <c r="B253"/>
      <c r="C253"/>
      <c r="D253"/>
      <c r="E253"/>
      <c r="F253"/>
      <c r="G253"/>
      <c r="H253" s="76" t="e">
        <f>VLOOKUP(B253,'IT Structure'!A:D,4,0)*VLOOKUP(E253,'time target'!A:D,4,0)*20/30</f>
        <v>#N/A</v>
      </c>
      <c r="I253" s="7" t="e">
        <f>(1-VLOOKUP(B253,'IT Structure'!A:D,4,0))*VLOOKUP(E253,'time target'!A:D,4,0)*20/30</f>
        <v>#N/A</v>
      </c>
      <c r="J253" s="50" t="e">
        <f t="shared" si="6"/>
        <v>#N/A</v>
      </c>
      <c r="K253" s="50" t="e">
        <f t="shared" si="7"/>
        <v>#N/A</v>
      </c>
      <c r="L253" s="62" t="e">
        <f>VLOOKUP(B253,'IT Structure'!A:B,2,0)</f>
        <v>#N/A</v>
      </c>
      <c r="M253" s="10"/>
    </row>
    <row r="254" spans="2:13">
      <c r="B254"/>
      <c r="C254"/>
      <c r="D254"/>
      <c r="E254"/>
      <c r="F254"/>
      <c r="G254"/>
      <c r="H254" s="76" t="e">
        <f>VLOOKUP(B254,'IT Structure'!A:D,4,0)*VLOOKUP(E254,'time target'!A:D,4,0)*20/30</f>
        <v>#N/A</v>
      </c>
      <c r="I254" s="7" t="e">
        <f>(1-VLOOKUP(B254,'IT Structure'!A:D,4,0))*VLOOKUP(E254,'time target'!A:D,4,0)*20/30</f>
        <v>#N/A</v>
      </c>
      <c r="J254" s="50" t="e">
        <f t="shared" si="6"/>
        <v>#N/A</v>
      </c>
      <c r="K254" s="50" t="e">
        <f t="shared" si="7"/>
        <v>#N/A</v>
      </c>
      <c r="L254" s="62" t="e">
        <f>VLOOKUP(B254,'IT Structure'!A:B,2,0)</f>
        <v>#N/A</v>
      </c>
      <c r="M254" s="10"/>
    </row>
    <row r="255" spans="2:13">
      <c r="B255"/>
      <c r="C255"/>
      <c r="D255"/>
      <c r="E255"/>
      <c r="F255"/>
      <c r="G255"/>
      <c r="H255" s="76" t="e">
        <f>VLOOKUP(B255,'IT Structure'!A:D,4,0)*VLOOKUP(E255,'time target'!A:D,4,0)*20/30</f>
        <v>#N/A</v>
      </c>
      <c r="I255" s="7" t="e">
        <f>(1-VLOOKUP(B255,'IT Structure'!A:D,4,0))*VLOOKUP(E255,'time target'!A:D,4,0)*20/30</f>
        <v>#N/A</v>
      </c>
      <c r="J255" s="50" t="e">
        <f t="shared" si="6"/>
        <v>#N/A</v>
      </c>
      <c r="K255" s="50" t="e">
        <f t="shared" si="7"/>
        <v>#N/A</v>
      </c>
      <c r="L255" s="62" t="e">
        <f>VLOOKUP(B255,'IT Structure'!A:B,2,0)</f>
        <v>#N/A</v>
      </c>
      <c r="M255" s="10"/>
    </row>
    <row r="256" spans="2:13">
      <c r="B256"/>
      <c r="C256"/>
      <c r="D256"/>
      <c r="E256"/>
      <c r="F256"/>
      <c r="G256"/>
      <c r="H256" s="76" t="e">
        <f>VLOOKUP(B256,'IT Structure'!A:D,4,0)*VLOOKUP(E256,'time target'!A:D,4,0)*20/30</f>
        <v>#N/A</v>
      </c>
      <c r="I256" s="7" t="e">
        <f>(1-VLOOKUP(B256,'IT Structure'!A:D,4,0))*VLOOKUP(E256,'time target'!A:D,4,0)*20/30</f>
        <v>#N/A</v>
      </c>
      <c r="J256" s="50" t="e">
        <f t="shared" si="6"/>
        <v>#N/A</v>
      </c>
      <c r="K256" s="50" t="e">
        <f t="shared" si="7"/>
        <v>#N/A</v>
      </c>
      <c r="L256" s="62" t="e">
        <f>VLOOKUP(B256,'IT Structure'!A:B,2,0)</f>
        <v>#N/A</v>
      </c>
      <c r="M256" s="10"/>
    </row>
    <row r="257" spans="2:13">
      <c r="B257"/>
      <c r="C257"/>
      <c r="D257"/>
      <c r="E257"/>
      <c r="F257"/>
      <c r="G257"/>
      <c r="H257" s="76" t="e">
        <f>VLOOKUP(B257,'IT Structure'!A:D,4,0)*VLOOKUP(E257,'time target'!A:D,4,0)*20/30</f>
        <v>#N/A</v>
      </c>
      <c r="I257" s="7" t="e">
        <f>(1-VLOOKUP(B257,'IT Structure'!A:D,4,0))*VLOOKUP(E257,'time target'!A:D,4,0)*20/30</f>
        <v>#N/A</v>
      </c>
      <c r="J257" s="50" t="e">
        <f t="shared" si="6"/>
        <v>#N/A</v>
      </c>
      <c r="K257" s="50" t="e">
        <f t="shared" si="7"/>
        <v>#N/A</v>
      </c>
      <c r="L257" s="62" t="e">
        <f>VLOOKUP(B257,'IT Structure'!A:B,2,0)</f>
        <v>#N/A</v>
      </c>
      <c r="M257" s="10"/>
    </row>
    <row r="258" spans="2:13">
      <c r="B258"/>
      <c r="C258"/>
      <c r="D258"/>
      <c r="E258"/>
      <c r="F258"/>
      <c r="G258"/>
      <c r="H258" s="76" t="e">
        <f>VLOOKUP(B258,'IT Structure'!A:D,4,0)*VLOOKUP(E258,'time target'!A:D,4,0)*20/30</f>
        <v>#N/A</v>
      </c>
      <c r="I258" s="7" t="e">
        <f>(1-VLOOKUP(B258,'IT Structure'!A:D,4,0))*VLOOKUP(E258,'time target'!A:D,4,0)*20/30</f>
        <v>#N/A</v>
      </c>
      <c r="J258" s="50" t="e">
        <f t="shared" si="6"/>
        <v>#N/A</v>
      </c>
      <c r="K258" s="50" t="e">
        <f t="shared" si="7"/>
        <v>#N/A</v>
      </c>
      <c r="L258" s="62" t="e">
        <f>VLOOKUP(B258,'IT Structure'!A:B,2,0)</f>
        <v>#N/A</v>
      </c>
      <c r="M258" s="10"/>
    </row>
    <row r="259" spans="2:13">
      <c r="B259"/>
      <c r="C259"/>
      <c r="D259"/>
      <c r="E259"/>
      <c r="F259"/>
      <c r="G259"/>
      <c r="H259" s="76" t="e">
        <f>VLOOKUP(B259,'IT Structure'!A:D,4,0)*VLOOKUP(E259,'time target'!A:D,4,0)*20/30</f>
        <v>#N/A</v>
      </c>
      <c r="I259" s="7" t="e">
        <f>(1-VLOOKUP(B259,'IT Structure'!A:D,4,0))*VLOOKUP(E259,'time target'!A:D,4,0)*20/30</f>
        <v>#N/A</v>
      </c>
      <c r="J259" s="50" t="e">
        <f t="shared" si="6"/>
        <v>#N/A</v>
      </c>
      <c r="K259" s="50" t="e">
        <f t="shared" si="7"/>
        <v>#N/A</v>
      </c>
      <c r="L259" s="62" t="e">
        <f>VLOOKUP(B259,'IT Structure'!A:B,2,0)</f>
        <v>#N/A</v>
      </c>
      <c r="M259" s="10"/>
    </row>
    <row r="260" spans="2:13">
      <c r="B260"/>
      <c r="C260"/>
      <c r="D260"/>
      <c r="E260"/>
      <c r="F260"/>
      <c r="G260"/>
      <c r="H260" s="76" t="e">
        <f>VLOOKUP(B260,'IT Structure'!A:D,4,0)*VLOOKUP(E260,'time target'!A:D,4,0)*20/30</f>
        <v>#N/A</v>
      </c>
      <c r="I260" s="7" t="e">
        <f>(1-VLOOKUP(B260,'IT Structure'!A:D,4,0))*VLOOKUP(E260,'time target'!A:D,4,0)*20/30</f>
        <v>#N/A</v>
      </c>
      <c r="J260" s="50" t="e">
        <f t="shared" si="6"/>
        <v>#N/A</v>
      </c>
      <c r="K260" s="50" t="e">
        <f t="shared" si="7"/>
        <v>#N/A</v>
      </c>
      <c r="L260" s="62" t="e">
        <f>VLOOKUP(B260,'IT Structure'!A:B,2,0)</f>
        <v>#N/A</v>
      </c>
      <c r="M260" s="10"/>
    </row>
    <row r="261" spans="2:13">
      <c r="B261"/>
      <c r="C261"/>
      <c r="D261"/>
      <c r="E261"/>
      <c r="F261"/>
      <c r="G261"/>
      <c r="H261" s="76" t="e">
        <f>VLOOKUP(B261,'IT Structure'!A:D,4,0)*VLOOKUP(E261,'time target'!A:D,4,0)*20/30</f>
        <v>#N/A</v>
      </c>
      <c r="I261" s="7" t="e">
        <f>(1-VLOOKUP(B261,'IT Structure'!A:D,4,0))*VLOOKUP(E261,'time target'!A:D,4,0)*20/30</f>
        <v>#N/A</v>
      </c>
      <c r="J261" s="50" t="e">
        <f t="shared" si="6"/>
        <v>#N/A</v>
      </c>
      <c r="K261" s="50" t="e">
        <f t="shared" si="7"/>
        <v>#N/A</v>
      </c>
      <c r="L261" s="62" t="e">
        <f>VLOOKUP(B261,'IT Structure'!A:B,2,0)</f>
        <v>#N/A</v>
      </c>
      <c r="M261" s="10"/>
    </row>
    <row r="262" spans="2:13">
      <c r="B262"/>
      <c r="C262"/>
      <c r="D262"/>
      <c r="E262"/>
      <c r="F262"/>
      <c r="G262"/>
      <c r="H262" s="76" t="e">
        <f>VLOOKUP(B262,'IT Structure'!A:D,4,0)*VLOOKUP(E262,'time target'!A:D,4,0)*20/30</f>
        <v>#N/A</v>
      </c>
      <c r="I262" s="7" t="e">
        <f>(1-VLOOKUP(B262,'IT Structure'!A:D,4,0))*VLOOKUP(E262,'time target'!A:D,4,0)*20/30</f>
        <v>#N/A</v>
      </c>
      <c r="J262" s="50" t="e">
        <f t="shared" si="6"/>
        <v>#N/A</v>
      </c>
      <c r="K262" s="50" t="e">
        <f t="shared" si="7"/>
        <v>#N/A</v>
      </c>
      <c r="L262" s="62" t="e">
        <f>VLOOKUP(B262,'IT Structure'!A:B,2,0)</f>
        <v>#N/A</v>
      </c>
      <c r="M262" s="10"/>
    </row>
    <row r="263" spans="2:13">
      <c r="B263"/>
      <c r="C263"/>
      <c r="D263"/>
      <c r="E263"/>
      <c r="F263"/>
      <c r="G263"/>
      <c r="H263" s="76" t="e">
        <f>VLOOKUP(B263,'IT Structure'!A:D,4,0)*VLOOKUP(E263,'time target'!A:D,4,0)*20/30</f>
        <v>#N/A</v>
      </c>
      <c r="I263" s="7" t="e">
        <f>(1-VLOOKUP(B263,'IT Structure'!A:D,4,0))*VLOOKUP(E263,'time target'!A:D,4,0)*20/30</f>
        <v>#N/A</v>
      </c>
      <c r="J263" s="50" t="e">
        <f t="shared" si="6"/>
        <v>#N/A</v>
      </c>
      <c r="K263" s="50" t="e">
        <f t="shared" si="7"/>
        <v>#N/A</v>
      </c>
      <c r="L263" s="62" t="e">
        <f>VLOOKUP(B263,'IT Structure'!A:B,2,0)</f>
        <v>#N/A</v>
      </c>
      <c r="M263" s="10"/>
    </row>
    <row r="264" spans="2:13">
      <c r="B264"/>
      <c r="C264"/>
      <c r="D264"/>
      <c r="E264"/>
      <c r="F264"/>
      <c r="G264"/>
      <c r="H264" s="76" t="e">
        <f>VLOOKUP(B264,'IT Structure'!A:D,4,0)*VLOOKUP(E264,'time target'!A:D,4,0)*20/30</f>
        <v>#N/A</v>
      </c>
      <c r="I264" s="7" t="e">
        <f>(1-VLOOKUP(B264,'IT Structure'!A:D,4,0))*VLOOKUP(E264,'time target'!A:D,4,0)*20/30</f>
        <v>#N/A</v>
      </c>
      <c r="J264" s="50" t="e">
        <f t="shared" ref="J264:J288" si="8">H264-F264</f>
        <v>#N/A</v>
      </c>
      <c r="K264" s="50" t="e">
        <f t="shared" ref="K264:K288" si="9">I264-G264</f>
        <v>#N/A</v>
      </c>
      <c r="L264" s="62" t="e">
        <f>VLOOKUP(B264,'IT Structure'!A:B,2,0)</f>
        <v>#N/A</v>
      </c>
      <c r="M264" s="10"/>
    </row>
    <row r="265" spans="2:13">
      <c r="B265"/>
      <c r="C265"/>
      <c r="D265"/>
      <c r="E265"/>
      <c r="F265"/>
      <c r="G265"/>
      <c r="H265" s="76" t="e">
        <f>VLOOKUP(B265,'IT Structure'!A:D,4,0)*VLOOKUP(E265,'time target'!A:D,4,0)*20/30</f>
        <v>#N/A</v>
      </c>
      <c r="I265" s="7" t="e">
        <f>(1-VLOOKUP(B265,'IT Structure'!A:D,4,0))*VLOOKUP(E265,'time target'!A:D,4,0)*20/30</f>
        <v>#N/A</v>
      </c>
      <c r="J265" s="50" t="e">
        <f t="shared" si="8"/>
        <v>#N/A</v>
      </c>
      <c r="K265" s="50" t="e">
        <f t="shared" si="9"/>
        <v>#N/A</v>
      </c>
      <c r="L265" s="62" t="e">
        <f>VLOOKUP(B265,'IT Structure'!A:B,2,0)</f>
        <v>#N/A</v>
      </c>
      <c r="M265" s="10"/>
    </row>
    <row r="266" spans="2:13">
      <c r="B266"/>
      <c r="C266"/>
      <c r="D266"/>
      <c r="E266"/>
      <c r="F266"/>
      <c r="G266"/>
      <c r="H266" s="76" t="e">
        <f>VLOOKUP(B266,'IT Structure'!A:D,4,0)*VLOOKUP(E266,'time target'!A:D,4,0)*20/30</f>
        <v>#N/A</v>
      </c>
      <c r="I266" s="7" t="e">
        <f>(1-VLOOKUP(B266,'IT Structure'!A:D,4,0))*VLOOKUP(E266,'time target'!A:D,4,0)*20/30</f>
        <v>#N/A</v>
      </c>
      <c r="J266" s="50" t="e">
        <f t="shared" si="8"/>
        <v>#N/A</v>
      </c>
      <c r="K266" s="50" t="e">
        <f t="shared" si="9"/>
        <v>#N/A</v>
      </c>
      <c r="L266" s="62" t="e">
        <f>VLOOKUP(B266,'IT Structure'!A:B,2,0)</f>
        <v>#N/A</v>
      </c>
      <c r="M266" s="10"/>
    </row>
    <row r="267" spans="2:13">
      <c r="B267"/>
      <c r="C267"/>
      <c r="D267"/>
      <c r="E267"/>
      <c r="F267"/>
      <c r="G267"/>
      <c r="H267" s="76" t="e">
        <f>VLOOKUP(B267,'IT Structure'!A:D,4,0)*VLOOKUP(E267,'time target'!A:D,4,0)*20/30</f>
        <v>#N/A</v>
      </c>
      <c r="I267" s="7" t="e">
        <f>(1-VLOOKUP(B267,'IT Structure'!A:D,4,0))*VLOOKUP(E267,'time target'!A:D,4,0)*20/30</f>
        <v>#N/A</v>
      </c>
      <c r="J267" s="50" t="e">
        <f t="shared" si="8"/>
        <v>#N/A</v>
      </c>
      <c r="K267" s="50" t="e">
        <f t="shared" si="9"/>
        <v>#N/A</v>
      </c>
      <c r="L267" s="62" t="e">
        <f>VLOOKUP(B267,'IT Structure'!A:B,2,0)</f>
        <v>#N/A</v>
      </c>
      <c r="M267" s="10"/>
    </row>
    <row r="268" spans="2:13">
      <c r="B268"/>
      <c r="C268"/>
      <c r="D268"/>
      <c r="E268"/>
      <c r="F268"/>
      <c r="G268"/>
      <c r="H268" s="76" t="e">
        <f>VLOOKUP(B268,'IT Structure'!A:D,4,0)*VLOOKUP(E268,'time target'!A:D,4,0)*20/30</f>
        <v>#N/A</v>
      </c>
      <c r="I268" s="7" t="e">
        <f>(1-VLOOKUP(B268,'IT Structure'!A:D,4,0))*VLOOKUP(E268,'time target'!A:D,4,0)*20/30</f>
        <v>#N/A</v>
      </c>
      <c r="J268" s="50" t="e">
        <f t="shared" si="8"/>
        <v>#N/A</v>
      </c>
      <c r="K268" s="50" t="e">
        <f t="shared" si="9"/>
        <v>#N/A</v>
      </c>
      <c r="L268" s="62" t="e">
        <f>VLOOKUP(B268,'IT Structure'!A:B,2,0)</f>
        <v>#N/A</v>
      </c>
      <c r="M268" s="10"/>
    </row>
    <row r="269" spans="2:13">
      <c r="B269"/>
      <c r="C269"/>
      <c r="D269"/>
      <c r="E269"/>
      <c r="F269"/>
      <c r="G269"/>
      <c r="H269" s="76" t="e">
        <f>VLOOKUP(B269,'IT Structure'!A:D,4,0)*VLOOKUP(E269,'time target'!A:D,4,0)*20/30</f>
        <v>#N/A</v>
      </c>
      <c r="I269" s="7" t="e">
        <f>(1-VLOOKUP(B269,'IT Structure'!A:D,4,0))*VLOOKUP(E269,'time target'!A:D,4,0)*20/30</f>
        <v>#N/A</v>
      </c>
      <c r="J269" s="50" t="e">
        <f t="shared" si="8"/>
        <v>#N/A</v>
      </c>
      <c r="K269" s="50" t="e">
        <f t="shared" si="9"/>
        <v>#N/A</v>
      </c>
      <c r="L269" s="62" t="e">
        <f>VLOOKUP(B269,'IT Structure'!A:B,2,0)</f>
        <v>#N/A</v>
      </c>
      <c r="M269" s="10"/>
    </row>
    <row r="270" spans="2:13">
      <c r="B270"/>
      <c r="C270"/>
      <c r="D270"/>
      <c r="E270"/>
      <c r="F270"/>
      <c r="G270"/>
      <c r="H270" s="76" t="e">
        <f>VLOOKUP(B270,'IT Structure'!A:D,4,0)*VLOOKUP(E270,'time target'!A:D,4,0)*20/30</f>
        <v>#N/A</v>
      </c>
      <c r="I270" s="7" t="e">
        <f>(1-VLOOKUP(B270,'IT Structure'!A:D,4,0))*VLOOKUP(E270,'time target'!A:D,4,0)*20/30</f>
        <v>#N/A</v>
      </c>
      <c r="J270" s="50" t="e">
        <f t="shared" si="8"/>
        <v>#N/A</v>
      </c>
      <c r="K270" s="50" t="e">
        <f t="shared" si="9"/>
        <v>#N/A</v>
      </c>
      <c r="L270" s="62" t="e">
        <f>VLOOKUP(B270,'IT Structure'!A:B,2,0)</f>
        <v>#N/A</v>
      </c>
      <c r="M270" s="10"/>
    </row>
    <row r="271" spans="2:13">
      <c r="B271"/>
      <c r="C271"/>
      <c r="D271"/>
      <c r="E271"/>
      <c r="F271"/>
      <c r="G271"/>
      <c r="H271" s="76" t="e">
        <f>VLOOKUP(B271,'IT Structure'!A:D,4,0)*VLOOKUP(E271,'time target'!A:D,4,0)*20/30</f>
        <v>#N/A</v>
      </c>
      <c r="I271" s="7" t="e">
        <f>(1-VLOOKUP(B271,'IT Structure'!A:D,4,0))*VLOOKUP(E271,'time target'!A:D,4,0)*20/30</f>
        <v>#N/A</v>
      </c>
      <c r="J271" s="50" t="e">
        <f t="shared" si="8"/>
        <v>#N/A</v>
      </c>
      <c r="K271" s="50" t="e">
        <f t="shared" si="9"/>
        <v>#N/A</v>
      </c>
      <c r="L271" s="62" t="e">
        <f>VLOOKUP(B271,'IT Structure'!A:B,2,0)</f>
        <v>#N/A</v>
      </c>
      <c r="M271" s="10"/>
    </row>
    <row r="272" spans="2:13">
      <c r="B272"/>
      <c r="C272"/>
      <c r="D272"/>
      <c r="E272"/>
      <c r="F272"/>
      <c r="G272"/>
      <c r="H272" s="76" t="e">
        <f>VLOOKUP(B272,'IT Structure'!A:D,4,0)*VLOOKUP(E272,'time target'!A:D,4,0)*20/30</f>
        <v>#N/A</v>
      </c>
      <c r="I272" s="7" t="e">
        <f>(1-VLOOKUP(B272,'IT Structure'!A:D,4,0))*VLOOKUP(E272,'time target'!A:D,4,0)*20/30</f>
        <v>#N/A</v>
      </c>
      <c r="J272" s="50" t="e">
        <f t="shared" si="8"/>
        <v>#N/A</v>
      </c>
      <c r="K272" s="50" t="e">
        <f t="shared" si="9"/>
        <v>#N/A</v>
      </c>
      <c r="L272" s="62" t="e">
        <f>VLOOKUP(B272,'IT Structure'!A:B,2,0)</f>
        <v>#N/A</v>
      </c>
      <c r="M272" s="10"/>
    </row>
    <row r="273" spans="2:13">
      <c r="B273"/>
      <c r="C273"/>
      <c r="D273"/>
      <c r="E273"/>
      <c r="F273"/>
      <c r="G273"/>
      <c r="H273" s="76" t="e">
        <f>VLOOKUP(B273,'IT Structure'!A:D,4,0)*VLOOKUP(E273,'time target'!A:D,4,0)*20/30</f>
        <v>#N/A</v>
      </c>
      <c r="I273" s="7" t="e">
        <f>(1-VLOOKUP(B273,'IT Structure'!A:D,4,0))*VLOOKUP(E273,'time target'!A:D,4,0)*20/30</f>
        <v>#N/A</v>
      </c>
      <c r="J273" s="50" t="e">
        <f t="shared" si="8"/>
        <v>#N/A</v>
      </c>
      <c r="K273" s="50" t="e">
        <f t="shared" si="9"/>
        <v>#N/A</v>
      </c>
      <c r="L273" s="62" t="e">
        <f>VLOOKUP(B273,'IT Structure'!A:B,2,0)</f>
        <v>#N/A</v>
      </c>
      <c r="M273" s="10"/>
    </row>
    <row r="274" spans="2:13">
      <c r="B274"/>
      <c r="C274"/>
      <c r="D274"/>
      <c r="E274"/>
      <c r="F274"/>
      <c r="G274"/>
      <c r="H274" s="76" t="e">
        <f>VLOOKUP(B274,'IT Structure'!A:D,4,0)*VLOOKUP(E274,'time target'!A:D,4,0)*20/30</f>
        <v>#N/A</v>
      </c>
      <c r="I274" s="7" t="e">
        <f>(1-VLOOKUP(B274,'IT Structure'!A:D,4,0))*VLOOKUP(E274,'time target'!A:D,4,0)*20/30</f>
        <v>#N/A</v>
      </c>
      <c r="J274" s="50" t="e">
        <f t="shared" si="8"/>
        <v>#N/A</v>
      </c>
      <c r="K274" s="50" t="e">
        <f t="shared" si="9"/>
        <v>#N/A</v>
      </c>
      <c r="L274" s="62" t="e">
        <f>VLOOKUP(B274,'IT Structure'!A:B,2,0)</f>
        <v>#N/A</v>
      </c>
      <c r="M274" s="10"/>
    </row>
    <row r="275" spans="2:13">
      <c r="B275"/>
      <c r="C275"/>
      <c r="D275"/>
      <c r="E275"/>
      <c r="F275"/>
      <c r="G275"/>
      <c r="H275" s="76" t="e">
        <f>VLOOKUP(B275,'IT Structure'!A:D,4,0)*VLOOKUP(E275,'time target'!A:D,4,0)*20/30</f>
        <v>#N/A</v>
      </c>
      <c r="I275" s="7" t="e">
        <f>(1-VLOOKUP(B275,'IT Structure'!A:D,4,0))*VLOOKUP(E275,'time target'!A:D,4,0)*20/30</f>
        <v>#N/A</v>
      </c>
      <c r="J275" s="50" t="e">
        <f t="shared" si="8"/>
        <v>#N/A</v>
      </c>
      <c r="K275" s="50" t="e">
        <f t="shared" si="9"/>
        <v>#N/A</v>
      </c>
      <c r="L275" s="62" t="e">
        <f>VLOOKUP(B275,'IT Structure'!A:B,2,0)</f>
        <v>#N/A</v>
      </c>
      <c r="M275" s="10"/>
    </row>
    <row r="276" spans="2:13">
      <c r="B276"/>
      <c r="C276"/>
      <c r="D276"/>
      <c r="E276"/>
      <c r="F276"/>
      <c r="G276"/>
      <c r="H276" s="76" t="e">
        <f>VLOOKUP(B276,'IT Structure'!A:D,4,0)*VLOOKUP(E276,'time target'!A:D,4,0)*20/30</f>
        <v>#N/A</v>
      </c>
      <c r="I276" s="7" t="e">
        <f>(1-VLOOKUP(B276,'IT Structure'!A:D,4,0))*VLOOKUP(E276,'time target'!A:D,4,0)*20/30</f>
        <v>#N/A</v>
      </c>
      <c r="J276" s="50" t="e">
        <f t="shared" si="8"/>
        <v>#N/A</v>
      </c>
      <c r="K276" s="50" t="e">
        <f t="shared" si="9"/>
        <v>#N/A</v>
      </c>
      <c r="L276" s="62" t="e">
        <f>VLOOKUP(B276,'IT Structure'!A:B,2,0)</f>
        <v>#N/A</v>
      </c>
      <c r="M276" s="10"/>
    </row>
    <row r="277" spans="2:13">
      <c r="B277"/>
      <c r="C277"/>
      <c r="D277"/>
      <c r="E277"/>
      <c r="F277"/>
      <c r="G277"/>
      <c r="H277" s="76" t="e">
        <f>VLOOKUP(B277,'IT Structure'!A:D,4,0)*VLOOKUP(E277,'time target'!A:D,4,0)*20/30</f>
        <v>#N/A</v>
      </c>
      <c r="I277" s="7" t="e">
        <f>(1-VLOOKUP(B277,'IT Structure'!A:D,4,0))*VLOOKUP(E277,'time target'!A:D,4,0)*20/30</f>
        <v>#N/A</v>
      </c>
      <c r="J277" s="50" t="e">
        <f t="shared" si="8"/>
        <v>#N/A</v>
      </c>
      <c r="K277" s="50" t="e">
        <f t="shared" si="9"/>
        <v>#N/A</v>
      </c>
      <c r="L277" s="62" t="e">
        <f>VLOOKUP(B277,'IT Structure'!A:B,2,0)</f>
        <v>#N/A</v>
      </c>
      <c r="M277" s="10"/>
    </row>
    <row r="278" spans="2:13">
      <c r="B278"/>
      <c r="C278"/>
      <c r="D278"/>
      <c r="E278"/>
      <c r="F278"/>
      <c r="G278"/>
      <c r="H278" s="76" t="e">
        <f>VLOOKUP(B278,'IT Structure'!A:D,4,0)*VLOOKUP(E278,'time target'!A:D,4,0)*20/30</f>
        <v>#N/A</v>
      </c>
      <c r="I278" s="7" t="e">
        <f>(1-VLOOKUP(B278,'IT Structure'!A:D,4,0))*VLOOKUP(E278,'time target'!A:D,4,0)*20/30</f>
        <v>#N/A</v>
      </c>
      <c r="J278" s="50" t="e">
        <f t="shared" si="8"/>
        <v>#N/A</v>
      </c>
      <c r="K278" s="50" t="e">
        <f t="shared" si="9"/>
        <v>#N/A</v>
      </c>
      <c r="L278" s="62" t="e">
        <f>VLOOKUP(B278,'IT Structure'!A:B,2,0)</f>
        <v>#N/A</v>
      </c>
      <c r="M278" s="10"/>
    </row>
    <row r="279" spans="2:13">
      <c r="B279"/>
      <c r="C279"/>
      <c r="D279"/>
      <c r="E279"/>
      <c r="F279"/>
      <c r="G279"/>
      <c r="H279" s="76" t="e">
        <f>VLOOKUP(B279,'IT Structure'!A:D,4,0)*VLOOKUP(E279,'time target'!A:D,4,0)*20/30</f>
        <v>#N/A</v>
      </c>
      <c r="I279" s="7" t="e">
        <f>(1-VLOOKUP(B279,'IT Structure'!A:D,4,0))*VLOOKUP(E279,'time target'!A:D,4,0)*20/30</f>
        <v>#N/A</v>
      </c>
      <c r="J279" s="50" t="e">
        <f t="shared" si="8"/>
        <v>#N/A</v>
      </c>
      <c r="K279" s="50" t="e">
        <f t="shared" si="9"/>
        <v>#N/A</v>
      </c>
      <c r="L279" s="62" t="e">
        <f>VLOOKUP(B279,'IT Structure'!A:B,2,0)</f>
        <v>#N/A</v>
      </c>
      <c r="M279" s="10"/>
    </row>
    <row r="280" spans="2:13">
      <c r="B280"/>
      <c r="C280"/>
      <c r="D280"/>
      <c r="E280"/>
      <c r="F280"/>
      <c r="G280"/>
      <c r="H280" s="76" t="e">
        <f>VLOOKUP(B280,'IT Structure'!A:D,4,0)*VLOOKUP(E280,'time target'!A:D,4,0)*20/30</f>
        <v>#N/A</v>
      </c>
      <c r="I280" s="7" t="e">
        <f>(1-VLOOKUP(B280,'IT Structure'!A:D,4,0))*VLOOKUP(E280,'time target'!A:D,4,0)*20/30</f>
        <v>#N/A</v>
      </c>
      <c r="J280" s="50" t="e">
        <f t="shared" si="8"/>
        <v>#N/A</v>
      </c>
      <c r="K280" s="50" t="e">
        <f t="shared" si="9"/>
        <v>#N/A</v>
      </c>
      <c r="L280" s="62" t="e">
        <f>VLOOKUP(B280,'IT Structure'!A:B,2,0)</f>
        <v>#N/A</v>
      </c>
      <c r="M280" s="10"/>
    </row>
    <row r="281" spans="2:13">
      <c r="B281"/>
      <c r="C281"/>
      <c r="D281"/>
      <c r="E281"/>
      <c r="F281"/>
      <c r="G281"/>
      <c r="H281" s="76" t="e">
        <f>VLOOKUP(B281,'IT Structure'!A:D,4,0)*VLOOKUP(E281,'time target'!A:D,4,0)*20/30</f>
        <v>#N/A</v>
      </c>
      <c r="I281" s="7" t="e">
        <f>(1-VLOOKUP(B281,'IT Structure'!A:D,4,0))*VLOOKUP(E281,'time target'!A:D,4,0)*20/30</f>
        <v>#N/A</v>
      </c>
      <c r="J281" s="50" t="e">
        <f t="shared" si="8"/>
        <v>#N/A</v>
      </c>
      <c r="K281" s="50" t="e">
        <f t="shared" si="9"/>
        <v>#N/A</v>
      </c>
      <c r="L281" s="62" t="e">
        <f>VLOOKUP(B281,'IT Structure'!A:B,2,0)</f>
        <v>#N/A</v>
      </c>
      <c r="M281" s="10"/>
    </row>
    <row r="282" spans="2:13">
      <c r="B282"/>
      <c r="C282"/>
      <c r="D282"/>
      <c r="E282"/>
      <c r="F282"/>
      <c r="G282"/>
      <c r="H282" s="76" t="e">
        <f>VLOOKUP(B282,'IT Structure'!A:D,4,0)*VLOOKUP(E282,'time target'!A:D,4,0)*20/30</f>
        <v>#N/A</v>
      </c>
      <c r="I282" s="7" t="e">
        <f>(1-VLOOKUP(B282,'IT Structure'!A:D,4,0))*VLOOKUP(E282,'time target'!A:D,4,0)*20/30</f>
        <v>#N/A</v>
      </c>
      <c r="J282" s="50" t="e">
        <f t="shared" si="8"/>
        <v>#N/A</v>
      </c>
      <c r="K282" s="50" t="e">
        <f t="shared" si="9"/>
        <v>#N/A</v>
      </c>
      <c r="L282" s="62" t="e">
        <f>VLOOKUP(B282,'IT Structure'!A:B,2,0)</f>
        <v>#N/A</v>
      </c>
      <c r="M282" s="10"/>
    </row>
    <row r="283" spans="2:13">
      <c r="B283"/>
      <c r="C283"/>
      <c r="D283"/>
      <c r="E283"/>
      <c r="F283"/>
      <c r="G283"/>
      <c r="H283" s="76" t="e">
        <f>VLOOKUP(B283,'IT Structure'!A:D,4,0)*VLOOKUP(E283,'time target'!A:D,4,0)*20/30</f>
        <v>#N/A</v>
      </c>
      <c r="I283" s="7" t="e">
        <f>(1-VLOOKUP(B283,'IT Structure'!A:D,4,0))*VLOOKUP(E283,'time target'!A:D,4,0)*20/30</f>
        <v>#N/A</v>
      </c>
      <c r="J283" s="50" t="e">
        <f t="shared" si="8"/>
        <v>#N/A</v>
      </c>
      <c r="K283" s="50" t="e">
        <f t="shared" si="9"/>
        <v>#N/A</v>
      </c>
      <c r="L283" s="62" t="e">
        <f>VLOOKUP(B283,'IT Structure'!A:B,2,0)</f>
        <v>#N/A</v>
      </c>
      <c r="M283" s="10"/>
    </row>
    <row r="284" spans="2:13">
      <c r="B284"/>
      <c r="C284"/>
      <c r="D284"/>
      <c r="E284"/>
      <c r="F284"/>
      <c r="G284"/>
      <c r="H284" s="76" t="e">
        <f>VLOOKUP(B284,'IT Structure'!A:D,4,0)*VLOOKUP(E284,'time target'!A:D,4,0)*20/30</f>
        <v>#N/A</v>
      </c>
      <c r="I284" s="7" t="e">
        <f>(1-VLOOKUP(B284,'IT Structure'!A:D,4,0))*VLOOKUP(E284,'time target'!A:D,4,0)*20/30</f>
        <v>#N/A</v>
      </c>
      <c r="J284" s="50" t="e">
        <f t="shared" si="8"/>
        <v>#N/A</v>
      </c>
      <c r="K284" s="50" t="e">
        <f t="shared" si="9"/>
        <v>#N/A</v>
      </c>
      <c r="L284" s="62" t="e">
        <f>VLOOKUP(B284,'IT Structure'!A:B,2,0)</f>
        <v>#N/A</v>
      </c>
      <c r="M284" s="10"/>
    </row>
    <row r="285" spans="2:13">
      <c r="B285"/>
      <c r="C285"/>
      <c r="D285"/>
      <c r="E285"/>
      <c r="F285"/>
      <c r="G285"/>
      <c r="H285" s="76" t="e">
        <f>VLOOKUP(B285,'IT Structure'!A:D,4,0)*VLOOKUP(E285,'time target'!A:D,4,0)*20/30</f>
        <v>#N/A</v>
      </c>
      <c r="I285" s="7" t="e">
        <f>(1-VLOOKUP(B285,'IT Structure'!A:D,4,0))*VLOOKUP(E285,'time target'!A:D,4,0)*20/30</f>
        <v>#N/A</v>
      </c>
      <c r="J285" s="50" t="e">
        <f t="shared" si="8"/>
        <v>#N/A</v>
      </c>
      <c r="K285" s="50" t="e">
        <f t="shared" si="9"/>
        <v>#N/A</v>
      </c>
      <c r="L285" s="62" t="e">
        <f>VLOOKUP(B285,'IT Structure'!A:B,2,0)</f>
        <v>#N/A</v>
      </c>
      <c r="M285" s="10"/>
    </row>
    <row r="286" spans="2:13">
      <c r="B286"/>
      <c r="C286"/>
      <c r="D286"/>
      <c r="E286"/>
      <c r="F286"/>
      <c r="G286"/>
      <c r="H286" s="76" t="e">
        <f>VLOOKUP(B286,'IT Structure'!A:D,4,0)*VLOOKUP(E286,'time target'!A:D,4,0)*20/30</f>
        <v>#N/A</v>
      </c>
      <c r="I286" s="7" t="e">
        <f>(1-VLOOKUP(B286,'IT Structure'!A:D,4,0))*VLOOKUP(E286,'time target'!A:D,4,0)*20/30</f>
        <v>#N/A</v>
      </c>
      <c r="J286" s="50" t="e">
        <f t="shared" si="8"/>
        <v>#N/A</v>
      </c>
      <c r="K286" s="50" t="e">
        <f t="shared" si="9"/>
        <v>#N/A</v>
      </c>
      <c r="L286" s="62" t="e">
        <f>VLOOKUP(B286,'IT Structure'!A:B,2,0)</f>
        <v>#N/A</v>
      </c>
      <c r="M286" s="10"/>
    </row>
    <row r="287" spans="2:13">
      <c r="B287"/>
      <c r="C287"/>
      <c r="D287"/>
      <c r="E287"/>
      <c r="F287"/>
      <c r="G287"/>
      <c r="H287" s="76" t="e">
        <f>VLOOKUP(B287,'IT Structure'!A:D,4,0)*VLOOKUP(E287,'time target'!A:D,4,0)*20/30</f>
        <v>#N/A</v>
      </c>
      <c r="I287" s="7" t="e">
        <f>(1-VLOOKUP(B287,'IT Structure'!A:D,4,0))*VLOOKUP(E287,'time target'!A:D,4,0)*20/30</f>
        <v>#N/A</v>
      </c>
      <c r="J287" s="50" t="e">
        <f t="shared" si="8"/>
        <v>#N/A</v>
      </c>
      <c r="K287" s="50" t="e">
        <f t="shared" si="9"/>
        <v>#N/A</v>
      </c>
      <c r="L287" s="62" t="e">
        <f>VLOOKUP(B287,'IT Structure'!A:B,2,0)</f>
        <v>#N/A</v>
      </c>
      <c r="M287" s="10"/>
    </row>
    <row r="288" spans="2:13">
      <c r="B288"/>
      <c r="C288"/>
      <c r="D288"/>
      <c r="E288"/>
      <c r="F288"/>
      <c r="G288"/>
      <c r="H288" s="76" t="e">
        <f>VLOOKUP(B288,'IT Structure'!A:D,4,0)*VLOOKUP(E288,'time target'!A:D,4,0)*20/30</f>
        <v>#N/A</v>
      </c>
      <c r="I288" s="7" t="e">
        <f>(1-VLOOKUP(B288,'IT Structure'!A:D,4,0))*VLOOKUP(E288,'time target'!A:D,4,0)*20/30</f>
        <v>#N/A</v>
      </c>
      <c r="J288" s="63" t="e">
        <f t="shared" si="8"/>
        <v>#N/A</v>
      </c>
      <c r="K288" s="63" t="e">
        <f t="shared" si="9"/>
        <v>#N/A</v>
      </c>
      <c r="L288" s="64" t="e">
        <f>VLOOKUP(B288,'IT Structure'!A:B,2,0)</f>
        <v>#N/A</v>
      </c>
      <c r="M288" s="10"/>
    </row>
    <row r="289" spans="2:13">
      <c r="B289"/>
      <c r="C289"/>
      <c r="D289"/>
      <c r="E289"/>
      <c r="F289"/>
      <c r="G289"/>
      <c r="H289" s="55"/>
      <c r="I289" s="55"/>
      <c r="J289" s="57"/>
      <c r="K289" s="57"/>
      <c r="L289" s="55"/>
      <c r="M289" s="10"/>
    </row>
    <row r="290" spans="2:13">
      <c r="B290"/>
      <c r="C290"/>
      <c r="D290"/>
      <c r="E290"/>
      <c r="F290"/>
      <c r="G290"/>
      <c r="H290" s="55"/>
      <c r="I290" s="55"/>
      <c r="J290" s="57"/>
      <c r="K290" s="57"/>
      <c r="L290" s="55"/>
      <c r="M290" s="10"/>
    </row>
    <row r="291" spans="2:13">
      <c r="B291"/>
      <c r="C291"/>
      <c r="D291"/>
      <c r="E291"/>
      <c r="F291"/>
      <c r="G291"/>
      <c r="H291" s="55"/>
      <c r="I291" s="55"/>
      <c r="J291" s="57"/>
      <c r="K291" s="57"/>
      <c r="L291" s="55"/>
      <c r="M291" s="10"/>
    </row>
    <row r="292" spans="2:13" hidden="1" outlineLevel="1">
      <c r="B292" s="70" t="s">
        <v>52</v>
      </c>
      <c r="C292" s="70" t="s">
        <v>88</v>
      </c>
      <c r="F292" s="10"/>
      <c r="G292" s="10"/>
      <c r="H292" s="51"/>
      <c r="I292" s="51"/>
      <c r="J292" s="53"/>
      <c r="K292" s="53"/>
      <c r="L292" s="52"/>
    </row>
    <row r="293" spans="2:13" hidden="1" outlineLevel="1">
      <c r="B293" s="70" t="s">
        <v>37</v>
      </c>
      <c r="C293" s="70" t="s">
        <v>88</v>
      </c>
      <c r="F293" s="10"/>
      <c r="G293" s="10"/>
      <c r="H293" s="51"/>
      <c r="I293" s="51"/>
      <c r="J293" s="53"/>
      <c r="K293" s="53"/>
      <c r="L293" s="52"/>
    </row>
    <row r="294" spans="2:13" hidden="1" outlineLevel="1">
      <c r="F294" s="10"/>
      <c r="G294" s="10"/>
      <c r="H294" s="51"/>
      <c r="I294" s="51"/>
      <c r="J294" s="53"/>
      <c r="K294" s="53"/>
      <c r="L294" s="52"/>
    </row>
    <row r="295" spans="2:13" hidden="1" outlineLevel="1">
      <c r="B295" s="20" t="s">
        <v>69</v>
      </c>
      <c r="C295" s="48" t="s">
        <v>36</v>
      </c>
      <c r="D295" s="21"/>
      <c r="E295" s="19"/>
      <c r="F295" s="19"/>
      <c r="G295" s="19"/>
      <c r="H295" s="25"/>
      <c r="I295" s="27"/>
      <c r="J295" s="29"/>
      <c r="K295" s="27"/>
      <c r="L295" s="13"/>
      <c r="M295" s="10"/>
    </row>
    <row r="296" spans="2:13" hidden="1" outlineLevel="1">
      <c r="B296" s="18" t="s">
        <v>82</v>
      </c>
      <c r="C296" s="46" t="s">
        <v>50</v>
      </c>
      <c r="D296" s="32" t="s">
        <v>56</v>
      </c>
      <c r="E296" s="33" t="s">
        <v>71</v>
      </c>
      <c r="F296" s="33" t="s">
        <v>72</v>
      </c>
      <c r="G296" s="33" t="s">
        <v>73</v>
      </c>
      <c r="H296" s="34" t="s">
        <v>74</v>
      </c>
      <c r="I296" s="35" t="s">
        <v>90</v>
      </c>
      <c r="J296" s="35" t="s">
        <v>94</v>
      </c>
      <c r="K296" s="35" t="s">
        <v>91</v>
      </c>
      <c r="L296" s="36" t="s">
        <v>89</v>
      </c>
      <c r="M296" s="10"/>
    </row>
    <row r="297" spans="2:13" hidden="1" outlineLevel="1">
      <c r="B297" s="18" t="s">
        <v>86</v>
      </c>
      <c r="C297" s="40">
        <v>2839.5330000000004</v>
      </c>
      <c r="D297" s="41">
        <v>1698.4989999999998</v>
      </c>
      <c r="E297" s="12">
        <f ca="1">SUMIF($C$8:$C$288,B297,$H$8:$H$283)</f>
        <v>0</v>
      </c>
      <c r="F297" s="12">
        <f ca="1">SUMIF($C$8:$C$288,B297,$I$8:$I$283)</f>
        <v>0</v>
      </c>
      <c r="G297" s="12">
        <f>EC297-C297</f>
        <v>-2839.5330000000004</v>
      </c>
      <c r="H297" s="26">
        <f ca="1">F297-D297</f>
        <v>-1698.4989999999998</v>
      </c>
      <c r="I297" s="17" t="e">
        <f t="shared" ref="I297:J302" ca="1" si="10">C297/($E297+$F297)</f>
        <v>#DIV/0!</v>
      </c>
      <c r="J297" s="30" t="e">
        <f t="shared" ca="1" si="10"/>
        <v>#DIV/0!</v>
      </c>
      <c r="K297" s="17">
        <v>0.5</v>
      </c>
      <c r="L297" s="14" t="e">
        <f ca="1">K297-I297</f>
        <v>#DIV/0!</v>
      </c>
      <c r="M297" s="10"/>
    </row>
    <row r="298" spans="2:13" hidden="1" outlineLevel="1">
      <c r="B298" s="20" t="s">
        <v>56</v>
      </c>
      <c r="C298" s="42">
        <v>2199</v>
      </c>
      <c r="D298" s="43">
        <v>1531.4189999999994</v>
      </c>
      <c r="E298" s="12">
        <f ca="1">SUMIF($C$8:$C$288,B298,$H$8:$H$283)</f>
        <v>0</v>
      </c>
      <c r="F298" s="12">
        <f ca="1">SUMIF($C$8:$C$288,B298,$I$8:$I$283)</f>
        <v>0</v>
      </c>
      <c r="G298" s="12">
        <f>EC298-C298</f>
        <v>-2199</v>
      </c>
      <c r="H298" s="26">
        <f ca="1">F298-D298</f>
        <v>-1531.4189999999994</v>
      </c>
      <c r="I298" s="17" t="e">
        <f t="shared" ca="1" si="10"/>
        <v>#DIV/0!</v>
      </c>
      <c r="J298" s="30" t="e">
        <f t="shared" ca="1" si="10"/>
        <v>#DIV/0!</v>
      </c>
      <c r="K298" s="17">
        <v>0.5</v>
      </c>
      <c r="L298" s="16" t="e">
        <f t="shared" ref="L298:L300" ca="1" si="11">K298-I298</f>
        <v>#DIV/0!</v>
      </c>
      <c r="M298" s="10"/>
    </row>
    <row r="299" spans="2:13" hidden="1" outlineLevel="1">
      <c r="B299" s="20" t="s">
        <v>87</v>
      </c>
      <c r="C299" s="42">
        <v>1567</v>
      </c>
      <c r="D299" s="43">
        <v>90</v>
      </c>
      <c r="E299" s="12">
        <f ca="1">SUMIF($C$8:$C$288,B299,$H$8:$H$283)</f>
        <v>0</v>
      </c>
      <c r="F299" s="12">
        <f ca="1">SUMIF($C$8:$C$288,B299,$I$8:$I$283)</f>
        <v>0</v>
      </c>
      <c r="G299" s="12">
        <f>EC299-C299</f>
        <v>-1567</v>
      </c>
      <c r="H299" s="26">
        <f ca="1">F299-D299</f>
        <v>-90</v>
      </c>
      <c r="I299" s="17" t="e">
        <f t="shared" ca="1" si="10"/>
        <v>#DIV/0!</v>
      </c>
      <c r="J299" s="30" t="e">
        <f t="shared" ca="1" si="10"/>
        <v>#DIV/0!</v>
      </c>
      <c r="K299" s="17">
        <v>0.85</v>
      </c>
      <c r="L299" s="16" t="e">
        <f t="shared" ca="1" si="11"/>
        <v>#DIV/0!</v>
      </c>
      <c r="M299" s="10"/>
    </row>
    <row r="300" spans="2:13" hidden="1" outlineLevel="1">
      <c r="B300" s="20" t="s">
        <v>85</v>
      </c>
      <c r="C300" s="42">
        <v>7459.6000000000049</v>
      </c>
      <c r="D300" s="43">
        <v>1671.2999999999997</v>
      </c>
      <c r="E300" s="12" t="e">
        <f ca="1">SUMIF($C$8:$C$288,B300,$H$8:$H$283)</f>
        <v>#N/A</v>
      </c>
      <c r="F300" s="12" t="e">
        <f ca="1">SUMIF($C$8:$C$288,B300,$I$8:$I$283)</f>
        <v>#N/A</v>
      </c>
      <c r="G300" s="12">
        <f>EC300-C300</f>
        <v>-7459.6000000000049</v>
      </c>
      <c r="H300" s="26" t="e">
        <f ca="1">F300-D300</f>
        <v>#N/A</v>
      </c>
      <c r="I300" s="17" t="e">
        <f t="shared" ca="1" si="10"/>
        <v>#N/A</v>
      </c>
      <c r="J300" s="30" t="e">
        <f t="shared" ca="1" si="10"/>
        <v>#N/A</v>
      </c>
      <c r="K300" s="17">
        <v>0.85</v>
      </c>
      <c r="L300" s="17" t="e">
        <f t="shared" ca="1" si="11"/>
        <v>#N/A</v>
      </c>
      <c r="M300" s="10"/>
    </row>
    <row r="301" spans="2:13" hidden="1" outlineLevel="1">
      <c r="B301" s="22" t="s">
        <v>50</v>
      </c>
      <c r="C301" s="44">
        <v>18099.499</v>
      </c>
      <c r="D301" s="45">
        <v>2919.9860000000003</v>
      </c>
      <c r="E301" s="23">
        <f ca="1">SUMIF($C$8:$C$288,B301,$H$8:$H$283)</f>
        <v>0</v>
      </c>
      <c r="F301" s="23">
        <f ca="1">SUMIF($C$8:$C$288,B301,$I$8:$I$283)</f>
        <v>0</v>
      </c>
      <c r="G301" s="12">
        <f ca="1">E301-C301</f>
        <v>-18099.499</v>
      </c>
      <c r="H301" s="26">
        <f ca="1">F301-D301</f>
        <v>-2919.9860000000003</v>
      </c>
      <c r="I301" s="28" t="e">
        <f t="shared" ca="1" si="10"/>
        <v>#DIV/0!</v>
      </c>
      <c r="J301" s="31" t="e">
        <f t="shared" ca="1" si="10"/>
        <v>#DIV/0!</v>
      </c>
      <c r="K301" s="28">
        <v>0.85</v>
      </c>
      <c r="L301" s="24" t="e">
        <f ca="1">K301-I301</f>
        <v>#DIV/0!</v>
      </c>
      <c r="M301" s="10"/>
    </row>
    <row r="302" spans="2:13" hidden="1" outlineLevel="1">
      <c r="B302" s="22" t="s">
        <v>68</v>
      </c>
      <c r="C302" s="44">
        <v>32164.632000000005</v>
      </c>
      <c r="D302" s="45">
        <v>7911.2039999999997</v>
      </c>
      <c r="E302" s="37" t="e">
        <f ca="1">SUM(E297:E301)</f>
        <v>#N/A</v>
      </c>
      <c r="F302" s="72" t="e">
        <f t="shared" ref="F302" ca="1" si="12">SUM(F297:F301)</f>
        <v>#N/A</v>
      </c>
      <c r="G302" s="73">
        <f ca="1">SUM(G297:G301)</f>
        <v>-32164.632000000005</v>
      </c>
      <c r="H302" s="73" t="e">
        <f ca="1">SUM(H297:H301)</f>
        <v>#N/A</v>
      </c>
      <c r="I302" s="38" t="e">
        <f t="shared" ca="1" si="10"/>
        <v>#N/A</v>
      </c>
      <c r="J302" s="38" t="e">
        <f t="shared" ca="1" si="10"/>
        <v>#N/A</v>
      </c>
      <c r="K302" s="39" t="e">
        <f ca="1">E302/(E302+F302)</f>
        <v>#N/A</v>
      </c>
      <c r="L302" s="15"/>
      <c r="M302" s="10"/>
    </row>
    <row r="303" spans="2:13" hidden="1" outlineLevel="1">
      <c r="B303"/>
      <c r="C303"/>
      <c r="D303"/>
      <c r="E303" s="11"/>
      <c r="F303"/>
      <c r="G303"/>
      <c r="H303"/>
    </row>
    <row r="304" spans="2:13" hidden="1" outlineLevel="1">
      <c r="B304"/>
      <c r="C304"/>
      <c r="D304"/>
      <c r="E304" s="11"/>
      <c r="F304"/>
      <c r="G304"/>
      <c r="H304"/>
    </row>
    <row r="305" spans="2:8" hidden="1" outlineLevel="1">
      <c r="B305"/>
      <c r="C305"/>
      <c r="D305"/>
      <c r="E305" s="11"/>
      <c r="F305"/>
      <c r="G305"/>
      <c r="H305"/>
    </row>
    <row r="306" spans="2:8" collapsed="1">
      <c r="B306"/>
      <c r="C306"/>
      <c r="D306"/>
      <c r="E306" s="11"/>
      <c r="F306"/>
      <c r="G306"/>
      <c r="H306"/>
    </row>
    <row r="307" spans="2:8">
      <c r="B307"/>
      <c r="C307"/>
      <c r="D307"/>
      <c r="E307" s="11"/>
      <c r="F307"/>
      <c r="G307"/>
      <c r="H307"/>
    </row>
    <row r="308" spans="2:8">
      <c r="B308"/>
      <c r="C308"/>
      <c r="D308"/>
      <c r="E308" s="11"/>
      <c r="F308"/>
      <c r="G308"/>
      <c r="H308"/>
    </row>
    <row r="309" spans="2:8">
      <c r="B309"/>
      <c r="C309"/>
      <c r="D309"/>
      <c r="E309" s="11"/>
      <c r="F309"/>
      <c r="G309"/>
      <c r="H309"/>
    </row>
    <row r="310" spans="2:8">
      <c r="B310"/>
      <c r="C310"/>
      <c r="D310"/>
      <c r="E310" s="11"/>
      <c r="F310"/>
      <c r="G310"/>
      <c r="H310"/>
    </row>
    <row r="311" spans="2:8">
      <c r="B311"/>
      <c r="C311"/>
      <c r="D311"/>
      <c r="E311" s="11"/>
      <c r="F311"/>
      <c r="G311"/>
      <c r="H311"/>
    </row>
    <row r="312" spans="2:8">
      <c r="B312"/>
      <c r="C312"/>
      <c r="D312"/>
      <c r="E312" s="11"/>
      <c r="F312"/>
      <c r="G312"/>
      <c r="H312"/>
    </row>
    <row r="313" spans="2:8">
      <c r="B313"/>
      <c r="C313"/>
      <c r="D313"/>
      <c r="E313" s="11"/>
      <c r="F313"/>
      <c r="G313"/>
      <c r="H313"/>
    </row>
    <row r="314" spans="2:8">
      <c r="B314"/>
      <c r="C314"/>
      <c r="D314"/>
      <c r="E314" s="11"/>
      <c r="F314"/>
      <c r="G314"/>
      <c r="H314"/>
    </row>
    <row r="315" spans="2:8">
      <c r="B315"/>
      <c r="C315"/>
      <c r="D315"/>
      <c r="E315" s="11"/>
      <c r="F315"/>
      <c r="G315"/>
      <c r="H315"/>
    </row>
    <row r="316" spans="2:8">
      <c r="B316"/>
      <c r="C316"/>
      <c r="D316"/>
      <c r="E316" s="11"/>
      <c r="F316"/>
      <c r="G316"/>
      <c r="H316"/>
    </row>
    <row r="317" spans="2:8">
      <c r="B317"/>
      <c r="C317"/>
      <c r="D317"/>
      <c r="E317" s="11"/>
      <c r="F317"/>
      <c r="G317"/>
      <c r="H317"/>
    </row>
    <row r="318" spans="2:8">
      <c r="B318"/>
      <c r="C318"/>
      <c r="D318"/>
      <c r="E318" s="11"/>
      <c r="F318"/>
      <c r="G318"/>
      <c r="H318"/>
    </row>
    <row r="319" spans="2:8">
      <c r="B319"/>
      <c r="C319"/>
      <c r="D319"/>
      <c r="E319" s="11"/>
      <c r="F319"/>
      <c r="G319"/>
      <c r="H319"/>
    </row>
    <row r="320" spans="2:8">
      <c r="B320"/>
      <c r="C320"/>
      <c r="D320"/>
      <c r="E320" s="11"/>
      <c r="F320"/>
      <c r="G320"/>
      <c r="H320"/>
    </row>
    <row r="321" spans="2:8">
      <c r="B321"/>
      <c r="C321"/>
      <c r="D321"/>
      <c r="E321" s="11"/>
      <c r="F321"/>
      <c r="G321"/>
      <c r="H321"/>
    </row>
    <row r="322" spans="2:8">
      <c r="B322"/>
      <c r="C322"/>
      <c r="D322"/>
      <c r="E322" s="11"/>
      <c r="F322"/>
      <c r="G322"/>
      <c r="H322"/>
    </row>
    <row r="323" spans="2:8">
      <c r="B323"/>
      <c r="C323"/>
      <c r="D323"/>
      <c r="E323" s="11"/>
      <c r="F323"/>
      <c r="G323"/>
      <c r="H323"/>
    </row>
    <row r="324" spans="2:8">
      <c r="B324"/>
      <c r="C324"/>
      <c r="D324"/>
      <c r="E324" s="11"/>
      <c r="F324"/>
      <c r="G324"/>
      <c r="H324"/>
    </row>
    <row r="325" spans="2:8">
      <c r="B325"/>
      <c r="C325"/>
      <c r="D325"/>
      <c r="E325" s="11"/>
      <c r="F325"/>
      <c r="G325"/>
      <c r="H325"/>
    </row>
    <row r="326" spans="2:8">
      <c r="B326"/>
      <c r="C326"/>
      <c r="D326"/>
      <c r="E326" s="11"/>
      <c r="F326"/>
      <c r="G326"/>
      <c r="H326"/>
    </row>
    <row r="327" spans="2:8">
      <c r="B327"/>
      <c r="C327"/>
      <c r="D327"/>
      <c r="E327" s="11"/>
      <c r="F327"/>
      <c r="G327"/>
      <c r="H327"/>
    </row>
    <row r="328" spans="2:8">
      <c r="B328"/>
      <c r="C328"/>
      <c r="D328"/>
      <c r="E328" s="11"/>
      <c r="F328"/>
      <c r="G328"/>
      <c r="H328"/>
    </row>
    <row r="329" spans="2:8">
      <c r="B329"/>
      <c r="C329"/>
      <c r="D329"/>
      <c r="E329" s="11"/>
      <c r="F329"/>
      <c r="G329"/>
      <c r="H329"/>
    </row>
    <row r="330" spans="2:8">
      <c r="B330"/>
      <c r="C330"/>
      <c r="D330"/>
      <c r="E330" s="11"/>
      <c r="F330"/>
      <c r="G330"/>
      <c r="H330"/>
    </row>
    <row r="331" spans="2:8">
      <c r="B331"/>
      <c r="C331"/>
      <c r="D331"/>
      <c r="E331" s="11"/>
      <c r="F331"/>
      <c r="G331"/>
      <c r="H331"/>
    </row>
    <row r="332" spans="2:8">
      <c r="B332"/>
      <c r="C332"/>
      <c r="D332"/>
      <c r="E332" s="11"/>
      <c r="F332"/>
      <c r="G332"/>
      <c r="H332"/>
    </row>
    <row r="333" spans="2:8">
      <c r="B333"/>
      <c r="C333"/>
      <c r="D333"/>
      <c r="E333" s="11"/>
      <c r="F333"/>
      <c r="G333"/>
      <c r="H333"/>
    </row>
    <row r="334" spans="2:8">
      <c r="B334"/>
      <c r="C334"/>
      <c r="D334"/>
      <c r="E334" s="11"/>
      <c r="F334"/>
      <c r="G334"/>
      <c r="H334"/>
    </row>
    <row r="335" spans="2:8">
      <c r="B335"/>
      <c r="C335"/>
      <c r="D335"/>
      <c r="E335" s="11"/>
      <c r="F335"/>
      <c r="G335"/>
      <c r="H335"/>
    </row>
    <row r="336" spans="2:8">
      <c r="B336"/>
      <c r="C336"/>
      <c r="D336"/>
      <c r="E336" s="11"/>
      <c r="F336"/>
      <c r="G336"/>
      <c r="H336"/>
    </row>
    <row r="337" spans="2:8">
      <c r="B337"/>
      <c r="C337"/>
      <c r="D337"/>
      <c r="E337" s="11"/>
      <c r="F337"/>
      <c r="G337"/>
      <c r="H337"/>
    </row>
    <row r="338" spans="2:8">
      <c r="B338"/>
      <c r="C338"/>
      <c r="D338"/>
      <c r="E338" s="11"/>
      <c r="F338"/>
      <c r="G338"/>
      <c r="H338"/>
    </row>
    <row r="339" spans="2:8">
      <c r="B339"/>
      <c r="C339"/>
      <c r="D339"/>
      <c r="E339" s="11"/>
      <c r="F339"/>
      <c r="G339"/>
      <c r="H339"/>
    </row>
    <row r="340" spans="2:8">
      <c r="B340"/>
      <c r="C340"/>
      <c r="D340"/>
      <c r="E340" s="11"/>
      <c r="F340"/>
      <c r="G340"/>
      <c r="H340"/>
    </row>
    <row r="341" spans="2:8">
      <c r="B341"/>
      <c r="C341"/>
      <c r="D341"/>
      <c r="E341" s="11"/>
      <c r="F341"/>
      <c r="G341"/>
      <c r="H341"/>
    </row>
    <row r="342" spans="2:8">
      <c r="B342"/>
      <c r="C342"/>
      <c r="D342"/>
      <c r="E342" s="11"/>
      <c r="F342"/>
      <c r="G342"/>
      <c r="H342"/>
    </row>
    <row r="343" spans="2:8">
      <c r="B343"/>
      <c r="C343"/>
      <c r="D343"/>
      <c r="E343" s="11"/>
      <c r="F343"/>
      <c r="G343"/>
      <c r="H343"/>
    </row>
    <row r="344" spans="2:8">
      <c r="B344"/>
      <c r="C344"/>
      <c r="D344"/>
      <c r="E344" s="11"/>
      <c r="F344"/>
      <c r="G344"/>
      <c r="H344"/>
    </row>
    <row r="345" spans="2:8">
      <c r="B345"/>
      <c r="C345"/>
      <c r="D345"/>
      <c r="E345" s="11"/>
      <c r="F345"/>
      <c r="G345"/>
      <c r="H345"/>
    </row>
    <row r="346" spans="2:8">
      <c r="B346"/>
      <c r="C346"/>
      <c r="D346"/>
      <c r="E346" s="11"/>
      <c r="F346"/>
      <c r="G346"/>
      <c r="H346"/>
    </row>
    <row r="347" spans="2:8">
      <c r="B347"/>
      <c r="C347"/>
      <c r="D347"/>
      <c r="E347" s="11"/>
      <c r="F347"/>
      <c r="G347"/>
      <c r="H347"/>
    </row>
    <row r="348" spans="2:8">
      <c r="B348"/>
      <c r="C348"/>
      <c r="D348"/>
      <c r="E348" s="11"/>
      <c r="F348"/>
      <c r="G348"/>
      <c r="H348"/>
    </row>
    <row r="349" spans="2:8">
      <c r="B349"/>
      <c r="C349"/>
      <c r="D349"/>
      <c r="E349" s="11"/>
      <c r="F349"/>
      <c r="G349"/>
      <c r="H349"/>
    </row>
    <row r="350" spans="2:8">
      <c r="B350"/>
      <c r="C350"/>
      <c r="D350"/>
      <c r="E350" s="11"/>
      <c r="F350"/>
      <c r="G350"/>
      <c r="H350"/>
    </row>
    <row r="351" spans="2:8">
      <c r="B351"/>
      <c r="C351"/>
      <c r="D351"/>
      <c r="E351" s="11"/>
      <c r="F351"/>
      <c r="G351"/>
      <c r="H351"/>
    </row>
    <row r="352" spans="2:8">
      <c r="B352"/>
      <c r="C352"/>
      <c r="D352"/>
      <c r="E352" s="11"/>
      <c r="F352"/>
      <c r="G352"/>
      <c r="H352"/>
    </row>
    <row r="353" spans="2:8">
      <c r="B353"/>
      <c r="C353"/>
      <c r="D353"/>
      <c r="E353" s="11"/>
      <c r="F353"/>
      <c r="G353"/>
      <c r="H353"/>
    </row>
    <row r="354" spans="2:8">
      <c r="B354"/>
      <c r="C354"/>
      <c r="D354"/>
      <c r="E354" s="11"/>
      <c r="F354"/>
      <c r="G354"/>
      <c r="H354"/>
    </row>
    <row r="355" spans="2:8">
      <c r="B355"/>
      <c r="C355"/>
      <c r="D355"/>
      <c r="E355" s="11"/>
      <c r="F355"/>
      <c r="G355"/>
      <c r="H355"/>
    </row>
    <row r="356" spans="2:8">
      <c r="B356"/>
      <c r="C356"/>
      <c r="D356"/>
      <c r="E356" s="11"/>
      <c r="F356"/>
      <c r="G356"/>
      <c r="H356"/>
    </row>
    <row r="357" spans="2:8">
      <c r="B357"/>
      <c r="C357"/>
      <c r="D357"/>
      <c r="E357" s="11"/>
      <c r="F357"/>
      <c r="G357"/>
      <c r="H357"/>
    </row>
    <row r="358" spans="2:8">
      <c r="B358"/>
      <c r="C358"/>
      <c r="D358"/>
      <c r="E358" s="11"/>
      <c r="F358"/>
      <c r="G358"/>
      <c r="H358"/>
    </row>
    <row r="359" spans="2:8">
      <c r="B359"/>
      <c r="C359"/>
      <c r="D359"/>
      <c r="E359" s="11"/>
      <c r="F359"/>
      <c r="G359"/>
      <c r="H359"/>
    </row>
    <row r="360" spans="2:8">
      <c r="B360"/>
      <c r="C360"/>
      <c r="D360"/>
      <c r="E360" s="11"/>
      <c r="F360"/>
      <c r="G360"/>
      <c r="H360"/>
    </row>
    <row r="361" spans="2:8">
      <c r="B361"/>
      <c r="C361"/>
      <c r="D361"/>
      <c r="E361" s="11"/>
      <c r="F361"/>
      <c r="G361"/>
      <c r="H361"/>
    </row>
    <row r="362" spans="2:8">
      <c r="B362"/>
      <c r="C362"/>
      <c r="D362"/>
      <c r="E362" s="11"/>
      <c r="F362"/>
      <c r="G362"/>
      <c r="H362"/>
    </row>
    <row r="363" spans="2:8">
      <c r="B363"/>
      <c r="C363"/>
      <c r="D363"/>
      <c r="E363" s="11"/>
      <c r="F363"/>
      <c r="G363"/>
      <c r="H363"/>
    </row>
    <row r="364" spans="2:8">
      <c r="B364"/>
      <c r="C364"/>
      <c r="D364"/>
      <c r="E364" s="11"/>
      <c r="F364"/>
      <c r="G364"/>
      <c r="H364"/>
    </row>
    <row r="365" spans="2:8">
      <c r="B365"/>
      <c r="C365"/>
      <c r="D365"/>
      <c r="E365" s="11"/>
      <c r="F365"/>
      <c r="G365"/>
      <c r="H365"/>
    </row>
    <row r="366" spans="2:8">
      <c r="B366"/>
      <c r="C366"/>
      <c r="D366"/>
      <c r="E366" s="11"/>
      <c r="F366"/>
      <c r="G366"/>
      <c r="H366"/>
    </row>
    <row r="367" spans="2:8">
      <c r="B367"/>
      <c r="C367"/>
      <c r="D367"/>
      <c r="E367" s="11"/>
      <c r="F367"/>
      <c r="G367"/>
      <c r="H367"/>
    </row>
    <row r="368" spans="2:8">
      <c r="B368"/>
      <c r="C368"/>
      <c r="D368"/>
      <c r="E368" s="11"/>
      <c r="F368"/>
      <c r="G368"/>
      <c r="H368"/>
    </row>
    <row r="369" spans="2:8">
      <c r="B369"/>
      <c r="C369"/>
      <c r="D369"/>
      <c r="E369" s="11"/>
      <c r="F369"/>
      <c r="G369"/>
      <c r="H369"/>
    </row>
    <row r="370" spans="2:8">
      <c r="B370"/>
      <c r="C370"/>
      <c r="D370"/>
      <c r="E370" s="11"/>
      <c r="F370"/>
      <c r="G370"/>
      <c r="H370"/>
    </row>
    <row r="371" spans="2:8">
      <c r="B371"/>
      <c r="C371"/>
      <c r="D371"/>
      <c r="E371" s="11"/>
      <c r="F371"/>
      <c r="G371"/>
      <c r="H371"/>
    </row>
    <row r="372" spans="2:8">
      <c r="B372"/>
      <c r="C372"/>
      <c r="D372"/>
      <c r="E372" s="11"/>
      <c r="F372"/>
      <c r="G372"/>
      <c r="H372"/>
    </row>
    <row r="373" spans="2:8">
      <c r="B373"/>
      <c r="C373"/>
      <c r="D373"/>
      <c r="E373" s="11"/>
      <c r="F373"/>
      <c r="G373"/>
      <c r="H373"/>
    </row>
    <row r="374" spans="2:8">
      <c r="B374"/>
      <c r="C374"/>
      <c r="D374"/>
      <c r="E374" s="11"/>
      <c r="F374"/>
      <c r="G374"/>
      <c r="H374"/>
    </row>
    <row r="375" spans="2:8">
      <c r="B375"/>
      <c r="C375"/>
      <c r="D375"/>
      <c r="E375" s="11"/>
      <c r="F375"/>
      <c r="G375"/>
      <c r="H375"/>
    </row>
    <row r="376" spans="2:8">
      <c r="B376"/>
      <c r="C376"/>
      <c r="D376"/>
      <c r="E376" s="11"/>
      <c r="F376"/>
      <c r="G376"/>
      <c r="H376"/>
    </row>
    <row r="377" spans="2:8">
      <c r="B377"/>
      <c r="C377"/>
      <c r="D377"/>
      <c r="E377" s="11"/>
      <c r="F377"/>
      <c r="G377"/>
      <c r="H377"/>
    </row>
    <row r="378" spans="2:8">
      <c r="B378"/>
      <c r="C378"/>
      <c r="D378"/>
      <c r="E378" s="11"/>
      <c r="F378"/>
      <c r="G378"/>
      <c r="H378"/>
    </row>
    <row r="379" spans="2:8">
      <c r="B379"/>
      <c r="C379"/>
      <c r="D379"/>
      <c r="E379" s="11"/>
      <c r="F379"/>
      <c r="G379"/>
      <c r="H379"/>
    </row>
    <row r="380" spans="2:8">
      <c r="B380"/>
      <c r="C380"/>
      <c r="D380"/>
      <c r="E380" s="11"/>
      <c r="F380"/>
      <c r="G380"/>
      <c r="H380"/>
    </row>
    <row r="381" spans="2:8">
      <c r="B381"/>
      <c r="C381"/>
      <c r="D381"/>
      <c r="E381" s="11"/>
      <c r="F381"/>
      <c r="G381"/>
      <c r="H381"/>
    </row>
    <row r="382" spans="2:8">
      <c r="B382"/>
      <c r="C382"/>
      <c r="D382"/>
      <c r="E382" s="11"/>
      <c r="F382"/>
      <c r="G382"/>
      <c r="H382"/>
    </row>
    <row r="383" spans="2:8">
      <c r="B383"/>
      <c r="C383"/>
      <c r="D383"/>
      <c r="E383" s="11"/>
      <c r="F383"/>
      <c r="G383"/>
      <c r="H383"/>
    </row>
    <row r="384" spans="2:8">
      <c r="B384"/>
      <c r="C384"/>
      <c r="D384"/>
      <c r="E384" s="11"/>
      <c r="F384"/>
      <c r="G384"/>
      <c r="H384"/>
    </row>
    <row r="385" spans="2:8">
      <c r="B385"/>
      <c r="C385"/>
      <c r="D385"/>
      <c r="E385" s="11"/>
      <c r="F385"/>
      <c r="G385"/>
      <c r="H385"/>
    </row>
    <row r="386" spans="2:8">
      <c r="B386"/>
      <c r="C386"/>
      <c r="D386"/>
      <c r="E386" s="11"/>
      <c r="F386"/>
      <c r="G386"/>
      <c r="H386"/>
    </row>
    <row r="387" spans="2:8">
      <c r="B387"/>
      <c r="C387"/>
      <c r="D387"/>
      <c r="E387" s="11"/>
      <c r="F387"/>
      <c r="G387"/>
      <c r="H387"/>
    </row>
    <row r="388" spans="2:8">
      <c r="B388"/>
      <c r="C388"/>
      <c r="D388"/>
      <c r="E388" s="11"/>
      <c r="F388"/>
      <c r="G388"/>
      <c r="H388"/>
    </row>
    <row r="389" spans="2:8">
      <c r="B389"/>
      <c r="C389"/>
      <c r="D389"/>
      <c r="E389" s="11"/>
      <c r="F389"/>
      <c r="G389"/>
      <c r="H389"/>
    </row>
    <row r="390" spans="2:8">
      <c r="B390"/>
      <c r="C390"/>
      <c r="D390"/>
      <c r="E390" s="11"/>
      <c r="F390"/>
      <c r="G390"/>
      <c r="H390"/>
    </row>
    <row r="391" spans="2:8">
      <c r="B391"/>
      <c r="C391"/>
      <c r="D391"/>
      <c r="E391" s="11"/>
      <c r="F391"/>
      <c r="G391"/>
      <c r="H391"/>
    </row>
    <row r="392" spans="2:8">
      <c r="B392"/>
      <c r="C392"/>
      <c r="D392"/>
      <c r="E392" s="11"/>
      <c r="F392"/>
      <c r="G392"/>
      <c r="H392"/>
    </row>
    <row r="393" spans="2:8">
      <c r="B393"/>
      <c r="C393"/>
      <c r="D393"/>
      <c r="E393" s="11"/>
      <c r="F393"/>
      <c r="G393"/>
      <c r="H393"/>
    </row>
    <row r="394" spans="2:8">
      <c r="B394"/>
      <c r="C394"/>
      <c r="D394"/>
      <c r="E394" s="11"/>
      <c r="F394"/>
      <c r="G394"/>
      <c r="H394"/>
    </row>
    <row r="395" spans="2:8">
      <c r="B395"/>
      <c r="C395"/>
      <c r="D395"/>
      <c r="E395" s="11"/>
      <c r="F395"/>
      <c r="G395"/>
      <c r="H395"/>
    </row>
    <row r="396" spans="2:8">
      <c r="B396"/>
      <c r="C396"/>
      <c r="D396"/>
      <c r="E396" s="11"/>
      <c r="F396"/>
      <c r="G396"/>
      <c r="H396"/>
    </row>
    <row r="397" spans="2:8">
      <c r="B397"/>
      <c r="C397"/>
      <c r="D397"/>
      <c r="E397" s="11"/>
      <c r="F397"/>
      <c r="G397"/>
      <c r="H397"/>
    </row>
    <row r="398" spans="2:8">
      <c r="B398"/>
      <c r="C398"/>
      <c r="D398"/>
      <c r="E398" s="11"/>
      <c r="F398"/>
      <c r="G398"/>
      <c r="H398"/>
    </row>
    <row r="399" spans="2:8">
      <c r="B399"/>
      <c r="C399"/>
      <c r="D399"/>
      <c r="E399" s="11"/>
      <c r="F399"/>
      <c r="G399"/>
      <c r="H399"/>
    </row>
    <row r="400" spans="2:8">
      <c r="B400"/>
      <c r="C400"/>
      <c r="D400"/>
      <c r="E400" s="11"/>
      <c r="F400"/>
      <c r="G400"/>
      <c r="H400"/>
    </row>
    <row r="401" spans="2:8">
      <c r="B401"/>
      <c r="C401"/>
      <c r="D401"/>
      <c r="E401" s="11"/>
      <c r="F401"/>
      <c r="G401"/>
      <c r="H401"/>
    </row>
    <row r="402" spans="2:8">
      <c r="B402"/>
      <c r="C402"/>
      <c r="D402"/>
      <c r="E402" s="11"/>
      <c r="F402"/>
      <c r="G402"/>
      <c r="H402"/>
    </row>
    <row r="403" spans="2:8">
      <c r="B403"/>
      <c r="C403"/>
      <c r="D403"/>
      <c r="E403" s="11"/>
      <c r="F403"/>
      <c r="G403"/>
      <c r="H403"/>
    </row>
    <row r="404" spans="2:8">
      <c r="B404"/>
      <c r="C404"/>
      <c r="D404"/>
      <c r="E404" s="11"/>
      <c r="F404"/>
      <c r="G404"/>
      <c r="H404"/>
    </row>
    <row r="405" spans="2:8">
      <c r="B405"/>
      <c r="C405"/>
      <c r="D405"/>
      <c r="E405" s="11"/>
      <c r="F405"/>
      <c r="G405"/>
      <c r="H405"/>
    </row>
    <row r="406" spans="2:8">
      <c r="B406"/>
      <c r="C406"/>
      <c r="D406"/>
      <c r="E406" s="11"/>
      <c r="F406"/>
      <c r="G406"/>
      <c r="H406"/>
    </row>
    <row r="407" spans="2:8">
      <c r="B407"/>
      <c r="C407"/>
      <c r="D407"/>
      <c r="E407" s="11"/>
      <c r="F407"/>
      <c r="G407"/>
      <c r="H407"/>
    </row>
    <row r="408" spans="2:8">
      <c r="B408"/>
      <c r="C408"/>
      <c r="D408"/>
      <c r="E408" s="11"/>
      <c r="F408"/>
      <c r="G408"/>
      <c r="H408"/>
    </row>
    <row r="409" spans="2:8">
      <c r="B409"/>
      <c r="C409"/>
      <c r="D409"/>
      <c r="E409" s="11"/>
      <c r="F409"/>
      <c r="G409"/>
      <c r="H409"/>
    </row>
    <row r="410" spans="2:8">
      <c r="B410"/>
      <c r="C410"/>
      <c r="D410"/>
      <c r="E410" s="11"/>
      <c r="F410"/>
      <c r="G410"/>
      <c r="H410"/>
    </row>
    <row r="411" spans="2:8">
      <c r="B411"/>
      <c r="C411"/>
      <c r="D411"/>
      <c r="E411" s="11"/>
      <c r="F411"/>
      <c r="G411"/>
      <c r="H411"/>
    </row>
    <row r="412" spans="2:8">
      <c r="B412"/>
      <c r="C412"/>
      <c r="D412"/>
      <c r="E412" s="11"/>
      <c r="F412"/>
      <c r="G412"/>
      <c r="H412"/>
    </row>
    <row r="413" spans="2:8">
      <c r="B413"/>
      <c r="C413"/>
      <c r="D413"/>
      <c r="E413" s="11"/>
      <c r="F413"/>
      <c r="G413"/>
      <c r="H413"/>
    </row>
    <row r="414" spans="2:8">
      <c r="B414"/>
      <c r="C414"/>
      <c r="D414"/>
      <c r="E414" s="11"/>
      <c r="F414"/>
      <c r="G414"/>
      <c r="H414"/>
    </row>
    <row r="415" spans="2:8">
      <c r="B415"/>
      <c r="C415"/>
      <c r="D415"/>
      <c r="E415" s="11"/>
      <c r="F415"/>
      <c r="G415"/>
      <c r="H415"/>
    </row>
    <row r="416" spans="2:8">
      <c r="B416"/>
      <c r="C416"/>
      <c r="D416"/>
      <c r="E416" s="11"/>
      <c r="F416"/>
      <c r="G416"/>
      <c r="H416"/>
    </row>
    <row r="417" spans="2:8">
      <c r="B417"/>
      <c r="C417"/>
      <c r="D417"/>
      <c r="E417" s="11"/>
      <c r="F417"/>
      <c r="G417"/>
      <c r="H417"/>
    </row>
    <row r="418" spans="2:8">
      <c r="B418"/>
      <c r="C418"/>
      <c r="D418"/>
      <c r="E418" s="11"/>
      <c r="F418"/>
      <c r="G418"/>
      <c r="H418"/>
    </row>
    <row r="419" spans="2:8">
      <c r="B419"/>
      <c r="C419"/>
      <c r="D419"/>
      <c r="E419" s="11"/>
      <c r="F419"/>
      <c r="G419"/>
      <c r="H419"/>
    </row>
    <row r="420" spans="2:8">
      <c r="B420"/>
      <c r="C420"/>
      <c r="D420"/>
      <c r="E420" s="11"/>
      <c r="F420"/>
      <c r="G420"/>
      <c r="H420"/>
    </row>
    <row r="421" spans="2:8">
      <c r="B421"/>
      <c r="C421"/>
      <c r="D421"/>
      <c r="E421" s="11"/>
      <c r="F421"/>
      <c r="G421"/>
      <c r="H421"/>
    </row>
    <row r="422" spans="2:8">
      <c r="B422"/>
      <c r="C422"/>
      <c r="D422"/>
      <c r="E422" s="11"/>
      <c r="F422"/>
      <c r="G422"/>
      <c r="H422"/>
    </row>
    <row r="423" spans="2:8">
      <c r="B423"/>
      <c r="C423"/>
      <c r="D423"/>
      <c r="E423" s="11"/>
      <c r="F423"/>
      <c r="G423"/>
      <c r="H423"/>
    </row>
    <row r="424" spans="2:8">
      <c r="B424"/>
      <c r="C424"/>
      <c r="D424"/>
      <c r="E424" s="11"/>
      <c r="F424"/>
      <c r="G424"/>
      <c r="H424"/>
    </row>
    <row r="425" spans="2:8">
      <c r="B425"/>
      <c r="C425"/>
      <c r="D425"/>
      <c r="E425" s="11"/>
      <c r="F425"/>
      <c r="G425"/>
      <c r="H425"/>
    </row>
    <row r="426" spans="2:8">
      <c r="B426"/>
      <c r="C426"/>
      <c r="D426"/>
      <c r="E426" s="11"/>
      <c r="F426"/>
      <c r="G426"/>
      <c r="H426"/>
    </row>
    <row r="427" spans="2:8">
      <c r="B427"/>
      <c r="C427"/>
      <c r="D427"/>
      <c r="E427" s="11"/>
      <c r="F427"/>
      <c r="G427"/>
      <c r="H427"/>
    </row>
    <row r="428" spans="2:8">
      <c r="B428"/>
      <c r="C428"/>
      <c r="D428"/>
      <c r="E428" s="11"/>
      <c r="F428"/>
      <c r="G428"/>
      <c r="H428"/>
    </row>
    <row r="429" spans="2:8">
      <c r="B429"/>
      <c r="C429"/>
      <c r="D429"/>
      <c r="E429" s="11"/>
      <c r="F429"/>
      <c r="G429"/>
      <c r="H429"/>
    </row>
    <row r="430" spans="2:8">
      <c r="B430"/>
      <c r="C430"/>
      <c r="D430"/>
      <c r="E430" s="11"/>
      <c r="F430"/>
      <c r="G430"/>
      <c r="H430"/>
    </row>
    <row r="431" spans="2:8">
      <c r="B431"/>
      <c r="C431"/>
      <c r="D431"/>
      <c r="E431" s="11"/>
      <c r="F431"/>
      <c r="G431"/>
      <c r="H431"/>
    </row>
    <row r="432" spans="2:8">
      <c r="B432"/>
      <c r="C432"/>
      <c r="D432"/>
      <c r="E432" s="11"/>
      <c r="F432"/>
      <c r="G432"/>
      <c r="H432"/>
    </row>
    <row r="433" spans="2:8">
      <c r="B433"/>
      <c r="C433"/>
      <c r="D433"/>
      <c r="E433" s="11"/>
      <c r="F433"/>
      <c r="G433"/>
      <c r="H433"/>
    </row>
    <row r="434" spans="2:8">
      <c r="B434"/>
      <c r="C434"/>
      <c r="D434"/>
      <c r="E434" s="11"/>
      <c r="F434"/>
      <c r="G434"/>
      <c r="H434"/>
    </row>
    <row r="435" spans="2:8">
      <c r="B435"/>
      <c r="C435"/>
      <c r="D435"/>
      <c r="E435" s="11"/>
      <c r="F435"/>
      <c r="G435"/>
      <c r="H435"/>
    </row>
    <row r="436" spans="2:8">
      <c r="B436"/>
      <c r="C436"/>
      <c r="D436"/>
      <c r="E436" s="11"/>
      <c r="F436"/>
      <c r="G436"/>
      <c r="H436"/>
    </row>
    <row r="437" spans="2:8">
      <c r="B437"/>
      <c r="C437"/>
      <c r="D437"/>
      <c r="E437" s="11"/>
      <c r="F437"/>
      <c r="G437"/>
      <c r="H437"/>
    </row>
    <row r="438" spans="2:8">
      <c r="B438"/>
      <c r="C438"/>
      <c r="D438"/>
      <c r="E438" s="11"/>
      <c r="F438"/>
      <c r="G438"/>
      <c r="H438"/>
    </row>
    <row r="439" spans="2:8">
      <c r="B439"/>
      <c r="C439"/>
      <c r="D439"/>
      <c r="E439" s="11"/>
      <c r="F439"/>
      <c r="G439"/>
      <c r="H439"/>
    </row>
    <row r="440" spans="2:8">
      <c r="B440"/>
      <c r="C440"/>
      <c r="D440"/>
      <c r="E440" s="11"/>
      <c r="F440"/>
      <c r="G440"/>
      <c r="H440"/>
    </row>
    <row r="441" spans="2:8">
      <c r="B441"/>
      <c r="C441"/>
      <c r="D441"/>
      <c r="E441" s="11"/>
      <c r="F441"/>
      <c r="G441"/>
      <c r="H441"/>
    </row>
    <row r="442" spans="2:8">
      <c r="B442"/>
      <c r="C442"/>
      <c r="D442"/>
      <c r="E442" s="11"/>
      <c r="F442"/>
      <c r="G442"/>
      <c r="H442"/>
    </row>
    <row r="443" spans="2:8">
      <c r="B443"/>
      <c r="C443"/>
      <c r="D443"/>
      <c r="E443" s="11"/>
      <c r="F443"/>
      <c r="G443"/>
      <c r="H443"/>
    </row>
    <row r="444" spans="2:8">
      <c r="B444"/>
      <c r="C444"/>
      <c r="D444"/>
      <c r="E444" s="11"/>
      <c r="F444"/>
      <c r="G444"/>
      <c r="H444"/>
    </row>
    <row r="445" spans="2:8">
      <c r="B445"/>
      <c r="C445"/>
      <c r="D445"/>
      <c r="E445" s="11"/>
      <c r="F445"/>
      <c r="G445"/>
      <c r="H445"/>
    </row>
    <row r="446" spans="2:8">
      <c r="B446"/>
      <c r="C446"/>
      <c r="D446"/>
      <c r="E446" s="11"/>
      <c r="F446"/>
      <c r="G446"/>
      <c r="H446"/>
    </row>
    <row r="447" spans="2:8">
      <c r="B447"/>
      <c r="C447"/>
      <c r="D447"/>
      <c r="E447" s="11"/>
      <c r="F447"/>
      <c r="G447"/>
      <c r="H447"/>
    </row>
    <row r="448" spans="2:8">
      <c r="B448"/>
      <c r="C448"/>
      <c r="D448"/>
      <c r="E448" s="11"/>
      <c r="F448"/>
      <c r="G448"/>
      <c r="H448"/>
    </row>
    <row r="449" spans="2:8">
      <c r="B449"/>
      <c r="C449"/>
      <c r="D449"/>
      <c r="E449" s="11"/>
      <c r="F449"/>
      <c r="G449"/>
      <c r="H449"/>
    </row>
    <row r="450" spans="2:8">
      <c r="B450"/>
      <c r="C450"/>
      <c r="D450"/>
      <c r="E450" s="11"/>
      <c r="F450"/>
      <c r="G450"/>
      <c r="H450"/>
    </row>
    <row r="451" spans="2:8">
      <c r="B451"/>
      <c r="C451"/>
      <c r="D451"/>
      <c r="E451" s="11"/>
      <c r="F451"/>
      <c r="G451"/>
      <c r="H451"/>
    </row>
    <row r="452" spans="2:8">
      <c r="B452"/>
      <c r="C452"/>
      <c r="D452"/>
      <c r="E452" s="11"/>
      <c r="F452"/>
      <c r="G452"/>
      <c r="H452"/>
    </row>
    <row r="453" spans="2:8">
      <c r="B453"/>
      <c r="C453"/>
      <c r="D453"/>
      <c r="E453" s="11"/>
      <c r="F453"/>
      <c r="G453"/>
      <c r="H453"/>
    </row>
    <row r="454" spans="2:8">
      <c r="B454"/>
      <c r="C454"/>
      <c r="D454"/>
      <c r="E454" s="11"/>
      <c r="F454"/>
      <c r="G454"/>
      <c r="H454"/>
    </row>
    <row r="455" spans="2:8">
      <c r="B455"/>
      <c r="C455"/>
      <c r="D455"/>
      <c r="E455" s="11"/>
      <c r="F455"/>
      <c r="G455"/>
      <c r="H455"/>
    </row>
    <row r="456" spans="2:8">
      <c r="B456"/>
      <c r="C456"/>
      <c r="D456"/>
      <c r="E456" s="11"/>
      <c r="F456"/>
      <c r="G456"/>
      <c r="H456"/>
    </row>
    <row r="457" spans="2:8">
      <c r="B457"/>
      <c r="C457"/>
      <c r="D457"/>
      <c r="E457" s="11"/>
      <c r="F457"/>
      <c r="G457"/>
      <c r="H457"/>
    </row>
    <row r="458" spans="2:8">
      <c r="B458"/>
      <c r="C458"/>
      <c r="D458"/>
      <c r="E458" s="11"/>
      <c r="F458"/>
      <c r="G458"/>
      <c r="H458"/>
    </row>
    <row r="459" spans="2:8">
      <c r="B459"/>
      <c r="C459"/>
      <c r="D459"/>
      <c r="E459" s="11"/>
      <c r="F459"/>
      <c r="G459"/>
      <c r="H459"/>
    </row>
    <row r="460" spans="2:8">
      <c r="B460"/>
      <c r="C460"/>
      <c r="D460"/>
      <c r="E460" s="11"/>
      <c r="F460"/>
      <c r="G460"/>
      <c r="H460"/>
    </row>
    <row r="461" spans="2:8">
      <c r="B461"/>
      <c r="C461"/>
      <c r="D461"/>
      <c r="E461" s="11"/>
      <c r="F461"/>
      <c r="G461"/>
      <c r="H461"/>
    </row>
    <row r="462" spans="2:8">
      <c r="B462"/>
      <c r="C462"/>
      <c r="D462"/>
      <c r="E462" s="11"/>
      <c r="F462"/>
      <c r="G462"/>
      <c r="H462"/>
    </row>
    <row r="463" spans="2:8">
      <c r="B463"/>
      <c r="C463"/>
      <c r="D463"/>
      <c r="E463" s="11"/>
      <c r="F463"/>
      <c r="G463"/>
      <c r="H463"/>
    </row>
    <row r="464" spans="2:8">
      <c r="B464"/>
      <c r="C464"/>
      <c r="D464"/>
      <c r="E464" s="11"/>
      <c r="F464"/>
      <c r="G464"/>
      <c r="H464"/>
    </row>
    <row r="465" spans="2:8">
      <c r="B465"/>
      <c r="C465"/>
      <c r="D465"/>
      <c r="E465" s="11"/>
      <c r="F465"/>
      <c r="G465"/>
      <c r="H465"/>
    </row>
    <row r="466" spans="2:8">
      <c r="B466"/>
      <c r="C466"/>
      <c r="D466"/>
      <c r="E466" s="11"/>
      <c r="F466"/>
      <c r="G466"/>
      <c r="H466"/>
    </row>
    <row r="467" spans="2:8">
      <c r="B467"/>
      <c r="C467"/>
      <c r="D467"/>
      <c r="E467" s="11"/>
      <c r="F467"/>
      <c r="G467"/>
      <c r="H467"/>
    </row>
    <row r="468" spans="2:8">
      <c r="B468"/>
      <c r="C468"/>
      <c r="D468"/>
      <c r="E468" s="11"/>
      <c r="F468"/>
      <c r="G468"/>
      <c r="H468"/>
    </row>
    <row r="469" spans="2:8">
      <c r="B469"/>
      <c r="C469"/>
      <c r="D469"/>
      <c r="E469" s="11"/>
      <c r="F469"/>
      <c r="G469"/>
      <c r="H469"/>
    </row>
    <row r="470" spans="2:8">
      <c r="B470"/>
      <c r="C470"/>
      <c r="D470"/>
      <c r="E470" s="11"/>
      <c r="F470"/>
      <c r="G470"/>
      <c r="H470"/>
    </row>
    <row r="471" spans="2:8">
      <c r="B471"/>
      <c r="C471"/>
      <c r="D471"/>
      <c r="E471" s="11"/>
      <c r="F471"/>
      <c r="G471"/>
      <c r="H471"/>
    </row>
    <row r="472" spans="2:8">
      <c r="B472"/>
      <c r="C472"/>
      <c r="D472"/>
      <c r="E472" s="11"/>
      <c r="F472"/>
      <c r="G472"/>
      <c r="H472"/>
    </row>
    <row r="473" spans="2:8">
      <c r="B473"/>
      <c r="C473"/>
      <c r="D473"/>
      <c r="E473" s="11"/>
      <c r="F473"/>
      <c r="G473"/>
      <c r="H473"/>
    </row>
    <row r="474" spans="2:8">
      <c r="B474"/>
      <c r="C474"/>
      <c r="D474"/>
      <c r="E474" s="11"/>
      <c r="F474"/>
      <c r="G474"/>
      <c r="H474"/>
    </row>
    <row r="475" spans="2:8">
      <c r="B475"/>
      <c r="C475"/>
      <c r="D475"/>
      <c r="E475" s="11"/>
      <c r="F475"/>
      <c r="G475"/>
      <c r="H475"/>
    </row>
    <row r="476" spans="2:8">
      <c r="B476"/>
      <c r="C476"/>
      <c r="D476"/>
      <c r="E476" s="11"/>
      <c r="F476"/>
      <c r="G476"/>
      <c r="H476"/>
    </row>
    <row r="477" spans="2:8">
      <c r="B477"/>
      <c r="C477"/>
      <c r="D477"/>
      <c r="E477" s="11"/>
      <c r="F477"/>
      <c r="G477"/>
      <c r="H477"/>
    </row>
    <row r="478" spans="2:8">
      <c r="B478"/>
      <c r="C478"/>
      <c r="D478"/>
      <c r="E478" s="11"/>
      <c r="F478"/>
      <c r="G478"/>
      <c r="H478"/>
    </row>
    <row r="479" spans="2:8">
      <c r="B479"/>
      <c r="C479"/>
      <c r="D479"/>
      <c r="E479" s="11"/>
      <c r="F479"/>
      <c r="G479"/>
      <c r="H479"/>
    </row>
    <row r="480" spans="2:8">
      <c r="B480"/>
      <c r="C480"/>
      <c r="D480"/>
      <c r="E480" s="11"/>
      <c r="F480"/>
      <c r="G480"/>
      <c r="H480"/>
    </row>
    <row r="481" spans="2:8">
      <c r="B481"/>
      <c r="C481"/>
      <c r="D481"/>
      <c r="E481" s="11"/>
      <c r="F481"/>
      <c r="G481"/>
      <c r="H481"/>
    </row>
    <row r="482" spans="2:8">
      <c r="B482"/>
      <c r="C482"/>
      <c r="D482"/>
      <c r="E482" s="11"/>
      <c r="F482"/>
      <c r="G482"/>
      <c r="H482"/>
    </row>
    <row r="483" spans="2:8">
      <c r="B483"/>
      <c r="C483"/>
      <c r="D483"/>
      <c r="E483" s="11"/>
      <c r="F483"/>
      <c r="G483"/>
      <c r="H483"/>
    </row>
    <row r="484" spans="2:8">
      <c r="B484"/>
      <c r="C484"/>
      <c r="D484"/>
      <c r="E484" s="11"/>
      <c r="F484"/>
      <c r="G484"/>
      <c r="H484"/>
    </row>
    <row r="485" spans="2:8">
      <c r="B485"/>
      <c r="C485"/>
      <c r="D485"/>
      <c r="E485" s="11"/>
      <c r="F485"/>
      <c r="G485"/>
      <c r="H485"/>
    </row>
    <row r="486" spans="2:8">
      <c r="B486"/>
      <c r="C486"/>
      <c r="D486"/>
      <c r="E486" s="11"/>
      <c r="F486"/>
      <c r="G486"/>
      <c r="H486"/>
    </row>
    <row r="487" spans="2:8">
      <c r="B487"/>
      <c r="C487"/>
      <c r="D487"/>
      <c r="E487" s="11"/>
      <c r="F487"/>
      <c r="G487"/>
      <c r="H487"/>
    </row>
    <row r="488" spans="2:8">
      <c r="B488"/>
      <c r="C488"/>
      <c r="D488"/>
      <c r="E488" s="11"/>
      <c r="F488"/>
      <c r="G488"/>
      <c r="H488"/>
    </row>
    <row r="489" spans="2:8">
      <c r="B489"/>
      <c r="C489"/>
      <c r="D489"/>
      <c r="E489" s="11"/>
      <c r="F489"/>
      <c r="G489"/>
      <c r="H489"/>
    </row>
    <row r="490" spans="2:8">
      <c r="B490"/>
      <c r="C490"/>
      <c r="D490"/>
      <c r="E490" s="11"/>
      <c r="F490"/>
      <c r="G490"/>
      <c r="H490"/>
    </row>
    <row r="491" spans="2:8">
      <c r="B491"/>
      <c r="C491"/>
      <c r="D491"/>
      <c r="E491" s="11"/>
      <c r="F491"/>
      <c r="G491"/>
      <c r="H491"/>
    </row>
    <row r="492" spans="2:8">
      <c r="B492"/>
      <c r="C492"/>
      <c r="D492"/>
      <c r="E492" s="11"/>
      <c r="F492"/>
      <c r="G492"/>
      <c r="H492"/>
    </row>
    <row r="493" spans="2:8">
      <c r="B493"/>
      <c r="C493"/>
      <c r="D493"/>
      <c r="E493" s="11"/>
      <c r="F493"/>
      <c r="G493"/>
      <c r="H493"/>
    </row>
    <row r="494" spans="2:8">
      <c r="B494"/>
      <c r="C494"/>
      <c r="D494"/>
      <c r="E494" s="11"/>
      <c r="F494"/>
      <c r="G494"/>
      <c r="H494"/>
    </row>
    <row r="495" spans="2:8">
      <c r="B495"/>
      <c r="C495"/>
      <c r="D495"/>
      <c r="E495" s="11"/>
      <c r="F495"/>
      <c r="G495"/>
      <c r="H495"/>
    </row>
    <row r="496" spans="2:8">
      <c r="B496"/>
      <c r="C496"/>
      <c r="D496"/>
      <c r="E496" s="11"/>
      <c r="F496"/>
      <c r="G496"/>
      <c r="H496"/>
    </row>
    <row r="497" spans="2:8">
      <c r="B497"/>
      <c r="C497"/>
      <c r="D497"/>
      <c r="E497" s="11"/>
      <c r="F497"/>
      <c r="G497"/>
      <c r="H497"/>
    </row>
    <row r="498" spans="2:8">
      <c r="B498"/>
      <c r="C498"/>
      <c r="D498"/>
      <c r="E498" s="11"/>
      <c r="F498"/>
      <c r="G498"/>
      <c r="H498"/>
    </row>
    <row r="499" spans="2:8">
      <c r="B499"/>
      <c r="C499"/>
      <c r="D499"/>
      <c r="E499" s="11"/>
      <c r="F499"/>
      <c r="G499"/>
      <c r="H499"/>
    </row>
    <row r="500" spans="2:8">
      <c r="B500"/>
      <c r="C500"/>
      <c r="D500"/>
      <c r="E500" s="11"/>
      <c r="F500"/>
      <c r="G500"/>
      <c r="H500"/>
    </row>
    <row r="501" spans="2:8">
      <c r="B501"/>
      <c r="C501"/>
      <c r="D501"/>
      <c r="E501" s="11"/>
      <c r="F501"/>
      <c r="G501"/>
      <c r="H501"/>
    </row>
    <row r="502" spans="2:8">
      <c r="B502"/>
      <c r="C502"/>
      <c r="D502"/>
      <c r="E502" s="11"/>
      <c r="F502"/>
      <c r="G502"/>
      <c r="H502"/>
    </row>
    <row r="503" spans="2:8">
      <c r="B503"/>
      <c r="C503"/>
      <c r="D503"/>
      <c r="E503" s="11"/>
      <c r="F503"/>
      <c r="G503"/>
      <c r="H503"/>
    </row>
    <row r="504" spans="2:8">
      <c r="B504"/>
      <c r="C504"/>
      <c r="D504"/>
      <c r="E504" s="11"/>
      <c r="F504"/>
      <c r="G504"/>
      <c r="H504"/>
    </row>
    <row r="505" spans="2:8">
      <c r="B505"/>
      <c r="C505"/>
      <c r="D505"/>
      <c r="E505" s="11"/>
      <c r="F505"/>
      <c r="G505"/>
      <c r="H505"/>
    </row>
    <row r="506" spans="2:8">
      <c r="B506"/>
      <c r="C506"/>
      <c r="D506"/>
      <c r="E506" s="11"/>
      <c r="F506"/>
      <c r="G506"/>
      <c r="H506"/>
    </row>
    <row r="507" spans="2:8">
      <c r="B507"/>
      <c r="C507"/>
      <c r="D507"/>
      <c r="E507" s="11"/>
      <c r="F507"/>
      <c r="G507"/>
      <c r="H507"/>
    </row>
    <row r="508" spans="2:8">
      <c r="B508"/>
      <c r="C508"/>
      <c r="D508"/>
      <c r="E508" s="11"/>
      <c r="F508"/>
      <c r="G508"/>
      <c r="H508"/>
    </row>
    <row r="509" spans="2:8">
      <c r="B509"/>
      <c r="C509"/>
      <c r="D509"/>
      <c r="E509" s="11"/>
      <c r="F509"/>
      <c r="G509"/>
      <c r="H509"/>
    </row>
    <row r="510" spans="2:8">
      <c r="B510"/>
      <c r="C510"/>
      <c r="D510"/>
      <c r="E510" s="11"/>
      <c r="F510"/>
      <c r="G510"/>
      <c r="H510"/>
    </row>
    <row r="511" spans="2:8">
      <c r="B511"/>
      <c r="C511"/>
      <c r="D511"/>
      <c r="E511" s="11"/>
      <c r="F511"/>
      <c r="G511"/>
      <c r="H511"/>
    </row>
    <row r="512" spans="2:8">
      <c r="B512"/>
      <c r="C512"/>
      <c r="D512"/>
      <c r="E512" s="11"/>
      <c r="F512"/>
      <c r="G512"/>
      <c r="H512"/>
    </row>
    <row r="513" spans="2:8">
      <c r="B513"/>
      <c r="C513"/>
      <c r="D513"/>
      <c r="E513" s="11"/>
      <c r="F513"/>
      <c r="G513"/>
      <c r="H513"/>
    </row>
    <row r="514" spans="2:8">
      <c r="B514"/>
      <c r="C514"/>
      <c r="D514"/>
      <c r="E514" s="11"/>
      <c r="F514"/>
      <c r="G514"/>
      <c r="H514"/>
    </row>
    <row r="515" spans="2:8">
      <c r="B515"/>
      <c r="C515"/>
      <c r="D515"/>
      <c r="E515" s="11"/>
      <c r="F515"/>
      <c r="G515"/>
      <c r="H515"/>
    </row>
    <row r="516" spans="2:8">
      <c r="B516"/>
      <c r="C516"/>
      <c r="D516"/>
      <c r="E516" s="11"/>
      <c r="F516"/>
      <c r="G516"/>
      <c r="H516"/>
    </row>
    <row r="517" spans="2:8">
      <c r="B517"/>
      <c r="C517"/>
      <c r="D517"/>
      <c r="E517" s="11"/>
      <c r="F517"/>
      <c r="G517"/>
      <c r="H517"/>
    </row>
    <row r="518" spans="2:8">
      <c r="B518"/>
      <c r="C518"/>
      <c r="D518"/>
      <c r="E518" s="11"/>
      <c r="F518"/>
      <c r="G518"/>
      <c r="H518"/>
    </row>
    <row r="519" spans="2:8">
      <c r="B519"/>
      <c r="C519"/>
      <c r="D519"/>
      <c r="E519" s="11"/>
      <c r="F519"/>
      <c r="G519"/>
      <c r="H519"/>
    </row>
    <row r="520" spans="2:8">
      <c r="B520"/>
      <c r="C520"/>
      <c r="D520"/>
      <c r="E520" s="11"/>
      <c r="F520"/>
      <c r="G520"/>
      <c r="H520"/>
    </row>
    <row r="521" spans="2:8">
      <c r="B521"/>
      <c r="C521"/>
      <c r="D521"/>
      <c r="E521" s="11"/>
      <c r="F521"/>
      <c r="G521"/>
      <c r="H521"/>
    </row>
    <row r="522" spans="2:8">
      <c r="B522"/>
      <c r="C522"/>
      <c r="D522"/>
      <c r="E522" s="11"/>
      <c r="F522"/>
      <c r="G522"/>
      <c r="H522"/>
    </row>
    <row r="523" spans="2:8">
      <c r="B523"/>
      <c r="C523"/>
      <c r="D523"/>
      <c r="E523" s="11"/>
      <c r="F523"/>
      <c r="G523"/>
      <c r="H523"/>
    </row>
    <row r="524" spans="2:8">
      <c r="B524"/>
      <c r="C524"/>
      <c r="D524"/>
      <c r="E524" s="11"/>
      <c r="F524"/>
      <c r="G524"/>
      <c r="H524"/>
    </row>
    <row r="525" spans="2:8">
      <c r="B525"/>
      <c r="C525"/>
      <c r="D525"/>
      <c r="E525" s="11"/>
      <c r="F525"/>
      <c r="G525"/>
      <c r="H525"/>
    </row>
    <row r="526" spans="2:8">
      <c r="B526"/>
      <c r="C526"/>
      <c r="D526"/>
      <c r="E526" s="11"/>
      <c r="F526"/>
      <c r="G526"/>
      <c r="H526"/>
    </row>
    <row r="527" spans="2:8">
      <c r="B527"/>
      <c r="C527"/>
      <c r="D527"/>
      <c r="E527" s="11"/>
      <c r="F527"/>
      <c r="G527"/>
      <c r="H527"/>
    </row>
    <row r="528" spans="2:8">
      <c r="B528"/>
      <c r="C528"/>
      <c r="D528"/>
      <c r="E528" s="11"/>
      <c r="F528"/>
      <c r="G528"/>
      <c r="H528"/>
    </row>
    <row r="529" spans="2:8">
      <c r="B529"/>
      <c r="C529"/>
      <c r="D529"/>
      <c r="E529" s="11"/>
      <c r="F529"/>
      <c r="G529"/>
      <c r="H529"/>
    </row>
    <row r="530" spans="2:8">
      <c r="B530"/>
      <c r="C530"/>
      <c r="D530"/>
      <c r="E530" s="11"/>
      <c r="F530"/>
      <c r="G530"/>
      <c r="H530"/>
    </row>
    <row r="531" spans="2:8">
      <c r="B531"/>
      <c r="C531"/>
      <c r="D531"/>
      <c r="E531" s="11"/>
      <c r="F531"/>
      <c r="G531"/>
      <c r="H531"/>
    </row>
    <row r="532" spans="2:8">
      <c r="B532"/>
      <c r="C532"/>
      <c r="D532"/>
      <c r="E532" s="11"/>
      <c r="F532"/>
      <c r="G532"/>
      <c r="H532"/>
    </row>
    <row r="533" spans="2:8">
      <c r="B533"/>
      <c r="C533"/>
      <c r="D533"/>
      <c r="E533" s="11"/>
      <c r="F533"/>
      <c r="G533"/>
      <c r="H533"/>
    </row>
    <row r="534" spans="2:8">
      <c r="B534"/>
      <c r="C534"/>
      <c r="D534"/>
      <c r="E534" s="11"/>
      <c r="F534"/>
      <c r="G534"/>
      <c r="H534"/>
    </row>
    <row r="535" spans="2:8">
      <c r="B535"/>
      <c r="C535"/>
      <c r="D535"/>
      <c r="E535" s="11"/>
      <c r="F535"/>
      <c r="G535"/>
      <c r="H535"/>
    </row>
    <row r="536" spans="2:8">
      <c r="B536"/>
      <c r="C536"/>
      <c r="D536"/>
      <c r="E536" s="11"/>
      <c r="F536"/>
      <c r="G536"/>
      <c r="H536"/>
    </row>
    <row r="537" spans="2:8">
      <c r="B537"/>
      <c r="C537"/>
      <c r="D537"/>
      <c r="E537" s="11"/>
      <c r="F537"/>
      <c r="G537"/>
      <c r="H537"/>
    </row>
    <row r="538" spans="2:8">
      <c r="B538"/>
      <c r="C538"/>
      <c r="D538"/>
      <c r="E538" s="11"/>
      <c r="F538"/>
      <c r="G538"/>
      <c r="H538"/>
    </row>
    <row r="539" spans="2:8">
      <c r="B539"/>
      <c r="C539"/>
      <c r="D539"/>
      <c r="E539" s="11"/>
      <c r="F539"/>
      <c r="G539"/>
      <c r="H539"/>
    </row>
    <row r="540" spans="2:8">
      <c r="B540"/>
      <c r="C540"/>
      <c r="D540"/>
      <c r="E540" s="11"/>
      <c r="F540"/>
      <c r="G540"/>
      <c r="H540"/>
    </row>
    <row r="541" spans="2:8">
      <c r="B541"/>
      <c r="C541"/>
      <c r="D541"/>
      <c r="E541" s="11"/>
      <c r="F541"/>
      <c r="G541"/>
      <c r="H541"/>
    </row>
    <row r="542" spans="2:8">
      <c r="B542"/>
      <c r="C542"/>
      <c r="D542"/>
      <c r="E542" s="11"/>
      <c r="F542"/>
      <c r="G542"/>
      <c r="H542"/>
    </row>
    <row r="543" spans="2:8">
      <c r="B543"/>
      <c r="C543"/>
      <c r="D543"/>
      <c r="E543" s="11"/>
      <c r="F543"/>
      <c r="G543"/>
      <c r="H543"/>
    </row>
    <row r="544" spans="2:8">
      <c r="B544"/>
      <c r="C544"/>
      <c r="D544"/>
      <c r="E544" s="11"/>
      <c r="F544"/>
      <c r="G544"/>
    </row>
    <row r="545" spans="2:7">
      <c r="B545"/>
      <c r="C545"/>
      <c r="D545"/>
      <c r="E545" s="11"/>
      <c r="F545"/>
      <c r="G545"/>
    </row>
    <row r="546" spans="2:7">
      <c r="B546"/>
      <c r="C546"/>
      <c r="D546"/>
      <c r="E546" s="11"/>
    </row>
  </sheetData>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sheetPr>
  <dimension ref="A1:BS18"/>
  <sheetViews>
    <sheetView workbookViewId="0">
      <selection activeCell="E12" sqref="E12"/>
    </sheetView>
  </sheetViews>
  <sheetFormatPr defaultRowHeight="15"/>
  <cols>
    <col min="1" max="2" width="9.140625" style="96"/>
    <col min="3" max="3" width="13.28515625" style="96" bestFit="1" customWidth="1"/>
    <col min="4" max="36" width="4.7109375" style="96" customWidth="1"/>
    <col min="37" max="72" width="3.42578125" style="96" customWidth="1"/>
    <col min="73" max="16384" width="9.140625" style="96"/>
  </cols>
  <sheetData>
    <row r="1" spans="1:71">
      <c r="A1" s="56" t="s">
        <v>5</v>
      </c>
      <c r="B1" s="56" t="s">
        <v>88</v>
      </c>
      <c r="C1" s="98"/>
    </row>
    <row r="2" spans="1:71">
      <c r="A2" s="100"/>
      <c r="B2" s="100"/>
      <c r="C2" s="9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c r="AI2" s="99"/>
      <c r="AJ2" s="99"/>
    </row>
    <row r="3" spans="1:71">
      <c r="A3" s="56" t="s">
        <v>139</v>
      </c>
      <c r="B3" s="56"/>
      <c r="C3" s="56"/>
      <c r="D3" s="56" t="s">
        <v>130</v>
      </c>
      <c r="E3" s="21"/>
      <c r="F3" s="21"/>
      <c r="G3" s="21"/>
      <c r="H3" s="21"/>
      <c r="I3" s="21"/>
      <c r="J3" s="21"/>
      <c r="K3" s="21"/>
      <c r="L3" s="21"/>
      <c r="M3" s="21"/>
      <c r="N3"/>
      <c r="O3"/>
      <c r="P3"/>
      <c r="Q3"/>
      <c r="R3"/>
      <c r="S3"/>
      <c r="T3"/>
      <c r="U3"/>
      <c r="V3"/>
      <c r="W3"/>
      <c r="X3"/>
      <c r="Y3"/>
      <c r="Z3"/>
      <c r="AA3"/>
      <c r="AB3"/>
      <c r="AC3"/>
      <c r="AD3"/>
      <c r="AE3"/>
      <c r="AF3"/>
      <c r="AG3"/>
      <c r="AH3"/>
      <c r="AI3"/>
      <c r="AJ3"/>
      <c r="AK3" s="98"/>
    </row>
    <row r="4" spans="1:71">
      <c r="A4" s="56" t="s">
        <v>52</v>
      </c>
      <c r="B4" s="56" t="s">
        <v>37</v>
      </c>
      <c r="C4" s="48" t="s">
        <v>36</v>
      </c>
      <c r="D4" s="56">
        <v>2</v>
      </c>
      <c r="E4" s="56">
        <v>9</v>
      </c>
      <c r="F4" s="56">
        <v>12</v>
      </c>
      <c r="G4" s="56">
        <v>13</v>
      </c>
      <c r="H4" s="56">
        <v>17</v>
      </c>
      <c r="I4" s="56">
        <v>23</v>
      </c>
      <c r="J4" s="56">
        <v>24</v>
      </c>
      <c r="K4" s="56">
        <v>26</v>
      </c>
      <c r="L4" s="56">
        <v>27</v>
      </c>
      <c r="M4" s="21" t="s">
        <v>68</v>
      </c>
      <c r="N4"/>
      <c r="O4"/>
      <c r="P4"/>
      <c r="Q4"/>
      <c r="R4"/>
      <c r="S4"/>
      <c r="T4"/>
      <c r="U4"/>
      <c r="V4"/>
      <c r="W4"/>
      <c r="X4"/>
      <c r="Y4"/>
      <c r="Z4"/>
      <c r="AA4"/>
      <c r="AB4"/>
      <c r="AC4"/>
      <c r="AD4"/>
      <c r="AE4"/>
      <c r="AF4"/>
      <c r="AG4"/>
      <c r="AH4"/>
      <c r="AI4"/>
      <c r="AJ4"/>
      <c r="AK4" s="98"/>
    </row>
    <row r="5" spans="1:71">
      <c r="A5" s="56">
        <v>2016</v>
      </c>
      <c r="B5" s="56">
        <v>5</v>
      </c>
      <c r="C5" s="56" t="s">
        <v>50</v>
      </c>
      <c r="D5" s="79"/>
      <c r="E5" s="79"/>
      <c r="F5" s="79">
        <v>4</v>
      </c>
      <c r="G5" s="79">
        <v>3</v>
      </c>
      <c r="H5" s="79">
        <v>8</v>
      </c>
      <c r="I5" s="79">
        <v>7</v>
      </c>
      <c r="J5" s="79">
        <v>8</v>
      </c>
      <c r="K5" s="79">
        <v>8</v>
      </c>
      <c r="L5" s="79">
        <v>8</v>
      </c>
      <c r="M5" s="79">
        <v>46</v>
      </c>
      <c r="N5"/>
      <c r="O5"/>
      <c r="P5"/>
      <c r="Q5"/>
      <c r="R5"/>
      <c r="S5"/>
      <c r="T5"/>
      <c r="U5"/>
      <c r="V5"/>
      <c r="W5"/>
      <c r="X5"/>
      <c r="Y5"/>
      <c r="Z5"/>
      <c r="AA5"/>
      <c r="AB5"/>
      <c r="AC5"/>
      <c r="AD5"/>
      <c r="AE5"/>
      <c r="AF5"/>
      <c r="AG5"/>
      <c r="AH5"/>
      <c r="AI5"/>
      <c r="AJ5"/>
      <c r="AK5" s="98"/>
    </row>
    <row r="6" spans="1:71">
      <c r="A6" s="56">
        <v>2016</v>
      </c>
      <c r="B6" s="56">
        <v>5</v>
      </c>
      <c r="C6" s="56" t="s">
        <v>56</v>
      </c>
      <c r="D6" s="79"/>
      <c r="E6" s="79">
        <v>1</v>
      </c>
      <c r="F6" s="79">
        <v>3</v>
      </c>
      <c r="G6" s="79"/>
      <c r="H6" s="79"/>
      <c r="I6" s="79">
        <v>1</v>
      </c>
      <c r="J6" s="79"/>
      <c r="K6" s="79"/>
      <c r="L6" s="79"/>
      <c r="M6" s="79">
        <v>5</v>
      </c>
      <c r="N6"/>
      <c r="O6"/>
      <c r="P6"/>
      <c r="Q6"/>
      <c r="R6"/>
      <c r="S6"/>
      <c r="T6"/>
      <c r="U6"/>
      <c r="V6"/>
      <c r="W6"/>
      <c r="X6"/>
      <c r="Y6"/>
      <c r="Z6"/>
      <c r="AA6"/>
      <c r="AB6"/>
      <c r="AC6"/>
      <c r="AD6"/>
      <c r="AE6"/>
      <c r="AF6"/>
      <c r="AG6"/>
      <c r="AH6"/>
      <c r="AI6"/>
      <c r="AJ6"/>
      <c r="AK6" s="98"/>
    </row>
    <row r="7" spans="1:71">
      <c r="A7" s="56">
        <v>2016</v>
      </c>
      <c r="B7" s="56">
        <v>6</v>
      </c>
      <c r="C7" s="56" t="s">
        <v>50</v>
      </c>
      <c r="D7" s="79">
        <v>8</v>
      </c>
      <c r="E7" s="79"/>
      <c r="F7" s="79"/>
      <c r="G7" s="79"/>
      <c r="H7" s="79"/>
      <c r="I7" s="79"/>
      <c r="J7" s="79"/>
      <c r="K7" s="79"/>
      <c r="L7" s="79"/>
      <c r="M7" s="79">
        <v>8</v>
      </c>
      <c r="N7"/>
      <c r="O7"/>
      <c r="P7"/>
      <c r="Q7"/>
      <c r="R7"/>
      <c r="S7"/>
      <c r="T7"/>
      <c r="U7"/>
      <c r="V7"/>
      <c r="W7"/>
      <c r="X7"/>
      <c r="Y7"/>
      <c r="Z7"/>
      <c r="AA7"/>
      <c r="AB7"/>
      <c r="AC7"/>
      <c r="AD7"/>
      <c r="AE7"/>
      <c r="AF7"/>
      <c r="AG7"/>
      <c r="AH7"/>
      <c r="AI7"/>
      <c r="AJ7"/>
      <c r="AK7" s="98"/>
    </row>
    <row r="8" spans="1:71">
      <c r="A8" s="94" t="s">
        <v>68</v>
      </c>
      <c r="B8" s="94"/>
      <c r="C8" s="94"/>
      <c r="D8" s="95">
        <v>8</v>
      </c>
      <c r="E8" s="95">
        <v>1</v>
      </c>
      <c r="F8" s="95">
        <v>7</v>
      </c>
      <c r="G8" s="95">
        <v>3</v>
      </c>
      <c r="H8" s="95">
        <v>8</v>
      </c>
      <c r="I8" s="95">
        <v>8</v>
      </c>
      <c r="J8" s="95">
        <v>8</v>
      </c>
      <c r="K8" s="95">
        <v>8</v>
      </c>
      <c r="L8" s="95">
        <v>8</v>
      </c>
      <c r="M8" s="95">
        <v>59</v>
      </c>
      <c r="N8"/>
      <c r="O8"/>
      <c r="P8"/>
      <c r="Q8"/>
      <c r="R8"/>
      <c r="S8"/>
      <c r="T8"/>
      <c r="U8"/>
      <c r="V8"/>
      <c r="W8"/>
      <c r="X8"/>
      <c r="Y8"/>
      <c r="Z8"/>
      <c r="AA8"/>
      <c r="AB8"/>
      <c r="AC8"/>
      <c r="AD8"/>
      <c r="AE8"/>
      <c r="AF8"/>
      <c r="AG8"/>
      <c r="AH8"/>
      <c r="AI8"/>
      <c r="AJ8"/>
      <c r="AK8" s="98"/>
    </row>
    <row r="9" spans="1:71">
      <c r="A9"/>
      <c r="B9"/>
      <c r="C9"/>
      <c r="D9"/>
      <c r="E9"/>
      <c r="F9"/>
      <c r="G9"/>
      <c r="H9"/>
      <c r="I9"/>
      <c r="J9"/>
      <c r="K9"/>
      <c r="L9"/>
      <c r="M9"/>
      <c r="N9"/>
      <c r="O9"/>
      <c r="P9"/>
      <c r="Q9"/>
      <c r="R9"/>
      <c r="S9"/>
      <c r="T9"/>
      <c r="U9"/>
      <c r="V9"/>
      <c r="W9"/>
      <c r="X9"/>
      <c r="Y9"/>
      <c r="Z9"/>
      <c r="AA9"/>
      <c r="AB9"/>
      <c r="AC9"/>
      <c r="AD9"/>
      <c r="AE9"/>
      <c r="AF9"/>
      <c r="AG9"/>
      <c r="AH9"/>
      <c r="AI9"/>
      <c r="AJ9"/>
      <c r="AK9" s="98"/>
    </row>
    <row r="10" spans="1:71">
      <c r="A10"/>
      <c r="B10"/>
      <c r="C10"/>
      <c r="D10"/>
      <c r="E10"/>
      <c r="F10"/>
      <c r="G10"/>
      <c r="H10"/>
      <c r="I10"/>
      <c r="J10"/>
      <c r="K10"/>
      <c r="L10"/>
      <c r="M10"/>
      <c r="N10"/>
      <c r="O10"/>
      <c r="P10"/>
      <c r="Q10"/>
      <c r="R10"/>
      <c r="S10"/>
      <c r="T10"/>
      <c r="U10"/>
      <c r="V10"/>
      <c r="W10"/>
      <c r="X10"/>
      <c r="Y10"/>
      <c r="Z10"/>
      <c r="AA10"/>
      <c r="AB10"/>
      <c r="AC10"/>
      <c r="AD10"/>
      <c r="AE10"/>
      <c r="AF10"/>
      <c r="AG10"/>
      <c r="AH10"/>
      <c r="AI10"/>
      <c r="AJ10"/>
      <c r="AK10" s="98"/>
    </row>
    <row r="11" spans="1:71">
      <c r="A11"/>
      <c r="B11"/>
      <c r="C11"/>
      <c r="D11"/>
      <c r="E11"/>
      <c r="F11"/>
      <c r="G11"/>
      <c r="H11"/>
      <c r="I11"/>
      <c r="J11"/>
      <c r="K11"/>
      <c r="L11"/>
      <c r="M11"/>
      <c r="N11"/>
      <c r="O11"/>
      <c r="P11"/>
      <c r="Q11"/>
      <c r="R11"/>
      <c r="S11"/>
      <c r="T11"/>
      <c r="U11"/>
      <c r="V11"/>
      <c r="W11"/>
      <c r="X11"/>
      <c r="Y11"/>
      <c r="Z11"/>
      <c r="AA11"/>
      <c r="AB11"/>
      <c r="AC11"/>
      <c r="AD11"/>
      <c r="AE11"/>
      <c r="AF11"/>
      <c r="AG11"/>
      <c r="AH11"/>
      <c r="AI11"/>
      <c r="AJ11"/>
      <c r="AK11" s="98"/>
    </row>
    <row r="12" spans="1:71">
      <c r="A12"/>
      <c r="B12"/>
      <c r="C12"/>
      <c r="D12"/>
      <c r="E12"/>
      <c r="F12"/>
      <c r="G12"/>
      <c r="H12"/>
      <c r="I12"/>
      <c r="J12"/>
      <c r="K12"/>
      <c r="L12"/>
      <c r="M12"/>
      <c r="N12"/>
      <c r="O12"/>
      <c r="P12"/>
      <c r="Q12"/>
      <c r="R12"/>
      <c r="S12"/>
      <c r="T12"/>
      <c r="U12"/>
      <c r="V12"/>
      <c r="W12"/>
      <c r="X12"/>
      <c r="Y12"/>
      <c r="Z12"/>
      <c r="AA12"/>
      <c r="AB12"/>
      <c r="AC12"/>
      <c r="AD12"/>
      <c r="AE12"/>
      <c r="AF12"/>
      <c r="AG12"/>
      <c r="AH12"/>
      <c r="AI12"/>
      <c r="AJ12"/>
      <c r="AK12" s="98"/>
    </row>
    <row r="13" spans="1:71">
      <c r="A13"/>
      <c r="B13"/>
      <c r="C13"/>
      <c r="D13"/>
      <c r="E13"/>
      <c r="F13"/>
      <c r="G13"/>
      <c r="H13"/>
      <c r="I13"/>
      <c r="J13"/>
      <c r="K13"/>
      <c r="L13"/>
      <c r="M13"/>
      <c r="N13"/>
      <c r="O13"/>
      <c r="P13"/>
      <c r="Q13"/>
      <c r="R13"/>
      <c r="S13"/>
      <c r="T13"/>
      <c r="U13"/>
      <c r="V13"/>
      <c r="W13"/>
      <c r="X13"/>
      <c r="Y13"/>
      <c r="Z13"/>
      <c r="AA13"/>
      <c r="AB13"/>
      <c r="AC13"/>
      <c r="AD13"/>
      <c r="AE13"/>
      <c r="AF13"/>
      <c r="AG13"/>
      <c r="AH13"/>
      <c r="AI13"/>
      <c r="AJ13"/>
      <c r="AK13" s="98"/>
    </row>
    <row r="14" spans="1:71" s="97" customFormat="1">
      <c r="A14"/>
      <c r="B14"/>
      <c r="C14"/>
      <c r="D14"/>
      <c r="E14"/>
      <c r="F14"/>
      <c r="G14"/>
      <c r="H14"/>
      <c r="I14"/>
      <c r="J14"/>
      <c r="K14"/>
      <c r="L14"/>
      <c r="M14"/>
      <c r="N14"/>
      <c r="O14"/>
      <c r="P14"/>
      <c r="Q14"/>
      <c r="R14"/>
      <c r="S14"/>
      <c r="T14"/>
      <c r="U14"/>
      <c r="V14"/>
      <c r="W14"/>
      <c r="X14"/>
      <c r="Y14"/>
      <c r="Z14"/>
      <c r="AA14"/>
      <c r="AB14"/>
      <c r="AC14"/>
      <c r="AD14"/>
      <c r="AE14"/>
      <c r="AF14"/>
      <c r="AG14"/>
      <c r="AH14"/>
      <c r="AI14"/>
      <c r="AJ14"/>
      <c r="AK14" s="98"/>
      <c r="AL14" s="96"/>
      <c r="AM14" s="96"/>
      <c r="AN14" s="96"/>
      <c r="AO14" s="96"/>
      <c r="AP14" s="96"/>
      <c r="AQ14" s="96"/>
      <c r="AR14" s="96"/>
      <c r="AS14" s="96"/>
      <c r="AT14" s="96"/>
      <c r="AU14" s="96"/>
      <c r="AV14" s="96"/>
      <c r="AW14" s="96"/>
      <c r="AX14" s="96"/>
      <c r="AY14" s="96"/>
      <c r="AZ14" s="96"/>
      <c r="BA14" s="96"/>
      <c r="BB14" s="96"/>
      <c r="BC14" s="96"/>
      <c r="BD14" s="96"/>
      <c r="BE14" s="96"/>
      <c r="BF14" s="96"/>
      <c r="BG14" s="96"/>
      <c r="BH14" s="96"/>
      <c r="BI14" s="96"/>
      <c r="BJ14" s="96"/>
      <c r="BK14" s="96"/>
      <c r="BL14" s="96"/>
      <c r="BM14" s="96"/>
      <c r="BN14" s="96"/>
      <c r="BO14" s="96"/>
      <c r="BP14" s="96"/>
      <c r="BQ14" s="96"/>
      <c r="BR14" s="96"/>
      <c r="BS14" s="96"/>
    </row>
    <row r="15" spans="1:71">
      <c r="A15"/>
      <c r="B15"/>
      <c r="C15"/>
      <c r="D15"/>
      <c r="E15"/>
      <c r="F15"/>
      <c r="G15"/>
      <c r="H15"/>
      <c r="I15"/>
      <c r="J15"/>
      <c r="K15"/>
      <c r="L15"/>
      <c r="M15"/>
      <c r="N15"/>
      <c r="O15"/>
      <c r="P15"/>
      <c r="Q15"/>
      <c r="R15"/>
      <c r="S15"/>
      <c r="T15"/>
      <c r="U15"/>
      <c r="V15"/>
      <c r="W15"/>
      <c r="X15"/>
      <c r="Y15"/>
      <c r="Z15"/>
      <c r="AA15"/>
      <c r="AB15"/>
      <c r="AC15"/>
      <c r="AD15"/>
      <c r="AE15"/>
      <c r="AF15"/>
      <c r="AG15"/>
      <c r="AH15"/>
      <c r="AI15"/>
      <c r="AJ15"/>
      <c r="AK15" s="98"/>
    </row>
    <row r="16" spans="1:71">
      <c r="A16"/>
      <c r="B16"/>
      <c r="C16"/>
      <c r="D16"/>
      <c r="E16"/>
      <c r="F16"/>
      <c r="G16"/>
      <c r="H16"/>
      <c r="I16"/>
      <c r="J16"/>
      <c r="K16"/>
      <c r="L16"/>
      <c r="M16"/>
      <c r="N16"/>
      <c r="O16"/>
      <c r="P16"/>
      <c r="Q16"/>
      <c r="R16"/>
      <c r="S16"/>
      <c r="T16"/>
      <c r="U16"/>
      <c r="V16"/>
      <c r="W16"/>
      <c r="X16"/>
      <c r="Y16"/>
      <c r="Z16"/>
      <c r="AA16"/>
      <c r="AB16"/>
      <c r="AC16"/>
      <c r="AD16"/>
      <c r="AE16"/>
      <c r="AF16"/>
      <c r="AG16"/>
      <c r="AH16"/>
      <c r="AI16"/>
      <c r="AJ16"/>
      <c r="AK16" s="98"/>
    </row>
    <row r="17" spans="1:37">
      <c r="A17"/>
      <c r="B17"/>
      <c r="C17"/>
      <c r="D17"/>
      <c r="E17"/>
      <c r="F17"/>
      <c r="G17"/>
      <c r="H17"/>
      <c r="I17"/>
      <c r="J17"/>
      <c r="K17"/>
      <c r="L17"/>
      <c r="M17"/>
      <c r="N17"/>
      <c r="O17"/>
      <c r="P17"/>
      <c r="Q17"/>
      <c r="R17"/>
      <c r="S17"/>
      <c r="T17"/>
      <c r="U17"/>
      <c r="V17"/>
      <c r="W17"/>
      <c r="X17"/>
      <c r="Y17"/>
      <c r="Z17"/>
      <c r="AA17"/>
      <c r="AB17"/>
      <c r="AC17"/>
      <c r="AD17"/>
      <c r="AE17"/>
      <c r="AF17"/>
      <c r="AG17"/>
      <c r="AH17"/>
      <c r="AI17"/>
      <c r="AJ17"/>
      <c r="AK17" s="98"/>
    </row>
    <row r="18" spans="1:37">
      <c r="A18" s="101"/>
      <c r="B18" s="101"/>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c r="AJ18" s="101"/>
    </row>
  </sheetData>
  <pageMargins left="0.7" right="0.7" top="0.75" bottom="0.75" header="0.3" footer="0.3"/>
  <pageSetup orientation="portrait" horizontalDpi="0"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563"/>
  <sheetViews>
    <sheetView workbookViewId="0">
      <selection sqref="A1:G1048576"/>
    </sheetView>
  </sheetViews>
  <sheetFormatPr defaultRowHeight="15"/>
  <cols>
    <col min="1" max="1" width="19.85546875" bestFit="1" customWidth="1"/>
    <col min="2" max="2" width="13.42578125" bestFit="1" customWidth="1"/>
    <col min="3" max="3" width="10.140625" bestFit="1" customWidth="1"/>
    <col min="4" max="4" width="52.140625" customWidth="1"/>
    <col min="5" max="5" width="18.140625" bestFit="1" customWidth="1"/>
    <col min="6" max="6" width="13.28515625" customWidth="1"/>
    <col min="7" max="7" width="12" style="5" bestFit="1" customWidth="1"/>
    <col min="8" max="8" width="11" customWidth="1"/>
    <col min="9" max="9" width="5" bestFit="1" customWidth="1"/>
    <col min="10" max="10" width="5.5703125" bestFit="1" customWidth="1"/>
    <col min="11" max="11" width="19.85546875" customWidth="1"/>
    <col min="12" max="12" width="14.7109375" customWidth="1"/>
  </cols>
  <sheetData>
    <row r="1" spans="1:12">
      <c r="A1" t="s">
        <v>0</v>
      </c>
      <c r="B1" t="s">
        <v>1</v>
      </c>
      <c r="C1" t="s">
        <v>2</v>
      </c>
      <c r="D1" t="s">
        <v>3</v>
      </c>
      <c r="E1" t="s">
        <v>5</v>
      </c>
      <c r="F1" t="s">
        <v>129</v>
      </c>
      <c r="G1" s="5" t="s">
        <v>4</v>
      </c>
      <c r="H1" t="s">
        <v>37</v>
      </c>
      <c r="I1" t="s">
        <v>52</v>
      </c>
      <c r="J1" t="s">
        <v>130</v>
      </c>
      <c r="K1" t="s">
        <v>82</v>
      </c>
      <c r="L1" t="s">
        <v>36</v>
      </c>
    </row>
    <row r="2" spans="1:12">
      <c r="A2" t="s">
        <v>143</v>
      </c>
      <c r="B2" t="s">
        <v>15</v>
      </c>
      <c r="C2" t="s">
        <v>148</v>
      </c>
      <c r="D2" t="s">
        <v>149</v>
      </c>
      <c r="E2" s="5" t="s">
        <v>9</v>
      </c>
      <c r="F2">
        <v>2</v>
      </c>
      <c r="G2" s="5">
        <v>42503</v>
      </c>
      <c r="H2">
        <f>IF($A2&lt;&gt;"",MONTH($G2),"")</f>
        <v>5</v>
      </c>
      <c r="I2">
        <f>IF($A2&lt;&gt;"",YEAR($G2),"")</f>
        <v>2016</v>
      </c>
      <c r="J2">
        <f>IF($A2&lt;&gt;"",DAY($G2),"")</f>
        <v>13</v>
      </c>
      <c r="K2" t="str">
        <f>IF($A2&lt;&gt;"",VLOOKUP($E2,'IT Structure'!A:C,3,0),"")</f>
        <v>QA</v>
      </c>
      <c r="L2" t="str">
        <f>IF($A2&lt;&gt;"",VLOOKUP($B2,'time target'!A:B,2,0),"")</f>
        <v>Development</v>
      </c>
    </row>
    <row r="3" spans="1:12">
      <c r="A3" t="s">
        <v>140</v>
      </c>
      <c r="B3" t="s">
        <v>16</v>
      </c>
      <c r="C3" t="s">
        <v>150</v>
      </c>
      <c r="D3" t="s">
        <v>151</v>
      </c>
      <c r="E3" s="5" t="s">
        <v>9</v>
      </c>
      <c r="F3">
        <v>1</v>
      </c>
      <c r="G3" s="5">
        <v>42513</v>
      </c>
      <c r="H3">
        <f t="shared" ref="H3:H66" si="0">IF($A3&lt;&gt;"",MONTH($G3),"")</f>
        <v>5</v>
      </c>
      <c r="I3">
        <f t="shared" ref="I3:I66" si="1">IF($A3&lt;&gt;"",YEAR($G3),"")</f>
        <v>2016</v>
      </c>
      <c r="J3">
        <f t="shared" ref="J3:J66" si="2">IF($A3&lt;&gt;"",DAY($G3),"")</f>
        <v>23</v>
      </c>
      <c r="K3" t="str">
        <f>IF($A3&lt;&gt;"",VLOOKUP($E3,'IT Structure'!A:C,3,0),"")</f>
        <v>QA</v>
      </c>
      <c r="L3" t="str">
        <f>IF($A3&lt;&gt;"",VLOOKUP($B3,'time target'!A:B,2,0),"")</f>
        <v>Development</v>
      </c>
    </row>
    <row r="4" spans="1:12">
      <c r="A4" t="s">
        <v>140</v>
      </c>
      <c r="B4" t="s">
        <v>20</v>
      </c>
      <c r="C4" t="s">
        <v>152</v>
      </c>
      <c r="D4" t="s">
        <v>153</v>
      </c>
      <c r="E4" s="5" t="s">
        <v>9</v>
      </c>
      <c r="F4">
        <v>1</v>
      </c>
      <c r="G4" s="5">
        <v>42499</v>
      </c>
      <c r="H4">
        <f t="shared" si="0"/>
        <v>5</v>
      </c>
      <c r="I4">
        <f t="shared" si="1"/>
        <v>2016</v>
      </c>
      <c r="J4">
        <f t="shared" si="2"/>
        <v>9</v>
      </c>
      <c r="K4" t="str">
        <f>IF($A4&lt;&gt;"",VLOOKUP($E4,'IT Structure'!A:C,3,0),"")</f>
        <v>QA</v>
      </c>
      <c r="L4" t="str">
        <f>IF($A4&lt;&gt;"",VLOOKUP($B4,'time target'!A:B,2,0),"")</f>
        <v>Maintenance</v>
      </c>
    </row>
    <row r="5" spans="1:12">
      <c r="A5" t="s">
        <v>140</v>
      </c>
      <c r="B5" t="s">
        <v>20</v>
      </c>
      <c r="C5" t="s">
        <v>152</v>
      </c>
      <c r="D5" t="s">
        <v>153</v>
      </c>
      <c r="E5" s="5" t="s">
        <v>9</v>
      </c>
      <c r="F5">
        <v>1</v>
      </c>
      <c r="G5" s="5">
        <v>42502</v>
      </c>
      <c r="H5">
        <f t="shared" si="0"/>
        <v>5</v>
      </c>
      <c r="I5">
        <f t="shared" si="1"/>
        <v>2016</v>
      </c>
      <c r="J5">
        <f t="shared" si="2"/>
        <v>12</v>
      </c>
      <c r="K5" t="str">
        <f>IF($A5&lt;&gt;"",VLOOKUP($E5,'IT Structure'!A:C,3,0),"")</f>
        <v>QA</v>
      </c>
      <c r="L5" t="str">
        <f>IF($A5&lt;&gt;"",VLOOKUP($B5,'time target'!A:B,2,0),"")</f>
        <v>Maintenance</v>
      </c>
    </row>
    <row r="6" spans="1:12">
      <c r="A6" t="s">
        <v>140</v>
      </c>
      <c r="B6" t="s">
        <v>15</v>
      </c>
      <c r="C6" t="s">
        <v>154</v>
      </c>
      <c r="D6" t="s">
        <v>155</v>
      </c>
      <c r="E6" s="5" t="s">
        <v>9</v>
      </c>
      <c r="F6">
        <v>1</v>
      </c>
      <c r="G6" s="5">
        <v>42503</v>
      </c>
      <c r="H6">
        <f t="shared" si="0"/>
        <v>5</v>
      </c>
      <c r="I6">
        <f t="shared" si="1"/>
        <v>2016</v>
      </c>
      <c r="J6">
        <f t="shared" si="2"/>
        <v>13</v>
      </c>
      <c r="K6" t="str">
        <f>IF($A6&lt;&gt;"",VLOOKUP($E6,'IT Structure'!A:C,3,0),"")</f>
        <v>QA</v>
      </c>
      <c r="L6" t="str">
        <f>IF($A6&lt;&gt;"",VLOOKUP($B6,'time target'!A:B,2,0),"")</f>
        <v>Development</v>
      </c>
    </row>
    <row r="7" spans="1:12">
      <c r="A7" t="s">
        <v>140</v>
      </c>
      <c r="B7" t="s">
        <v>20</v>
      </c>
      <c r="C7" t="s">
        <v>156</v>
      </c>
      <c r="D7" t="s">
        <v>157</v>
      </c>
      <c r="E7" s="5" t="s">
        <v>9</v>
      </c>
      <c r="F7">
        <v>2</v>
      </c>
      <c r="G7" s="5">
        <v>42502</v>
      </c>
      <c r="H7">
        <f t="shared" si="0"/>
        <v>5</v>
      </c>
      <c r="I7">
        <f t="shared" si="1"/>
        <v>2016</v>
      </c>
      <c r="J7">
        <f t="shared" si="2"/>
        <v>12</v>
      </c>
      <c r="K7" t="str">
        <f>IF($A7&lt;&gt;"",VLOOKUP($E7,'IT Structure'!A:C,3,0),"")</f>
        <v>QA</v>
      </c>
      <c r="L7" t="str">
        <f>IF($A7&lt;&gt;"",VLOOKUP($B7,'time target'!A:B,2,0),"")</f>
        <v>Maintenance</v>
      </c>
    </row>
    <row r="8" spans="1:12">
      <c r="A8" t="s">
        <v>140</v>
      </c>
      <c r="B8" t="s">
        <v>6</v>
      </c>
      <c r="C8" t="s">
        <v>158</v>
      </c>
      <c r="D8" t="s">
        <v>159</v>
      </c>
      <c r="E8" s="5" t="s">
        <v>9</v>
      </c>
      <c r="F8">
        <v>8</v>
      </c>
      <c r="G8" s="5">
        <v>42507</v>
      </c>
      <c r="H8">
        <f t="shared" si="0"/>
        <v>5</v>
      </c>
      <c r="I8">
        <f t="shared" si="1"/>
        <v>2016</v>
      </c>
      <c r="J8">
        <f t="shared" si="2"/>
        <v>17</v>
      </c>
      <c r="K8" t="str">
        <f>IF($A8&lt;&gt;"",VLOOKUP($E8,'IT Structure'!A:C,3,0),"")</f>
        <v>QA</v>
      </c>
      <c r="L8" t="str">
        <f>IF($A8&lt;&gt;"",VLOOKUP($B8,'time target'!A:B,2,0),"")</f>
        <v>Development</v>
      </c>
    </row>
    <row r="9" spans="1:12">
      <c r="A9" t="s">
        <v>140</v>
      </c>
      <c r="B9" t="s">
        <v>6</v>
      </c>
      <c r="C9" t="s">
        <v>158</v>
      </c>
      <c r="D9" t="s">
        <v>159</v>
      </c>
      <c r="E9" s="5" t="s">
        <v>9</v>
      </c>
      <c r="F9">
        <v>6</v>
      </c>
      <c r="G9" s="5">
        <v>42513</v>
      </c>
      <c r="H9">
        <f t="shared" si="0"/>
        <v>5</v>
      </c>
      <c r="I9">
        <f t="shared" si="1"/>
        <v>2016</v>
      </c>
      <c r="J9">
        <f t="shared" si="2"/>
        <v>23</v>
      </c>
      <c r="K9" t="str">
        <f>IF($A9&lt;&gt;"",VLOOKUP($E9,'IT Structure'!A:C,3,0),"")</f>
        <v>QA</v>
      </c>
      <c r="L9" t="str">
        <f>IF($A9&lt;&gt;"",VLOOKUP($B9,'time target'!A:B,2,0),"")</f>
        <v>Development</v>
      </c>
    </row>
    <row r="10" spans="1:12">
      <c r="A10" t="s">
        <v>140</v>
      </c>
      <c r="B10" t="s">
        <v>20</v>
      </c>
      <c r="C10" t="s">
        <v>160</v>
      </c>
      <c r="D10" t="s">
        <v>161</v>
      </c>
      <c r="E10" s="5" t="s">
        <v>9</v>
      </c>
      <c r="F10">
        <v>1</v>
      </c>
      <c r="G10" s="5">
        <v>42513</v>
      </c>
      <c r="H10">
        <f t="shared" si="0"/>
        <v>5</v>
      </c>
      <c r="I10">
        <f t="shared" si="1"/>
        <v>2016</v>
      </c>
      <c r="J10">
        <f t="shared" si="2"/>
        <v>23</v>
      </c>
      <c r="K10" t="str">
        <f>IF($A10&lt;&gt;"",VLOOKUP($E10,'IT Structure'!A:C,3,0),"")</f>
        <v>QA</v>
      </c>
      <c r="L10" t="str">
        <f>IF($A10&lt;&gt;"",VLOOKUP($B10,'time target'!A:B,2,0),"")</f>
        <v>Maintenance</v>
      </c>
    </row>
    <row r="11" spans="1:12">
      <c r="A11" t="s">
        <v>140</v>
      </c>
      <c r="B11" t="s">
        <v>6</v>
      </c>
      <c r="C11" t="s">
        <v>141</v>
      </c>
      <c r="D11" t="s">
        <v>142</v>
      </c>
      <c r="E11" s="5" t="s">
        <v>9</v>
      </c>
      <c r="F11">
        <v>8</v>
      </c>
      <c r="G11" s="5">
        <v>42514</v>
      </c>
      <c r="H11">
        <f t="shared" si="0"/>
        <v>5</v>
      </c>
      <c r="I11">
        <f t="shared" si="1"/>
        <v>2016</v>
      </c>
      <c r="J11">
        <f t="shared" si="2"/>
        <v>24</v>
      </c>
      <c r="K11" t="str">
        <f>IF($A11&lt;&gt;"",VLOOKUP($E11,'IT Structure'!A:C,3,0),"")</f>
        <v>QA</v>
      </c>
      <c r="L11" t="str">
        <f>IF($A11&lt;&gt;"",VLOOKUP($B11,'time target'!A:B,2,0),"")</f>
        <v>Development</v>
      </c>
    </row>
    <row r="12" spans="1:12">
      <c r="A12" t="s">
        <v>140</v>
      </c>
      <c r="B12" t="s">
        <v>6</v>
      </c>
      <c r="C12" t="s">
        <v>141</v>
      </c>
      <c r="D12" t="s">
        <v>142</v>
      </c>
      <c r="E12" s="5" t="s">
        <v>9</v>
      </c>
      <c r="F12">
        <v>8</v>
      </c>
      <c r="G12" s="5">
        <v>42516</v>
      </c>
      <c r="H12">
        <f t="shared" si="0"/>
        <v>5</v>
      </c>
      <c r="I12">
        <f t="shared" si="1"/>
        <v>2016</v>
      </c>
      <c r="J12">
        <f t="shared" si="2"/>
        <v>26</v>
      </c>
      <c r="K12" t="str">
        <f>IF($A12&lt;&gt;"",VLOOKUP($E12,'IT Structure'!A:C,3,0),"")</f>
        <v>QA</v>
      </c>
      <c r="L12" t="str">
        <f>IF($A12&lt;&gt;"",VLOOKUP($B12,'time target'!A:B,2,0),"")</f>
        <v>Development</v>
      </c>
    </row>
    <row r="13" spans="1:12">
      <c r="A13" t="s">
        <v>140</v>
      </c>
      <c r="B13" t="s">
        <v>6</v>
      </c>
      <c r="C13" t="s">
        <v>141</v>
      </c>
      <c r="D13" t="s">
        <v>142</v>
      </c>
      <c r="E13" s="5" t="s">
        <v>9</v>
      </c>
      <c r="F13">
        <v>8</v>
      </c>
      <c r="G13" s="5">
        <v>42517</v>
      </c>
      <c r="H13">
        <f t="shared" si="0"/>
        <v>5</v>
      </c>
      <c r="I13">
        <f t="shared" si="1"/>
        <v>2016</v>
      </c>
      <c r="J13">
        <f t="shared" si="2"/>
        <v>27</v>
      </c>
      <c r="K13" t="str">
        <f>IF($A13&lt;&gt;"",VLOOKUP($E13,'IT Structure'!A:C,3,0),"")</f>
        <v>QA</v>
      </c>
      <c r="L13" t="str">
        <f>IF($A13&lt;&gt;"",VLOOKUP($B13,'time target'!A:B,2,0),"")</f>
        <v>Development</v>
      </c>
    </row>
    <row r="14" spans="1:12">
      <c r="A14" t="s">
        <v>140</v>
      </c>
      <c r="B14" t="s">
        <v>6</v>
      </c>
      <c r="C14" t="s">
        <v>141</v>
      </c>
      <c r="D14" t="s">
        <v>142</v>
      </c>
      <c r="E14" s="5" t="s">
        <v>9</v>
      </c>
      <c r="F14">
        <v>8</v>
      </c>
      <c r="G14" s="5">
        <v>42523</v>
      </c>
      <c r="H14">
        <f t="shared" si="0"/>
        <v>6</v>
      </c>
      <c r="I14">
        <f t="shared" si="1"/>
        <v>2016</v>
      </c>
      <c r="J14">
        <f t="shared" si="2"/>
        <v>2</v>
      </c>
      <c r="K14" t="str">
        <f>IF($A14&lt;&gt;"",VLOOKUP($E14,'IT Structure'!A:C,3,0),"")</f>
        <v>QA</v>
      </c>
      <c r="L14" t="str">
        <f>IF($A14&lt;&gt;"",VLOOKUP($B14,'time target'!A:B,2,0),"")</f>
        <v>Development</v>
      </c>
    </row>
    <row r="15" spans="1:12">
      <c r="A15" t="s">
        <v>140</v>
      </c>
      <c r="B15" t="s">
        <v>15</v>
      </c>
      <c r="C15" t="s">
        <v>162</v>
      </c>
      <c r="D15" t="s">
        <v>163</v>
      </c>
      <c r="E15" s="5" t="s">
        <v>9</v>
      </c>
      <c r="F15">
        <v>4</v>
      </c>
      <c r="G15" s="5">
        <v>42502</v>
      </c>
      <c r="H15">
        <f t="shared" si="0"/>
        <v>5</v>
      </c>
      <c r="I15">
        <f t="shared" si="1"/>
        <v>2016</v>
      </c>
      <c r="J15">
        <f t="shared" si="2"/>
        <v>12</v>
      </c>
      <c r="K15" t="str">
        <f>IF($A15&lt;&gt;"",VLOOKUP($E15,'IT Structure'!A:C,3,0),"")</f>
        <v>QA</v>
      </c>
      <c r="L15" t="str">
        <f>IF($A15&lt;&gt;"",VLOOKUP($B15,'time target'!A:B,2,0),"")</f>
        <v>Development</v>
      </c>
    </row>
    <row r="16" spans="1:12">
      <c r="E16" s="5"/>
      <c r="H16" t="str">
        <f t="shared" si="0"/>
        <v/>
      </c>
      <c r="I16" t="str">
        <f t="shared" si="1"/>
        <v/>
      </c>
      <c r="J16" t="str">
        <f t="shared" si="2"/>
        <v/>
      </c>
      <c r="K16" t="str">
        <f>IF($A16&lt;&gt;"",VLOOKUP($E16,'IT Structure'!A:C,3,0),"")</f>
        <v/>
      </c>
      <c r="L16" t="str">
        <f>IF($A16&lt;&gt;"",VLOOKUP($B16,'time target'!A:B,2,0),"")</f>
        <v/>
      </c>
    </row>
    <row r="17" spans="5:12">
      <c r="E17" s="5"/>
      <c r="H17" t="str">
        <f t="shared" si="0"/>
        <v/>
      </c>
      <c r="I17" t="str">
        <f t="shared" si="1"/>
        <v/>
      </c>
      <c r="J17" t="str">
        <f t="shared" si="2"/>
        <v/>
      </c>
      <c r="K17" t="str">
        <f>IF($A17&lt;&gt;"",VLOOKUP($E17,'IT Structure'!A:C,3,0),"")</f>
        <v/>
      </c>
      <c r="L17" t="str">
        <f>IF($A17&lt;&gt;"",VLOOKUP($B17,'time target'!A:B,2,0),"")</f>
        <v/>
      </c>
    </row>
    <row r="18" spans="5:12">
      <c r="E18" s="5"/>
      <c r="H18" t="str">
        <f t="shared" si="0"/>
        <v/>
      </c>
      <c r="I18" t="str">
        <f t="shared" si="1"/>
        <v/>
      </c>
      <c r="J18" t="str">
        <f t="shared" si="2"/>
        <v/>
      </c>
      <c r="K18" t="str">
        <f>IF($A18&lt;&gt;"",VLOOKUP($E18,'IT Structure'!A:C,3,0),"")</f>
        <v/>
      </c>
      <c r="L18" t="str">
        <f>IF($A18&lt;&gt;"",VLOOKUP($B18,'time target'!A:B,2,0),"")</f>
        <v/>
      </c>
    </row>
    <row r="19" spans="5:12">
      <c r="E19" s="5"/>
      <c r="H19" t="str">
        <f t="shared" si="0"/>
        <v/>
      </c>
      <c r="I19" t="str">
        <f t="shared" si="1"/>
        <v/>
      </c>
      <c r="J19" t="str">
        <f t="shared" si="2"/>
        <v/>
      </c>
      <c r="K19" t="str">
        <f>IF($A19&lt;&gt;"",VLOOKUP($E19,'IT Structure'!A:C,3,0),"")</f>
        <v/>
      </c>
      <c r="L19" t="str">
        <f>IF($A19&lt;&gt;"",VLOOKUP($B19,'time target'!A:B,2,0),"")</f>
        <v/>
      </c>
    </row>
    <row r="20" spans="5:12">
      <c r="E20" s="5"/>
      <c r="H20" t="str">
        <f t="shared" si="0"/>
        <v/>
      </c>
      <c r="I20" t="str">
        <f t="shared" si="1"/>
        <v/>
      </c>
      <c r="J20" t="str">
        <f t="shared" si="2"/>
        <v/>
      </c>
      <c r="K20" t="str">
        <f>IF($A20&lt;&gt;"",VLOOKUP($E20,'IT Structure'!A:C,3,0),"")</f>
        <v/>
      </c>
      <c r="L20" t="str">
        <f>IF($A20&lt;&gt;"",VLOOKUP($B20,'time target'!A:B,2,0),"")</f>
        <v/>
      </c>
    </row>
    <row r="21" spans="5:12">
      <c r="E21" s="5"/>
      <c r="H21" t="str">
        <f t="shared" si="0"/>
        <v/>
      </c>
      <c r="I21" t="str">
        <f t="shared" si="1"/>
        <v/>
      </c>
      <c r="J21" t="str">
        <f t="shared" si="2"/>
        <v/>
      </c>
      <c r="K21" t="str">
        <f>IF($A21&lt;&gt;"",VLOOKUP($E21,'IT Structure'!A:C,3,0),"")</f>
        <v/>
      </c>
      <c r="L21" t="str">
        <f>IF($A21&lt;&gt;"",VLOOKUP($B21,'time target'!A:B,2,0),"")</f>
        <v/>
      </c>
    </row>
    <row r="22" spans="5:12">
      <c r="E22" s="5"/>
      <c r="H22" t="str">
        <f t="shared" si="0"/>
        <v/>
      </c>
      <c r="I22" t="str">
        <f t="shared" si="1"/>
        <v/>
      </c>
      <c r="J22" t="str">
        <f t="shared" si="2"/>
        <v/>
      </c>
      <c r="K22" t="str">
        <f>IF($A22&lt;&gt;"",VLOOKUP($E22,'IT Structure'!A:C,3,0),"")</f>
        <v/>
      </c>
      <c r="L22" t="str">
        <f>IF($A22&lt;&gt;"",VLOOKUP($B22,'time target'!A:B,2,0),"")</f>
        <v/>
      </c>
    </row>
    <row r="23" spans="5:12">
      <c r="E23" s="5"/>
      <c r="H23" t="str">
        <f t="shared" si="0"/>
        <v/>
      </c>
      <c r="I23" t="str">
        <f t="shared" si="1"/>
        <v/>
      </c>
      <c r="J23" t="str">
        <f t="shared" si="2"/>
        <v/>
      </c>
      <c r="K23" t="str">
        <f>IF($A23&lt;&gt;"",VLOOKUP($E23,'IT Structure'!A:C,3,0),"")</f>
        <v/>
      </c>
      <c r="L23" t="str">
        <f>IF($A23&lt;&gt;"",VLOOKUP($B23,'time target'!A:B,2,0),"")</f>
        <v/>
      </c>
    </row>
    <row r="24" spans="5:12">
      <c r="E24" s="5"/>
      <c r="H24" t="str">
        <f t="shared" si="0"/>
        <v/>
      </c>
      <c r="I24" t="str">
        <f t="shared" si="1"/>
        <v/>
      </c>
      <c r="J24" t="str">
        <f t="shared" si="2"/>
        <v/>
      </c>
      <c r="K24" t="str">
        <f>IF($A24&lt;&gt;"",VLOOKUP($E24,'IT Structure'!A:C,3,0),"")</f>
        <v/>
      </c>
      <c r="L24" t="str">
        <f>IF($A24&lt;&gt;"",VLOOKUP($B24,'time target'!A:B,2,0),"")</f>
        <v/>
      </c>
    </row>
    <row r="25" spans="5:12">
      <c r="E25" s="5"/>
      <c r="H25" t="str">
        <f t="shared" si="0"/>
        <v/>
      </c>
      <c r="I25" t="str">
        <f t="shared" si="1"/>
        <v/>
      </c>
      <c r="J25" t="str">
        <f t="shared" si="2"/>
        <v/>
      </c>
      <c r="K25" t="str">
        <f>IF($A25&lt;&gt;"",VLOOKUP($E25,'IT Structure'!A:C,3,0),"")</f>
        <v/>
      </c>
      <c r="L25" t="str">
        <f>IF($A25&lt;&gt;"",VLOOKUP($B25,'time target'!A:B,2,0),"")</f>
        <v/>
      </c>
    </row>
    <row r="26" spans="5:12">
      <c r="E26" s="5"/>
      <c r="H26" t="str">
        <f t="shared" si="0"/>
        <v/>
      </c>
      <c r="I26" t="str">
        <f t="shared" si="1"/>
        <v/>
      </c>
      <c r="J26" t="str">
        <f t="shared" si="2"/>
        <v/>
      </c>
      <c r="K26" t="str">
        <f>IF($A26&lt;&gt;"",VLOOKUP($E26,'IT Structure'!A:C,3,0),"")</f>
        <v/>
      </c>
      <c r="L26" t="str">
        <f>IF($A26&lt;&gt;"",VLOOKUP($B26,'time target'!A:B,2,0),"")</f>
        <v/>
      </c>
    </row>
    <row r="27" spans="5:12">
      <c r="E27" s="5"/>
      <c r="H27" t="str">
        <f t="shared" si="0"/>
        <v/>
      </c>
      <c r="I27" t="str">
        <f t="shared" si="1"/>
        <v/>
      </c>
      <c r="J27" t="str">
        <f t="shared" si="2"/>
        <v/>
      </c>
      <c r="K27" t="str">
        <f>IF($A27&lt;&gt;"",VLOOKUP($E27,'IT Structure'!A:C,3,0),"")</f>
        <v/>
      </c>
      <c r="L27" t="str">
        <f>IF($A27&lt;&gt;"",VLOOKUP($B27,'time target'!A:B,2,0),"")</f>
        <v/>
      </c>
    </row>
    <row r="28" spans="5:12">
      <c r="E28" s="5"/>
      <c r="H28" t="str">
        <f t="shared" si="0"/>
        <v/>
      </c>
      <c r="I28" t="str">
        <f t="shared" si="1"/>
        <v/>
      </c>
      <c r="J28" t="str">
        <f t="shared" si="2"/>
        <v/>
      </c>
      <c r="K28" t="str">
        <f>IF($A28&lt;&gt;"",VLOOKUP($E28,'IT Structure'!A:C,3,0),"")</f>
        <v/>
      </c>
      <c r="L28" t="str">
        <f>IF($A28&lt;&gt;"",VLOOKUP($B28,'time target'!A:B,2,0),"")</f>
        <v/>
      </c>
    </row>
    <row r="29" spans="5:12">
      <c r="E29" s="5"/>
      <c r="H29" t="str">
        <f t="shared" si="0"/>
        <v/>
      </c>
      <c r="I29" t="str">
        <f t="shared" si="1"/>
        <v/>
      </c>
      <c r="J29" t="str">
        <f t="shared" si="2"/>
        <v/>
      </c>
      <c r="K29" t="str">
        <f>IF($A29&lt;&gt;"",VLOOKUP($E29,'IT Structure'!A:C,3,0),"")</f>
        <v/>
      </c>
      <c r="L29" t="str">
        <f>IF($A29&lt;&gt;"",VLOOKUP($B29,'time target'!A:B,2,0),"")</f>
        <v/>
      </c>
    </row>
    <row r="30" spans="5:12">
      <c r="E30" s="5"/>
      <c r="H30" t="str">
        <f t="shared" si="0"/>
        <v/>
      </c>
      <c r="I30" t="str">
        <f t="shared" si="1"/>
        <v/>
      </c>
      <c r="J30" t="str">
        <f t="shared" si="2"/>
        <v/>
      </c>
      <c r="K30" t="str">
        <f>IF($A30&lt;&gt;"",VLOOKUP($E30,'IT Structure'!A:C,3,0),"")</f>
        <v/>
      </c>
      <c r="L30" t="str">
        <f>IF($A30&lt;&gt;"",VLOOKUP($B30,'time target'!A:B,2,0),"")</f>
        <v/>
      </c>
    </row>
    <row r="31" spans="5:12">
      <c r="E31" s="5"/>
      <c r="H31" t="str">
        <f t="shared" si="0"/>
        <v/>
      </c>
      <c r="I31" t="str">
        <f t="shared" si="1"/>
        <v/>
      </c>
      <c r="J31" t="str">
        <f t="shared" si="2"/>
        <v/>
      </c>
      <c r="K31" t="str">
        <f>IF($A31&lt;&gt;"",VLOOKUP($E31,'IT Structure'!A:C,3,0),"")</f>
        <v/>
      </c>
      <c r="L31" t="str">
        <f>IF($A31&lt;&gt;"",VLOOKUP($B31,'time target'!A:B,2,0),"")</f>
        <v/>
      </c>
    </row>
    <row r="32" spans="5:12">
      <c r="E32" s="5"/>
      <c r="H32" t="str">
        <f t="shared" si="0"/>
        <v/>
      </c>
      <c r="I32" t="str">
        <f t="shared" si="1"/>
        <v/>
      </c>
      <c r="J32" t="str">
        <f t="shared" si="2"/>
        <v/>
      </c>
      <c r="K32" t="str">
        <f>IF($A32&lt;&gt;"",VLOOKUP($E32,'IT Structure'!A:C,3,0),"")</f>
        <v/>
      </c>
      <c r="L32" t="str">
        <f>IF($A32&lt;&gt;"",VLOOKUP($B32,'time target'!A:B,2,0),"")</f>
        <v/>
      </c>
    </row>
    <row r="33" spans="5:12">
      <c r="E33" s="5"/>
      <c r="H33" t="str">
        <f t="shared" si="0"/>
        <v/>
      </c>
      <c r="I33" t="str">
        <f t="shared" si="1"/>
        <v/>
      </c>
      <c r="J33" t="str">
        <f t="shared" si="2"/>
        <v/>
      </c>
      <c r="K33" t="str">
        <f>IF($A33&lt;&gt;"",VLOOKUP($E33,'IT Structure'!A:C,3,0),"")</f>
        <v/>
      </c>
      <c r="L33" t="str">
        <f>IF($A33&lt;&gt;"",VLOOKUP($B33,'time target'!A:B,2,0),"")</f>
        <v/>
      </c>
    </row>
    <row r="34" spans="5:12">
      <c r="E34" s="5"/>
      <c r="H34" t="str">
        <f t="shared" si="0"/>
        <v/>
      </c>
      <c r="I34" t="str">
        <f t="shared" si="1"/>
        <v/>
      </c>
      <c r="J34" t="str">
        <f t="shared" si="2"/>
        <v/>
      </c>
      <c r="K34" t="str">
        <f>IF($A34&lt;&gt;"",VLOOKUP($E34,'IT Structure'!A:C,3,0),"")</f>
        <v/>
      </c>
      <c r="L34" t="str">
        <f>IF($A34&lt;&gt;"",VLOOKUP($B34,'time target'!A:B,2,0),"")</f>
        <v/>
      </c>
    </row>
    <row r="35" spans="5:12">
      <c r="E35" s="5"/>
      <c r="H35" t="str">
        <f t="shared" si="0"/>
        <v/>
      </c>
      <c r="I35" t="str">
        <f t="shared" si="1"/>
        <v/>
      </c>
      <c r="J35" t="str">
        <f t="shared" si="2"/>
        <v/>
      </c>
      <c r="K35" t="str">
        <f>IF($A35&lt;&gt;"",VLOOKUP($E35,'IT Structure'!A:C,3,0),"")</f>
        <v/>
      </c>
      <c r="L35" t="str">
        <f>IF($A35&lt;&gt;"",VLOOKUP($B35,'time target'!A:B,2,0),"")</f>
        <v/>
      </c>
    </row>
    <row r="36" spans="5:12">
      <c r="E36" s="5"/>
      <c r="H36" t="str">
        <f t="shared" si="0"/>
        <v/>
      </c>
      <c r="I36" t="str">
        <f t="shared" si="1"/>
        <v/>
      </c>
      <c r="J36" t="str">
        <f t="shared" si="2"/>
        <v/>
      </c>
      <c r="K36" t="str">
        <f>IF($A36&lt;&gt;"",VLOOKUP($E36,'IT Structure'!A:C,3,0),"")</f>
        <v/>
      </c>
      <c r="L36" t="str">
        <f>IF($A36&lt;&gt;"",VLOOKUP($B36,'time target'!A:B,2,0),"")</f>
        <v/>
      </c>
    </row>
    <row r="37" spans="5:12">
      <c r="E37" s="5"/>
      <c r="H37" t="str">
        <f t="shared" si="0"/>
        <v/>
      </c>
      <c r="I37" t="str">
        <f t="shared" si="1"/>
        <v/>
      </c>
      <c r="J37" t="str">
        <f t="shared" si="2"/>
        <v/>
      </c>
      <c r="K37" t="str">
        <f>IF($A37&lt;&gt;"",VLOOKUP($E37,'IT Structure'!A:C,3,0),"")</f>
        <v/>
      </c>
      <c r="L37" t="str">
        <f>IF($A37&lt;&gt;"",VLOOKUP($B37,'time target'!A:B,2,0),"")</f>
        <v/>
      </c>
    </row>
    <row r="38" spans="5:12">
      <c r="E38" s="5"/>
      <c r="H38" t="str">
        <f t="shared" si="0"/>
        <v/>
      </c>
      <c r="I38" t="str">
        <f t="shared" si="1"/>
        <v/>
      </c>
      <c r="J38" t="str">
        <f t="shared" si="2"/>
        <v/>
      </c>
      <c r="K38" t="str">
        <f>IF($A38&lt;&gt;"",VLOOKUP($E38,'IT Structure'!A:C,3,0),"")</f>
        <v/>
      </c>
      <c r="L38" t="str">
        <f>IF($A38&lt;&gt;"",VLOOKUP($B38,'time target'!A:B,2,0),"")</f>
        <v/>
      </c>
    </row>
    <row r="39" spans="5:12">
      <c r="E39" s="5"/>
      <c r="H39" t="str">
        <f t="shared" si="0"/>
        <v/>
      </c>
      <c r="I39" t="str">
        <f t="shared" si="1"/>
        <v/>
      </c>
      <c r="J39" t="str">
        <f t="shared" si="2"/>
        <v/>
      </c>
      <c r="K39" t="str">
        <f>IF($A39&lt;&gt;"",VLOOKUP($E39,'IT Structure'!A:C,3,0),"")</f>
        <v/>
      </c>
      <c r="L39" t="str">
        <f>IF($A39&lt;&gt;"",VLOOKUP($B39,'time target'!A:B,2,0),"")</f>
        <v/>
      </c>
    </row>
    <row r="40" spans="5:12">
      <c r="E40" s="5"/>
      <c r="H40" t="str">
        <f t="shared" si="0"/>
        <v/>
      </c>
      <c r="I40" t="str">
        <f t="shared" si="1"/>
        <v/>
      </c>
      <c r="J40" t="str">
        <f t="shared" si="2"/>
        <v/>
      </c>
      <c r="K40" t="str">
        <f>IF($A40&lt;&gt;"",VLOOKUP($E40,'IT Structure'!A:C,3,0),"")</f>
        <v/>
      </c>
      <c r="L40" t="str">
        <f>IF($A40&lt;&gt;"",VLOOKUP($B40,'time target'!A:B,2,0),"")</f>
        <v/>
      </c>
    </row>
    <row r="41" spans="5:12">
      <c r="E41" s="5"/>
      <c r="H41" t="str">
        <f t="shared" si="0"/>
        <v/>
      </c>
      <c r="I41" t="str">
        <f t="shared" si="1"/>
        <v/>
      </c>
      <c r="J41" t="str">
        <f t="shared" si="2"/>
        <v/>
      </c>
      <c r="K41" t="str">
        <f>IF($A41&lt;&gt;"",VLOOKUP($E41,'IT Structure'!A:C,3,0),"")</f>
        <v/>
      </c>
      <c r="L41" t="str">
        <f>IF($A41&lt;&gt;"",VLOOKUP($B41,'time target'!A:B,2,0),"")</f>
        <v/>
      </c>
    </row>
    <row r="42" spans="5:12">
      <c r="E42" s="5"/>
      <c r="H42" t="str">
        <f t="shared" si="0"/>
        <v/>
      </c>
      <c r="I42" t="str">
        <f t="shared" si="1"/>
        <v/>
      </c>
      <c r="J42" t="str">
        <f t="shared" si="2"/>
        <v/>
      </c>
      <c r="K42" t="str">
        <f>IF($A42&lt;&gt;"",VLOOKUP($E42,'IT Structure'!A:C,3,0),"")</f>
        <v/>
      </c>
      <c r="L42" t="str">
        <f>IF($A42&lt;&gt;"",VLOOKUP($B42,'time target'!A:B,2,0),"")</f>
        <v/>
      </c>
    </row>
    <row r="43" spans="5:12">
      <c r="E43" s="5"/>
      <c r="H43" t="str">
        <f t="shared" si="0"/>
        <v/>
      </c>
      <c r="I43" t="str">
        <f t="shared" si="1"/>
        <v/>
      </c>
      <c r="J43" t="str">
        <f t="shared" si="2"/>
        <v/>
      </c>
      <c r="K43" t="str">
        <f>IF($A43&lt;&gt;"",VLOOKUP($E43,'IT Structure'!A:C,3,0),"")</f>
        <v/>
      </c>
      <c r="L43" t="str">
        <f>IF($A43&lt;&gt;"",VLOOKUP($B43,'time target'!A:B,2,0),"")</f>
        <v/>
      </c>
    </row>
    <row r="44" spans="5:12">
      <c r="E44" s="5"/>
      <c r="H44" t="str">
        <f t="shared" si="0"/>
        <v/>
      </c>
      <c r="I44" t="str">
        <f t="shared" si="1"/>
        <v/>
      </c>
      <c r="J44" t="str">
        <f t="shared" si="2"/>
        <v/>
      </c>
      <c r="K44" t="str">
        <f>IF($A44&lt;&gt;"",VLOOKUP($E44,'IT Structure'!A:C,3,0),"")</f>
        <v/>
      </c>
      <c r="L44" t="str">
        <f>IF($A44&lt;&gt;"",VLOOKUP($B44,'time target'!A:B,2,0),"")</f>
        <v/>
      </c>
    </row>
    <row r="45" spans="5:12">
      <c r="E45" s="5"/>
      <c r="H45" t="str">
        <f t="shared" si="0"/>
        <v/>
      </c>
      <c r="I45" t="str">
        <f t="shared" si="1"/>
        <v/>
      </c>
      <c r="J45" t="str">
        <f t="shared" si="2"/>
        <v/>
      </c>
      <c r="K45" t="str">
        <f>IF($A45&lt;&gt;"",VLOOKUP($E45,'IT Structure'!A:C,3,0),"")</f>
        <v/>
      </c>
      <c r="L45" t="str">
        <f>IF($A45&lt;&gt;"",VLOOKUP($B45,'time target'!A:B,2,0),"")</f>
        <v/>
      </c>
    </row>
    <row r="46" spans="5:12">
      <c r="E46" s="5"/>
      <c r="H46" t="str">
        <f t="shared" si="0"/>
        <v/>
      </c>
      <c r="I46" t="str">
        <f t="shared" si="1"/>
        <v/>
      </c>
      <c r="J46" t="str">
        <f t="shared" si="2"/>
        <v/>
      </c>
      <c r="K46" t="str">
        <f>IF($A46&lt;&gt;"",VLOOKUP($E46,'IT Structure'!A:C,3,0),"")</f>
        <v/>
      </c>
      <c r="L46" t="str">
        <f>IF($A46&lt;&gt;"",VLOOKUP($B46,'time target'!A:B,2,0),"")</f>
        <v/>
      </c>
    </row>
    <row r="47" spans="5:12">
      <c r="E47" s="5"/>
      <c r="H47" t="str">
        <f t="shared" si="0"/>
        <v/>
      </c>
      <c r="I47" t="str">
        <f t="shared" si="1"/>
        <v/>
      </c>
      <c r="J47" t="str">
        <f t="shared" si="2"/>
        <v/>
      </c>
      <c r="K47" t="str">
        <f>IF($A47&lt;&gt;"",VLOOKUP($E47,'IT Structure'!A:C,3,0),"")</f>
        <v/>
      </c>
      <c r="L47" t="str">
        <f>IF($A47&lt;&gt;"",VLOOKUP($B47,'time target'!A:B,2,0),"")</f>
        <v/>
      </c>
    </row>
    <row r="48" spans="5:12">
      <c r="E48" s="5"/>
      <c r="H48" t="str">
        <f t="shared" si="0"/>
        <v/>
      </c>
      <c r="I48" t="str">
        <f t="shared" si="1"/>
        <v/>
      </c>
      <c r="J48" t="str">
        <f t="shared" si="2"/>
        <v/>
      </c>
      <c r="K48" t="str">
        <f>IF($A48&lt;&gt;"",VLOOKUP($E48,'IT Structure'!A:C,3,0),"")</f>
        <v/>
      </c>
      <c r="L48" t="str">
        <f>IF($A48&lt;&gt;"",VLOOKUP($B48,'time target'!A:B,2,0),"")</f>
        <v/>
      </c>
    </row>
    <row r="49" spans="5:12">
      <c r="E49" s="5"/>
      <c r="H49" t="str">
        <f t="shared" si="0"/>
        <v/>
      </c>
      <c r="I49" t="str">
        <f t="shared" si="1"/>
        <v/>
      </c>
      <c r="J49" t="str">
        <f t="shared" si="2"/>
        <v/>
      </c>
      <c r="K49" t="str">
        <f>IF($A49&lt;&gt;"",VLOOKUP($E49,'IT Structure'!A:C,3,0),"")</f>
        <v/>
      </c>
      <c r="L49" t="str">
        <f>IF($A49&lt;&gt;"",VLOOKUP($B49,'time target'!A:B,2,0),"")</f>
        <v/>
      </c>
    </row>
    <row r="50" spans="5:12">
      <c r="E50" s="5"/>
      <c r="H50" t="str">
        <f t="shared" si="0"/>
        <v/>
      </c>
      <c r="I50" t="str">
        <f t="shared" si="1"/>
        <v/>
      </c>
      <c r="J50" t="str">
        <f t="shared" si="2"/>
        <v/>
      </c>
      <c r="K50" t="str">
        <f>IF($A50&lt;&gt;"",VLOOKUP($E50,'IT Structure'!A:C,3,0),"")</f>
        <v/>
      </c>
      <c r="L50" t="str">
        <f>IF($A50&lt;&gt;"",VLOOKUP($B50,'time target'!A:B,2,0),"")</f>
        <v/>
      </c>
    </row>
    <row r="51" spans="5:12">
      <c r="E51" s="5"/>
      <c r="H51" t="str">
        <f t="shared" si="0"/>
        <v/>
      </c>
      <c r="I51" t="str">
        <f t="shared" si="1"/>
        <v/>
      </c>
      <c r="J51" t="str">
        <f t="shared" si="2"/>
        <v/>
      </c>
      <c r="K51" t="str">
        <f>IF($A51&lt;&gt;"",VLOOKUP($E51,'IT Structure'!A:C,3,0),"")</f>
        <v/>
      </c>
      <c r="L51" t="str">
        <f>IF($A51&lt;&gt;"",VLOOKUP($B51,'time target'!A:B,2,0),"")</f>
        <v/>
      </c>
    </row>
    <row r="52" spans="5:12">
      <c r="E52" s="5"/>
      <c r="H52" t="str">
        <f t="shared" si="0"/>
        <v/>
      </c>
      <c r="I52" t="str">
        <f t="shared" si="1"/>
        <v/>
      </c>
      <c r="J52" t="str">
        <f t="shared" si="2"/>
        <v/>
      </c>
      <c r="K52" t="str">
        <f>IF($A52&lt;&gt;"",VLOOKUP($E52,'IT Structure'!A:C,3,0),"")</f>
        <v/>
      </c>
      <c r="L52" t="str">
        <f>IF($A52&lt;&gt;"",VLOOKUP($B52,'time target'!A:B,2,0),"")</f>
        <v/>
      </c>
    </row>
    <row r="53" spans="5:12">
      <c r="E53" s="5"/>
      <c r="H53" t="str">
        <f t="shared" si="0"/>
        <v/>
      </c>
      <c r="I53" t="str">
        <f t="shared" si="1"/>
        <v/>
      </c>
      <c r="J53" t="str">
        <f t="shared" si="2"/>
        <v/>
      </c>
      <c r="K53" t="str">
        <f>IF($A53&lt;&gt;"",VLOOKUP($E53,'IT Structure'!A:C,3,0),"")</f>
        <v/>
      </c>
      <c r="L53" t="str">
        <f>IF($A53&lt;&gt;"",VLOOKUP($B53,'time target'!A:B,2,0),"")</f>
        <v/>
      </c>
    </row>
    <row r="54" spans="5:12">
      <c r="E54" s="5"/>
      <c r="H54" t="str">
        <f t="shared" si="0"/>
        <v/>
      </c>
      <c r="I54" t="str">
        <f t="shared" si="1"/>
        <v/>
      </c>
      <c r="J54" t="str">
        <f t="shared" si="2"/>
        <v/>
      </c>
      <c r="K54" t="str">
        <f>IF($A54&lt;&gt;"",VLOOKUP($E54,'IT Structure'!A:C,3,0),"")</f>
        <v/>
      </c>
      <c r="L54" t="str">
        <f>IF($A54&lt;&gt;"",VLOOKUP($B54,'time target'!A:B,2,0),"")</f>
        <v/>
      </c>
    </row>
    <row r="55" spans="5:12">
      <c r="E55" s="5"/>
      <c r="H55" t="str">
        <f t="shared" si="0"/>
        <v/>
      </c>
      <c r="I55" t="str">
        <f t="shared" si="1"/>
        <v/>
      </c>
      <c r="J55" t="str">
        <f t="shared" si="2"/>
        <v/>
      </c>
      <c r="K55" t="str">
        <f>IF($A55&lt;&gt;"",VLOOKUP($E55,'IT Structure'!A:C,3,0),"")</f>
        <v/>
      </c>
      <c r="L55" t="str">
        <f>IF($A55&lt;&gt;"",VLOOKUP($B55,'time target'!A:B,2,0),"")</f>
        <v/>
      </c>
    </row>
    <row r="56" spans="5:12">
      <c r="E56" s="5"/>
      <c r="H56" t="str">
        <f t="shared" si="0"/>
        <v/>
      </c>
      <c r="I56" t="str">
        <f t="shared" si="1"/>
        <v/>
      </c>
      <c r="J56" t="str">
        <f t="shared" si="2"/>
        <v/>
      </c>
      <c r="K56" t="str">
        <f>IF($A56&lt;&gt;"",VLOOKUP($E56,'IT Structure'!A:C,3,0),"")</f>
        <v/>
      </c>
      <c r="L56" t="str">
        <f>IF($A56&lt;&gt;"",VLOOKUP($B56,'time target'!A:B,2,0),"")</f>
        <v/>
      </c>
    </row>
    <row r="57" spans="5:12">
      <c r="E57" s="5"/>
      <c r="H57" t="str">
        <f t="shared" si="0"/>
        <v/>
      </c>
      <c r="I57" t="str">
        <f t="shared" si="1"/>
        <v/>
      </c>
      <c r="J57" t="str">
        <f t="shared" si="2"/>
        <v/>
      </c>
      <c r="K57" t="str">
        <f>IF($A57&lt;&gt;"",VLOOKUP($E57,'IT Structure'!A:C,3,0),"")</f>
        <v/>
      </c>
      <c r="L57" t="str">
        <f>IF($A57&lt;&gt;"",VLOOKUP($B57,'time target'!A:B,2,0),"")</f>
        <v/>
      </c>
    </row>
    <row r="58" spans="5:12">
      <c r="E58" s="5"/>
      <c r="H58" t="str">
        <f t="shared" si="0"/>
        <v/>
      </c>
      <c r="I58" t="str">
        <f t="shared" si="1"/>
        <v/>
      </c>
      <c r="J58" t="str">
        <f t="shared" si="2"/>
        <v/>
      </c>
      <c r="K58" t="str">
        <f>IF($A58&lt;&gt;"",VLOOKUP($E58,'IT Structure'!A:C,3,0),"")</f>
        <v/>
      </c>
      <c r="L58" t="str">
        <f>IF($A58&lt;&gt;"",VLOOKUP($B58,'time target'!A:B,2,0),"")</f>
        <v/>
      </c>
    </row>
    <row r="59" spans="5:12">
      <c r="E59" s="5"/>
      <c r="H59" t="str">
        <f t="shared" si="0"/>
        <v/>
      </c>
      <c r="I59" t="str">
        <f t="shared" si="1"/>
        <v/>
      </c>
      <c r="J59" t="str">
        <f t="shared" si="2"/>
        <v/>
      </c>
      <c r="K59" t="str">
        <f>IF($A59&lt;&gt;"",VLOOKUP($E59,'IT Structure'!A:C,3,0),"")</f>
        <v/>
      </c>
      <c r="L59" t="str">
        <f>IF($A59&lt;&gt;"",VLOOKUP($B59,'time target'!A:B,2,0),"")</f>
        <v/>
      </c>
    </row>
    <row r="60" spans="5:12">
      <c r="E60" s="5"/>
      <c r="H60" t="str">
        <f t="shared" si="0"/>
        <v/>
      </c>
      <c r="I60" t="str">
        <f t="shared" si="1"/>
        <v/>
      </c>
      <c r="J60" t="str">
        <f t="shared" si="2"/>
        <v/>
      </c>
      <c r="K60" t="str">
        <f>IF($A60&lt;&gt;"",VLOOKUP($E60,'IT Structure'!A:C,3,0),"")</f>
        <v/>
      </c>
      <c r="L60" t="str">
        <f>IF($A60&lt;&gt;"",VLOOKUP($B60,'time target'!A:B,2,0),"")</f>
        <v/>
      </c>
    </row>
    <row r="61" spans="5:12">
      <c r="E61" s="5"/>
      <c r="H61" t="str">
        <f t="shared" si="0"/>
        <v/>
      </c>
      <c r="I61" t="str">
        <f t="shared" si="1"/>
        <v/>
      </c>
      <c r="J61" t="str">
        <f t="shared" si="2"/>
        <v/>
      </c>
      <c r="K61" t="str">
        <f>IF($A61&lt;&gt;"",VLOOKUP($E61,'IT Structure'!A:C,3,0),"")</f>
        <v/>
      </c>
      <c r="L61" t="str">
        <f>IF($A61&lt;&gt;"",VLOOKUP($B61,'time target'!A:B,2,0),"")</f>
        <v/>
      </c>
    </row>
    <row r="62" spans="5:12">
      <c r="E62" s="5"/>
      <c r="H62" t="str">
        <f t="shared" si="0"/>
        <v/>
      </c>
      <c r="I62" t="str">
        <f t="shared" si="1"/>
        <v/>
      </c>
      <c r="J62" t="str">
        <f t="shared" si="2"/>
        <v/>
      </c>
      <c r="K62" t="str">
        <f>IF($A62&lt;&gt;"",VLOOKUP($E62,'IT Structure'!A:C,3,0),"")</f>
        <v/>
      </c>
      <c r="L62" t="str">
        <f>IF($A62&lt;&gt;"",VLOOKUP($B62,'time target'!A:B,2,0),"")</f>
        <v/>
      </c>
    </row>
    <row r="63" spans="5:12">
      <c r="E63" s="5"/>
      <c r="H63" t="str">
        <f t="shared" si="0"/>
        <v/>
      </c>
      <c r="I63" t="str">
        <f t="shared" si="1"/>
        <v/>
      </c>
      <c r="J63" t="str">
        <f t="shared" si="2"/>
        <v/>
      </c>
      <c r="K63" t="str">
        <f>IF($A63&lt;&gt;"",VLOOKUP($E63,'IT Structure'!A:C,3,0),"")</f>
        <v/>
      </c>
      <c r="L63" t="str">
        <f>IF($A63&lt;&gt;"",VLOOKUP($B63,'time target'!A:B,2,0),"")</f>
        <v/>
      </c>
    </row>
    <row r="64" spans="5:12">
      <c r="E64" s="5"/>
      <c r="H64" t="str">
        <f t="shared" si="0"/>
        <v/>
      </c>
      <c r="I64" t="str">
        <f t="shared" si="1"/>
        <v/>
      </c>
      <c r="J64" t="str">
        <f t="shared" si="2"/>
        <v/>
      </c>
      <c r="K64" t="str">
        <f>IF($A64&lt;&gt;"",VLOOKUP($E64,'IT Structure'!A:C,3,0),"")</f>
        <v/>
      </c>
      <c r="L64" t="str">
        <f>IF($A64&lt;&gt;"",VLOOKUP($B64,'time target'!A:B,2,0),"")</f>
        <v/>
      </c>
    </row>
    <row r="65" spans="5:12">
      <c r="E65" s="5"/>
      <c r="H65" t="str">
        <f t="shared" si="0"/>
        <v/>
      </c>
      <c r="I65" t="str">
        <f t="shared" si="1"/>
        <v/>
      </c>
      <c r="J65" t="str">
        <f t="shared" si="2"/>
        <v/>
      </c>
      <c r="K65" t="str">
        <f>IF($A65&lt;&gt;"",VLOOKUP($E65,'IT Structure'!A:C,3,0),"")</f>
        <v/>
      </c>
      <c r="L65" t="str">
        <f>IF($A65&lt;&gt;"",VLOOKUP($B65,'time target'!A:B,2,0),"")</f>
        <v/>
      </c>
    </row>
    <row r="66" spans="5:12">
      <c r="E66" s="5"/>
      <c r="H66" t="str">
        <f t="shared" si="0"/>
        <v/>
      </c>
      <c r="I66" t="str">
        <f t="shared" si="1"/>
        <v/>
      </c>
      <c r="J66" t="str">
        <f t="shared" si="2"/>
        <v/>
      </c>
      <c r="K66" t="str">
        <f>IF($A66&lt;&gt;"",VLOOKUP($E66,'IT Structure'!A:C,3,0),"")</f>
        <v/>
      </c>
      <c r="L66" t="str">
        <f>IF($A66&lt;&gt;"",VLOOKUP($B66,'time target'!A:B,2,0),"")</f>
        <v/>
      </c>
    </row>
    <row r="67" spans="5:12">
      <c r="E67" s="5"/>
      <c r="H67" t="str">
        <f t="shared" ref="H67:H130" si="3">IF($A67&lt;&gt;"",MONTH($G67),"")</f>
        <v/>
      </c>
      <c r="I67" t="str">
        <f t="shared" ref="I67:I130" si="4">IF($A67&lt;&gt;"",YEAR($G67),"")</f>
        <v/>
      </c>
      <c r="J67" t="str">
        <f t="shared" ref="J67:J130" si="5">IF($A67&lt;&gt;"",DAY($G67),"")</f>
        <v/>
      </c>
      <c r="K67" t="str">
        <f>IF($A67&lt;&gt;"",VLOOKUP($E67,'IT Structure'!A:C,3,0),"")</f>
        <v/>
      </c>
      <c r="L67" t="str">
        <f>IF($A67&lt;&gt;"",VLOOKUP($B67,'time target'!A:B,2,0),"")</f>
        <v/>
      </c>
    </row>
    <row r="68" spans="5:12">
      <c r="E68" s="5"/>
      <c r="H68" t="str">
        <f t="shared" si="3"/>
        <v/>
      </c>
      <c r="I68" t="str">
        <f t="shared" si="4"/>
        <v/>
      </c>
      <c r="J68" t="str">
        <f t="shared" si="5"/>
        <v/>
      </c>
      <c r="K68" t="str">
        <f>IF($A68&lt;&gt;"",VLOOKUP($E68,'IT Structure'!A:C,3,0),"")</f>
        <v/>
      </c>
      <c r="L68" t="str">
        <f>IF($A68&lt;&gt;"",VLOOKUP($B68,'time target'!A:B,2,0),"")</f>
        <v/>
      </c>
    </row>
    <row r="69" spans="5:12">
      <c r="E69" s="5"/>
      <c r="H69" t="str">
        <f t="shared" si="3"/>
        <v/>
      </c>
      <c r="I69" t="str">
        <f t="shared" si="4"/>
        <v/>
      </c>
      <c r="J69" t="str">
        <f t="shared" si="5"/>
        <v/>
      </c>
      <c r="K69" t="str">
        <f>IF($A69&lt;&gt;"",VLOOKUP($E69,'IT Structure'!A:C,3,0),"")</f>
        <v/>
      </c>
      <c r="L69" t="str">
        <f>IF($A69&lt;&gt;"",VLOOKUP($B69,'time target'!A:B,2,0),"")</f>
        <v/>
      </c>
    </row>
    <row r="70" spans="5:12">
      <c r="E70" s="5"/>
      <c r="H70" t="str">
        <f t="shared" si="3"/>
        <v/>
      </c>
      <c r="I70" t="str">
        <f t="shared" si="4"/>
        <v/>
      </c>
      <c r="J70" t="str">
        <f t="shared" si="5"/>
        <v/>
      </c>
      <c r="K70" t="str">
        <f>IF($A70&lt;&gt;"",VLOOKUP($E70,'IT Structure'!A:C,3,0),"")</f>
        <v/>
      </c>
      <c r="L70" t="str">
        <f>IF($A70&lt;&gt;"",VLOOKUP($B70,'time target'!A:B,2,0),"")</f>
        <v/>
      </c>
    </row>
    <row r="71" spans="5:12">
      <c r="E71" s="5"/>
      <c r="H71" t="str">
        <f t="shared" si="3"/>
        <v/>
      </c>
      <c r="I71" t="str">
        <f t="shared" si="4"/>
        <v/>
      </c>
      <c r="J71" t="str">
        <f t="shared" si="5"/>
        <v/>
      </c>
      <c r="K71" t="str">
        <f>IF($A71&lt;&gt;"",VLOOKUP($E71,'IT Structure'!A:C,3,0),"")</f>
        <v/>
      </c>
      <c r="L71" t="str">
        <f>IF($A71&lt;&gt;"",VLOOKUP($B71,'time target'!A:B,2,0),"")</f>
        <v/>
      </c>
    </row>
    <row r="72" spans="5:12">
      <c r="E72" s="5"/>
      <c r="H72" t="str">
        <f t="shared" si="3"/>
        <v/>
      </c>
      <c r="I72" t="str">
        <f t="shared" si="4"/>
        <v/>
      </c>
      <c r="J72" t="str">
        <f t="shared" si="5"/>
        <v/>
      </c>
      <c r="K72" t="str">
        <f>IF($A72&lt;&gt;"",VLOOKUP($E72,'IT Structure'!A:C,3,0),"")</f>
        <v/>
      </c>
      <c r="L72" t="str">
        <f>IF($A72&lt;&gt;"",VLOOKUP($B72,'time target'!A:B,2,0),"")</f>
        <v/>
      </c>
    </row>
    <row r="73" spans="5:12">
      <c r="E73" s="5"/>
      <c r="H73" t="str">
        <f t="shared" si="3"/>
        <v/>
      </c>
      <c r="I73" t="str">
        <f t="shared" si="4"/>
        <v/>
      </c>
      <c r="J73" t="str">
        <f t="shared" si="5"/>
        <v/>
      </c>
      <c r="K73" t="str">
        <f>IF($A73&lt;&gt;"",VLOOKUP($E73,'IT Structure'!A:C,3,0),"")</f>
        <v/>
      </c>
      <c r="L73" t="str">
        <f>IF($A73&lt;&gt;"",VLOOKUP($B73,'time target'!A:B,2,0),"")</f>
        <v/>
      </c>
    </row>
    <row r="74" spans="5:12">
      <c r="E74" s="5"/>
      <c r="H74" t="str">
        <f t="shared" si="3"/>
        <v/>
      </c>
      <c r="I74" t="str">
        <f t="shared" si="4"/>
        <v/>
      </c>
      <c r="J74" t="str">
        <f t="shared" si="5"/>
        <v/>
      </c>
      <c r="K74" t="str">
        <f>IF($A74&lt;&gt;"",VLOOKUP($E74,'IT Structure'!A:C,3,0),"")</f>
        <v/>
      </c>
      <c r="L74" t="str">
        <f>IF($A74&lt;&gt;"",VLOOKUP($B74,'time target'!A:B,2,0),"")</f>
        <v/>
      </c>
    </row>
    <row r="75" spans="5:12">
      <c r="E75" s="5"/>
      <c r="H75" t="str">
        <f t="shared" si="3"/>
        <v/>
      </c>
      <c r="I75" t="str">
        <f t="shared" si="4"/>
        <v/>
      </c>
      <c r="J75" t="str">
        <f t="shared" si="5"/>
        <v/>
      </c>
      <c r="K75" t="str">
        <f>IF($A75&lt;&gt;"",VLOOKUP($E75,'IT Structure'!A:C,3,0),"")</f>
        <v/>
      </c>
      <c r="L75" t="str">
        <f>IF($A75&lt;&gt;"",VLOOKUP($B75,'time target'!A:B,2,0),"")</f>
        <v/>
      </c>
    </row>
    <row r="76" spans="5:12">
      <c r="E76" s="5"/>
      <c r="H76" t="str">
        <f t="shared" si="3"/>
        <v/>
      </c>
      <c r="I76" t="str">
        <f t="shared" si="4"/>
        <v/>
      </c>
      <c r="J76" t="str">
        <f t="shared" si="5"/>
        <v/>
      </c>
      <c r="K76" t="str">
        <f>IF($A76&lt;&gt;"",VLOOKUP($E76,'IT Structure'!A:C,3,0),"")</f>
        <v/>
      </c>
      <c r="L76" t="str">
        <f>IF($A76&lt;&gt;"",VLOOKUP($B76,'time target'!A:B,2,0),"")</f>
        <v/>
      </c>
    </row>
    <row r="77" spans="5:12">
      <c r="E77" s="5"/>
      <c r="H77" t="str">
        <f t="shared" si="3"/>
        <v/>
      </c>
      <c r="I77" t="str">
        <f t="shared" si="4"/>
        <v/>
      </c>
      <c r="J77" t="str">
        <f t="shared" si="5"/>
        <v/>
      </c>
      <c r="K77" t="str">
        <f>IF($A77&lt;&gt;"",VLOOKUP($E77,'IT Structure'!A:C,3,0),"")</f>
        <v/>
      </c>
      <c r="L77" t="str">
        <f>IF($A77&lt;&gt;"",VLOOKUP($B77,'time target'!A:B,2,0),"")</f>
        <v/>
      </c>
    </row>
    <row r="78" spans="5:12">
      <c r="E78" s="5"/>
      <c r="H78" t="str">
        <f t="shared" si="3"/>
        <v/>
      </c>
      <c r="I78" t="str">
        <f t="shared" si="4"/>
        <v/>
      </c>
      <c r="J78" t="str">
        <f t="shared" si="5"/>
        <v/>
      </c>
      <c r="K78" t="str">
        <f>IF($A78&lt;&gt;"",VLOOKUP($E78,'IT Structure'!A:C,3,0),"")</f>
        <v/>
      </c>
      <c r="L78" t="str">
        <f>IF($A78&lt;&gt;"",VLOOKUP($B78,'time target'!A:B,2,0),"")</f>
        <v/>
      </c>
    </row>
    <row r="79" spans="5:12">
      <c r="E79" s="5"/>
      <c r="H79" t="str">
        <f t="shared" si="3"/>
        <v/>
      </c>
      <c r="I79" t="str">
        <f t="shared" si="4"/>
        <v/>
      </c>
      <c r="J79" t="str">
        <f t="shared" si="5"/>
        <v/>
      </c>
      <c r="K79" t="str">
        <f>IF($A79&lt;&gt;"",VLOOKUP($E79,'IT Structure'!A:C,3,0),"")</f>
        <v/>
      </c>
      <c r="L79" t="str">
        <f>IF($A79&lt;&gt;"",VLOOKUP($B79,'time target'!A:B,2,0),"")</f>
        <v/>
      </c>
    </row>
    <row r="80" spans="5:12">
      <c r="E80" s="5"/>
      <c r="H80" t="str">
        <f t="shared" si="3"/>
        <v/>
      </c>
      <c r="I80" t="str">
        <f t="shared" si="4"/>
        <v/>
      </c>
      <c r="J80" t="str">
        <f t="shared" si="5"/>
        <v/>
      </c>
      <c r="K80" t="str">
        <f>IF($A80&lt;&gt;"",VLOOKUP($E80,'IT Structure'!A:C,3,0),"")</f>
        <v/>
      </c>
      <c r="L80" t="str">
        <f>IF($A80&lt;&gt;"",VLOOKUP($B80,'time target'!A:B,2,0),"")</f>
        <v/>
      </c>
    </row>
    <row r="81" spans="5:12">
      <c r="E81" s="5"/>
      <c r="H81" t="str">
        <f t="shared" si="3"/>
        <v/>
      </c>
      <c r="I81" t="str">
        <f t="shared" si="4"/>
        <v/>
      </c>
      <c r="J81" t="str">
        <f t="shared" si="5"/>
        <v/>
      </c>
      <c r="K81" t="str">
        <f>IF($A81&lt;&gt;"",VLOOKUP($E81,'IT Structure'!A:C,3,0),"")</f>
        <v/>
      </c>
      <c r="L81" t="str">
        <f>IF($A81&lt;&gt;"",VLOOKUP($B81,'time target'!A:B,2,0),"")</f>
        <v/>
      </c>
    </row>
    <row r="82" spans="5:12">
      <c r="E82" s="5"/>
      <c r="H82" t="str">
        <f t="shared" si="3"/>
        <v/>
      </c>
      <c r="I82" t="str">
        <f t="shared" si="4"/>
        <v/>
      </c>
      <c r="J82" t="str">
        <f t="shared" si="5"/>
        <v/>
      </c>
      <c r="K82" t="str">
        <f>IF($A82&lt;&gt;"",VLOOKUP($E82,'IT Structure'!A:C,3,0),"")</f>
        <v/>
      </c>
      <c r="L82" t="str">
        <f>IF($A82&lt;&gt;"",VLOOKUP($B82,'time target'!A:B,2,0),"")</f>
        <v/>
      </c>
    </row>
    <row r="83" spans="5:12">
      <c r="E83" s="5"/>
      <c r="H83" t="str">
        <f t="shared" si="3"/>
        <v/>
      </c>
      <c r="I83" t="str">
        <f t="shared" si="4"/>
        <v/>
      </c>
      <c r="J83" t="str">
        <f t="shared" si="5"/>
        <v/>
      </c>
      <c r="K83" t="str">
        <f>IF($A83&lt;&gt;"",VLOOKUP($E83,'IT Structure'!A:C,3,0),"")</f>
        <v/>
      </c>
      <c r="L83" t="str">
        <f>IF($A83&lt;&gt;"",VLOOKUP($B83,'time target'!A:B,2,0),"")</f>
        <v/>
      </c>
    </row>
    <row r="84" spans="5:12">
      <c r="E84" s="5"/>
      <c r="H84" t="str">
        <f t="shared" si="3"/>
        <v/>
      </c>
      <c r="I84" t="str">
        <f t="shared" si="4"/>
        <v/>
      </c>
      <c r="J84" t="str">
        <f t="shared" si="5"/>
        <v/>
      </c>
      <c r="K84" t="str">
        <f>IF($A84&lt;&gt;"",VLOOKUP($E84,'IT Structure'!A:C,3,0),"")</f>
        <v/>
      </c>
      <c r="L84" t="str">
        <f>IF($A84&lt;&gt;"",VLOOKUP($B84,'time target'!A:B,2,0),"")</f>
        <v/>
      </c>
    </row>
    <row r="85" spans="5:12">
      <c r="E85" s="5"/>
      <c r="H85" t="str">
        <f t="shared" si="3"/>
        <v/>
      </c>
      <c r="I85" t="str">
        <f t="shared" si="4"/>
        <v/>
      </c>
      <c r="J85" t="str">
        <f t="shared" si="5"/>
        <v/>
      </c>
      <c r="K85" t="str">
        <f>IF($A85&lt;&gt;"",VLOOKUP($E85,'IT Structure'!A:C,3,0),"")</f>
        <v/>
      </c>
      <c r="L85" t="str">
        <f>IF($A85&lt;&gt;"",VLOOKUP($B85,'time target'!A:B,2,0),"")</f>
        <v/>
      </c>
    </row>
    <row r="86" spans="5:12">
      <c r="E86" s="5"/>
      <c r="H86" t="str">
        <f t="shared" si="3"/>
        <v/>
      </c>
      <c r="I86" t="str">
        <f t="shared" si="4"/>
        <v/>
      </c>
      <c r="J86" t="str">
        <f t="shared" si="5"/>
        <v/>
      </c>
      <c r="K86" t="str">
        <f>IF($A86&lt;&gt;"",VLOOKUP($E86,'IT Structure'!A:C,3,0),"")</f>
        <v/>
      </c>
      <c r="L86" t="str">
        <f>IF($A86&lt;&gt;"",VLOOKUP($B86,'time target'!A:B,2,0),"")</f>
        <v/>
      </c>
    </row>
    <row r="87" spans="5:12">
      <c r="E87" s="5"/>
      <c r="H87" t="str">
        <f t="shared" si="3"/>
        <v/>
      </c>
      <c r="I87" t="str">
        <f t="shared" si="4"/>
        <v/>
      </c>
      <c r="J87" t="str">
        <f t="shared" si="5"/>
        <v/>
      </c>
      <c r="K87" t="str">
        <f>IF($A87&lt;&gt;"",VLOOKUP($E87,'IT Structure'!A:C,3,0),"")</f>
        <v/>
      </c>
      <c r="L87" t="str">
        <f>IF($A87&lt;&gt;"",VLOOKUP($B87,'time target'!A:B,2,0),"")</f>
        <v/>
      </c>
    </row>
    <row r="88" spans="5:12">
      <c r="E88" s="5"/>
      <c r="H88" t="str">
        <f t="shared" si="3"/>
        <v/>
      </c>
      <c r="I88" t="str">
        <f t="shared" si="4"/>
        <v/>
      </c>
      <c r="J88" t="str">
        <f t="shared" si="5"/>
        <v/>
      </c>
      <c r="K88" t="str">
        <f>IF($A88&lt;&gt;"",VLOOKUP($E88,'IT Structure'!A:C,3,0),"")</f>
        <v/>
      </c>
      <c r="L88" t="str">
        <f>IF($A88&lt;&gt;"",VLOOKUP($B88,'time target'!A:B,2,0),"")</f>
        <v/>
      </c>
    </row>
    <row r="89" spans="5:12">
      <c r="E89" s="5"/>
      <c r="H89" t="str">
        <f t="shared" si="3"/>
        <v/>
      </c>
      <c r="I89" t="str">
        <f t="shared" si="4"/>
        <v/>
      </c>
      <c r="J89" t="str">
        <f t="shared" si="5"/>
        <v/>
      </c>
      <c r="K89" t="str">
        <f>IF($A89&lt;&gt;"",VLOOKUP($E89,'IT Structure'!A:C,3,0),"")</f>
        <v/>
      </c>
      <c r="L89" t="str">
        <f>IF($A89&lt;&gt;"",VLOOKUP($B89,'time target'!A:B,2,0),"")</f>
        <v/>
      </c>
    </row>
    <row r="90" spans="5:12">
      <c r="E90" s="5"/>
      <c r="H90" t="str">
        <f t="shared" si="3"/>
        <v/>
      </c>
      <c r="I90" t="str">
        <f t="shared" si="4"/>
        <v/>
      </c>
      <c r="J90" t="str">
        <f t="shared" si="5"/>
        <v/>
      </c>
      <c r="K90" t="str">
        <f>IF($A90&lt;&gt;"",VLOOKUP($E90,'IT Structure'!A:C,3,0),"")</f>
        <v/>
      </c>
      <c r="L90" t="str">
        <f>IF($A90&lt;&gt;"",VLOOKUP($B90,'time target'!A:B,2,0),"")</f>
        <v/>
      </c>
    </row>
    <row r="91" spans="5:12">
      <c r="E91" s="5"/>
      <c r="H91" t="str">
        <f t="shared" si="3"/>
        <v/>
      </c>
      <c r="I91" t="str">
        <f t="shared" si="4"/>
        <v/>
      </c>
      <c r="J91" t="str">
        <f t="shared" si="5"/>
        <v/>
      </c>
      <c r="K91" t="str">
        <f>IF($A91&lt;&gt;"",VLOOKUP($E91,'IT Structure'!A:C,3,0),"")</f>
        <v/>
      </c>
      <c r="L91" t="str">
        <f>IF($A91&lt;&gt;"",VLOOKUP($B91,'time target'!A:B,2,0),"")</f>
        <v/>
      </c>
    </row>
    <row r="92" spans="5:12">
      <c r="E92" s="5"/>
      <c r="H92" t="str">
        <f t="shared" si="3"/>
        <v/>
      </c>
      <c r="I92" t="str">
        <f t="shared" si="4"/>
        <v/>
      </c>
      <c r="J92" t="str">
        <f t="shared" si="5"/>
        <v/>
      </c>
      <c r="K92" t="str">
        <f>IF($A92&lt;&gt;"",VLOOKUP($E92,'IT Structure'!A:C,3,0),"")</f>
        <v/>
      </c>
      <c r="L92" t="str">
        <f>IF($A92&lt;&gt;"",VLOOKUP($B92,'time target'!A:B,2,0),"")</f>
        <v/>
      </c>
    </row>
    <row r="93" spans="5:12">
      <c r="E93" s="5"/>
      <c r="H93" t="str">
        <f t="shared" si="3"/>
        <v/>
      </c>
      <c r="I93" t="str">
        <f t="shared" si="4"/>
        <v/>
      </c>
      <c r="J93" t="str">
        <f t="shared" si="5"/>
        <v/>
      </c>
      <c r="K93" t="str">
        <f>IF($A93&lt;&gt;"",VLOOKUP($E93,'IT Structure'!A:C,3,0),"")</f>
        <v/>
      </c>
      <c r="L93" t="str">
        <f>IF($A93&lt;&gt;"",VLOOKUP($B93,'time target'!A:B,2,0),"")</f>
        <v/>
      </c>
    </row>
    <row r="94" spans="5:12">
      <c r="E94" s="5"/>
      <c r="H94" t="str">
        <f t="shared" si="3"/>
        <v/>
      </c>
      <c r="I94" t="str">
        <f t="shared" si="4"/>
        <v/>
      </c>
      <c r="J94" t="str">
        <f t="shared" si="5"/>
        <v/>
      </c>
      <c r="K94" t="str">
        <f>IF($A94&lt;&gt;"",VLOOKUP($E94,'IT Structure'!A:C,3,0),"")</f>
        <v/>
      </c>
      <c r="L94" t="str">
        <f>IF($A94&lt;&gt;"",VLOOKUP($B94,'time target'!A:B,2,0),"")</f>
        <v/>
      </c>
    </row>
    <row r="95" spans="5:12">
      <c r="E95" s="5"/>
      <c r="H95" t="str">
        <f t="shared" si="3"/>
        <v/>
      </c>
      <c r="I95" t="str">
        <f t="shared" si="4"/>
        <v/>
      </c>
      <c r="J95" t="str">
        <f t="shared" si="5"/>
        <v/>
      </c>
      <c r="K95" t="str">
        <f>IF($A95&lt;&gt;"",VLOOKUP($E95,'IT Structure'!A:C,3,0),"")</f>
        <v/>
      </c>
      <c r="L95" t="str">
        <f>IF($A95&lt;&gt;"",VLOOKUP($B95,'time target'!A:B,2,0),"")</f>
        <v/>
      </c>
    </row>
    <row r="96" spans="5:12">
      <c r="E96" s="5"/>
      <c r="H96" t="str">
        <f t="shared" si="3"/>
        <v/>
      </c>
      <c r="I96" t="str">
        <f t="shared" si="4"/>
        <v/>
      </c>
      <c r="J96" t="str">
        <f t="shared" si="5"/>
        <v/>
      </c>
      <c r="K96" t="str">
        <f>IF($A96&lt;&gt;"",VLOOKUP($E96,'IT Structure'!A:C,3,0),"")</f>
        <v/>
      </c>
      <c r="L96" t="str">
        <f>IF($A96&lt;&gt;"",VLOOKUP($B96,'time target'!A:B,2,0),"")</f>
        <v/>
      </c>
    </row>
    <row r="97" spans="5:12">
      <c r="E97" s="5"/>
      <c r="H97" t="str">
        <f t="shared" si="3"/>
        <v/>
      </c>
      <c r="I97" t="str">
        <f t="shared" si="4"/>
        <v/>
      </c>
      <c r="J97" t="str">
        <f t="shared" si="5"/>
        <v/>
      </c>
      <c r="K97" t="str">
        <f>IF($A97&lt;&gt;"",VLOOKUP($E97,'IT Structure'!A:C,3,0),"")</f>
        <v/>
      </c>
      <c r="L97" t="str">
        <f>IF($A97&lt;&gt;"",VLOOKUP($B97,'time target'!A:B,2,0),"")</f>
        <v/>
      </c>
    </row>
    <row r="98" spans="5:12">
      <c r="E98" s="5"/>
      <c r="H98" t="str">
        <f t="shared" si="3"/>
        <v/>
      </c>
      <c r="I98" t="str">
        <f t="shared" si="4"/>
        <v/>
      </c>
      <c r="J98" t="str">
        <f t="shared" si="5"/>
        <v/>
      </c>
      <c r="K98" t="str">
        <f>IF($A98&lt;&gt;"",VLOOKUP($E98,'IT Structure'!A:C,3,0),"")</f>
        <v/>
      </c>
      <c r="L98" t="str">
        <f>IF($A98&lt;&gt;"",VLOOKUP($B98,'time target'!A:B,2,0),"")</f>
        <v/>
      </c>
    </row>
    <row r="99" spans="5:12">
      <c r="E99" s="5"/>
      <c r="H99" t="str">
        <f t="shared" si="3"/>
        <v/>
      </c>
      <c r="I99" t="str">
        <f t="shared" si="4"/>
        <v/>
      </c>
      <c r="J99" t="str">
        <f t="shared" si="5"/>
        <v/>
      </c>
      <c r="K99" t="str">
        <f>IF($A99&lt;&gt;"",VLOOKUP($E99,'IT Structure'!A:C,3,0),"")</f>
        <v/>
      </c>
      <c r="L99" t="str">
        <f>IF($A99&lt;&gt;"",VLOOKUP($B99,'time target'!A:B,2,0),"")</f>
        <v/>
      </c>
    </row>
    <row r="100" spans="5:12">
      <c r="E100" s="5"/>
      <c r="H100" t="str">
        <f t="shared" si="3"/>
        <v/>
      </c>
      <c r="I100" t="str">
        <f t="shared" si="4"/>
        <v/>
      </c>
      <c r="J100" t="str">
        <f t="shared" si="5"/>
        <v/>
      </c>
      <c r="K100" t="str">
        <f>IF($A100&lt;&gt;"",VLOOKUP($E100,'IT Structure'!A:C,3,0),"")</f>
        <v/>
      </c>
      <c r="L100" t="str">
        <f>IF($A100&lt;&gt;"",VLOOKUP($B100,'time target'!A:B,2,0),"")</f>
        <v/>
      </c>
    </row>
    <row r="101" spans="5:12">
      <c r="E101" s="5"/>
      <c r="H101" t="str">
        <f t="shared" si="3"/>
        <v/>
      </c>
      <c r="I101" t="str">
        <f t="shared" si="4"/>
        <v/>
      </c>
      <c r="J101" t="str">
        <f t="shared" si="5"/>
        <v/>
      </c>
      <c r="K101" t="str">
        <f>IF($A101&lt;&gt;"",VLOOKUP($E101,'IT Structure'!A:C,3,0),"")</f>
        <v/>
      </c>
      <c r="L101" t="str">
        <f>IF($A101&lt;&gt;"",VLOOKUP($B101,'time target'!A:B,2,0),"")</f>
        <v/>
      </c>
    </row>
    <row r="102" spans="5:12">
      <c r="E102" s="5"/>
      <c r="H102" t="str">
        <f t="shared" si="3"/>
        <v/>
      </c>
      <c r="I102" t="str">
        <f t="shared" si="4"/>
        <v/>
      </c>
      <c r="J102" t="str">
        <f t="shared" si="5"/>
        <v/>
      </c>
      <c r="K102" t="str">
        <f>IF($A102&lt;&gt;"",VLOOKUP($E102,'IT Structure'!A:C,3,0),"")</f>
        <v/>
      </c>
      <c r="L102" t="str">
        <f>IF($A102&lt;&gt;"",VLOOKUP($B102,'time target'!A:B,2,0),"")</f>
        <v/>
      </c>
    </row>
    <row r="103" spans="5:12">
      <c r="E103" s="5"/>
      <c r="H103" t="str">
        <f t="shared" si="3"/>
        <v/>
      </c>
      <c r="I103" t="str">
        <f t="shared" si="4"/>
        <v/>
      </c>
      <c r="J103" t="str">
        <f t="shared" si="5"/>
        <v/>
      </c>
      <c r="K103" t="str">
        <f>IF($A103&lt;&gt;"",VLOOKUP($E103,'IT Structure'!A:C,3,0),"")</f>
        <v/>
      </c>
      <c r="L103" t="str">
        <f>IF($A103&lt;&gt;"",VLOOKUP($B103,'time target'!A:B,2,0),"")</f>
        <v/>
      </c>
    </row>
    <row r="104" spans="5:12">
      <c r="E104" s="5"/>
      <c r="H104" t="str">
        <f t="shared" si="3"/>
        <v/>
      </c>
      <c r="I104" t="str">
        <f t="shared" si="4"/>
        <v/>
      </c>
      <c r="J104" t="str">
        <f t="shared" si="5"/>
        <v/>
      </c>
      <c r="K104" t="str">
        <f>IF($A104&lt;&gt;"",VLOOKUP($E104,'IT Structure'!A:C,3,0),"")</f>
        <v/>
      </c>
      <c r="L104" t="str">
        <f>IF($A104&lt;&gt;"",VLOOKUP($B104,'time target'!A:B,2,0),"")</f>
        <v/>
      </c>
    </row>
    <row r="105" spans="5:12">
      <c r="E105" s="5"/>
      <c r="H105" t="str">
        <f t="shared" si="3"/>
        <v/>
      </c>
      <c r="I105" t="str">
        <f t="shared" si="4"/>
        <v/>
      </c>
      <c r="J105" t="str">
        <f t="shared" si="5"/>
        <v/>
      </c>
      <c r="K105" t="str">
        <f>IF($A105&lt;&gt;"",VLOOKUP($E105,'IT Structure'!A:C,3,0),"")</f>
        <v/>
      </c>
      <c r="L105" t="str">
        <f>IF($A105&lt;&gt;"",VLOOKUP($B105,'time target'!A:B,2,0),"")</f>
        <v/>
      </c>
    </row>
    <row r="106" spans="5:12">
      <c r="E106" s="5"/>
      <c r="H106" t="str">
        <f t="shared" si="3"/>
        <v/>
      </c>
      <c r="I106" t="str">
        <f t="shared" si="4"/>
        <v/>
      </c>
      <c r="J106" t="str">
        <f t="shared" si="5"/>
        <v/>
      </c>
      <c r="K106" t="str">
        <f>IF($A106&lt;&gt;"",VLOOKUP($E106,'IT Structure'!A:C,3,0),"")</f>
        <v/>
      </c>
      <c r="L106" t="str">
        <f>IF($A106&lt;&gt;"",VLOOKUP($B106,'time target'!A:B,2,0),"")</f>
        <v/>
      </c>
    </row>
    <row r="107" spans="5:12">
      <c r="E107" s="5"/>
      <c r="H107" t="str">
        <f t="shared" si="3"/>
        <v/>
      </c>
      <c r="I107" t="str">
        <f t="shared" si="4"/>
        <v/>
      </c>
      <c r="J107" t="str">
        <f t="shared" si="5"/>
        <v/>
      </c>
      <c r="K107" t="str">
        <f>IF($A107&lt;&gt;"",VLOOKUP($E107,'IT Structure'!A:C,3,0),"")</f>
        <v/>
      </c>
      <c r="L107" t="str">
        <f>IF($A107&lt;&gt;"",VLOOKUP($B107,'time target'!A:B,2,0),"")</f>
        <v/>
      </c>
    </row>
    <row r="108" spans="5:12">
      <c r="E108" s="5"/>
      <c r="H108" t="str">
        <f t="shared" si="3"/>
        <v/>
      </c>
      <c r="I108" t="str">
        <f t="shared" si="4"/>
        <v/>
      </c>
      <c r="J108" t="str">
        <f t="shared" si="5"/>
        <v/>
      </c>
      <c r="K108" t="str">
        <f>IF($A108&lt;&gt;"",VLOOKUP($E108,'IT Structure'!A:C,3,0),"")</f>
        <v/>
      </c>
      <c r="L108" t="str">
        <f>IF($A108&lt;&gt;"",VLOOKUP($B108,'time target'!A:B,2,0),"")</f>
        <v/>
      </c>
    </row>
    <row r="109" spans="5:12">
      <c r="E109" s="5"/>
      <c r="H109" t="str">
        <f t="shared" si="3"/>
        <v/>
      </c>
      <c r="I109" t="str">
        <f t="shared" si="4"/>
        <v/>
      </c>
      <c r="J109" t="str">
        <f t="shared" si="5"/>
        <v/>
      </c>
      <c r="K109" t="str">
        <f>IF($A109&lt;&gt;"",VLOOKUP($E109,'IT Structure'!A:C,3,0),"")</f>
        <v/>
      </c>
      <c r="L109" t="str">
        <f>IF($A109&lt;&gt;"",VLOOKUP($B109,'time target'!A:B,2,0),"")</f>
        <v/>
      </c>
    </row>
    <row r="110" spans="5:12">
      <c r="E110" s="5"/>
      <c r="H110" t="str">
        <f t="shared" si="3"/>
        <v/>
      </c>
      <c r="I110" t="str">
        <f t="shared" si="4"/>
        <v/>
      </c>
      <c r="J110" t="str">
        <f t="shared" si="5"/>
        <v/>
      </c>
      <c r="K110" t="str">
        <f>IF($A110&lt;&gt;"",VLOOKUP($E110,'IT Structure'!A:C,3,0),"")</f>
        <v/>
      </c>
      <c r="L110" t="str">
        <f>IF($A110&lt;&gt;"",VLOOKUP($B110,'time target'!A:B,2,0),"")</f>
        <v/>
      </c>
    </row>
    <row r="111" spans="5:12">
      <c r="E111" s="5"/>
      <c r="H111" t="str">
        <f t="shared" si="3"/>
        <v/>
      </c>
      <c r="I111" t="str">
        <f t="shared" si="4"/>
        <v/>
      </c>
      <c r="J111" t="str">
        <f t="shared" si="5"/>
        <v/>
      </c>
      <c r="K111" t="str">
        <f>IF($A111&lt;&gt;"",VLOOKUP($E111,'IT Structure'!A:C,3,0),"")</f>
        <v/>
      </c>
      <c r="L111" t="str">
        <f>IF($A111&lt;&gt;"",VLOOKUP($B111,'time target'!A:B,2,0),"")</f>
        <v/>
      </c>
    </row>
    <row r="112" spans="5:12">
      <c r="E112" s="5"/>
      <c r="H112" t="str">
        <f t="shared" si="3"/>
        <v/>
      </c>
      <c r="I112" t="str">
        <f t="shared" si="4"/>
        <v/>
      </c>
      <c r="J112" t="str">
        <f t="shared" si="5"/>
        <v/>
      </c>
      <c r="K112" t="str">
        <f>IF($A112&lt;&gt;"",VLOOKUP($E112,'IT Structure'!A:C,3,0),"")</f>
        <v/>
      </c>
      <c r="L112" t="str">
        <f>IF($A112&lt;&gt;"",VLOOKUP($B112,'time target'!A:B,2,0),"")</f>
        <v/>
      </c>
    </row>
    <row r="113" spans="5:12">
      <c r="E113" s="5"/>
      <c r="H113" t="str">
        <f t="shared" si="3"/>
        <v/>
      </c>
      <c r="I113" t="str">
        <f t="shared" si="4"/>
        <v/>
      </c>
      <c r="J113" t="str">
        <f t="shared" si="5"/>
        <v/>
      </c>
      <c r="K113" t="str">
        <f>IF($A113&lt;&gt;"",VLOOKUP($E113,'IT Structure'!A:C,3,0),"")</f>
        <v/>
      </c>
      <c r="L113" t="str">
        <f>IF($A113&lt;&gt;"",VLOOKUP($B113,'time target'!A:B,2,0),"")</f>
        <v/>
      </c>
    </row>
    <row r="114" spans="5:12">
      <c r="E114" s="5"/>
      <c r="H114" t="str">
        <f t="shared" si="3"/>
        <v/>
      </c>
      <c r="I114" t="str">
        <f t="shared" si="4"/>
        <v/>
      </c>
      <c r="J114" t="str">
        <f t="shared" si="5"/>
        <v/>
      </c>
      <c r="K114" t="str">
        <f>IF($A114&lt;&gt;"",VLOOKUP($E114,'IT Structure'!A:C,3,0),"")</f>
        <v/>
      </c>
      <c r="L114" t="str">
        <f>IF($A114&lt;&gt;"",VLOOKUP($B114,'time target'!A:B,2,0),"")</f>
        <v/>
      </c>
    </row>
    <row r="115" spans="5:12">
      <c r="E115" s="5"/>
      <c r="H115" t="str">
        <f t="shared" si="3"/>
        <v/>
      </c>
      <c r="I115" t="str">
        <f t="shared" si="4"/>
        <v/>
      </c>
      <c r="J115" t="str">
        <f t="shared" si="5"/>
        <v/>
      </c>
      <c r="K115" t="str">
        <f>IF($A115&lt;&gt;"",VLOOKUP($E115,'IT Structure'!A:C,3,0),"")</f>
        <v/>
      </c>
      <c r="L115" t="str">
        <f>IF($A115&lt;&gt;"",VLOOKUP($B115,'time target'!A:B,2,0),"")</f>
        <v/>
      </c>
    </row>
    <row r="116" spans="5:12">
      <c r="E116" s="5"/>
      <c r="H116" t="str">
        <f t="shared" si="3"/>
        <v/>
      </c>
      <c r="I116" t="str">
        <f t="shared" si="4"/>
        <v/>
      </c>
      <c r="J116" t="str">
        <f t="shared" si="5"/>
        <v/>
      </c>
      <c r="K116" t="str">
        <f>IF($A116&lt;&gt;"",VLOOKUP($E116,'IT Structure'!A:C,3,0),"")</f>
        <v/>
      </c>
      <c r="L116" t="str">
        <f>IF($A116&lt;&gt;"",VLOOKUP($B116,'time target'!A:B,2,0),"")</f>
        <v/>
      </c>
    </row>
    <row r="117" spans="5:12">
      <c r="E117" s="5"/>
      <c r="H117" t="str">
        <f t="shared" si="3"/>
        <v/>
      </c>
      <c r="I117" t="str">
        <f t="shared" si="4"/>
        <v/>
      </c>
      <c r="J117" t="str">
        <f t="shared" si="5"/>
        <v/>
      </c>
      <c r="K117" t="str">
        <f>IF($A117&lt;&gt;"",VLOOKUP($E117,'IT Structure'!A:C,3,0),"")</f>
        <v/>
      </c>
      <c r="L117" t="str">
        <f>IF($A117&lt;&gt;"",VLOOKUP($B117,'time target'!A:B,2,0),"")</f>
        <v/>
      </c>
    </row>
    <row r="118" spans="5:12">
      <c r="H118" t="str">
        <f t="shared" si="3"/>
        <v/>
      </c>
      <c r="I118" t="str">
        <f t="shared" si="4"/>
        <v/>
      </c>
      <c r="J118" t="str">
        <f t="shared" si="5"/>
        <v/>
      </c>
      <c r="K118" t="str">
        <f>IF($A118&lt;&gt;"",VLOOKUP($E118,'IT Structure'!A:C,3,0),"")</f>
        <v/>
      </c>
      <c r="L118" t="str">
        <f>IF($A118&lt;&gt;"",VLOOKUP($B118,'time target'!A:B,2,0),"")</f>
        <v/>
      </c>
    </row>
    <row r="119" spans="5:12">
      <c r="H119" t="str">
        <f t="shared" si="3"/>
        <v/>
      </c>
      <c r="I119" t="str">
        <f t="shared" si="4"/>
        <v/>
      </c>
      <c r="J119" t="str">
        <f t="shared" si="5"/>
        <v/>
      </c>
      <c r="K119" t="str">
        <f>IF($A119&lt;&gt;"",VLOOKUP($E119,'IT Structure'!A:C,3,0),"")</f>
        <v/>
      </c>
      <c r="L119" t="str">
        <f>IF($A119&lt;&gt;"",VLOOKUP($B119,'time target'!A:B,2,0),"")</f>
        <v/>
      </c>
    </row>
    <row r="120" spans="5:12">
      <c r="H120" t="str">
        <f t="shared" si="3"/>
        <v/>
      </c>
      <c r="I120" t="str">
        <f t="shared" si="4"/>
        <v/>
      </c>
      <c r="J120" t="str">
        <f t="shared" si="5"/>
        <v/>
      </c>
      <c r="K120" t="str">
        <f>IF($A120&lt;&gt;"",VLOOKUP($E120,'IT Structure'!A:C,3,0),"")</f>
        <v/>
      </c>
      <c r="L120" t="str">
        <f>IF($A120&lt;&gt;"",VLOOKUP($B120,'time target'!A:B,2,0),"")</f>
        <v/>
      </c>
    </row>
    <row r="121" spans="5:12">
      <c r="H121" t="str">
        <f t="shared" si="3"/>
        <v/>
      </c>
      <c r="I121" t="str">
        <f t="shared" si="4"/>
        <v/>
      </c>
      <c r="J121" t="str">
        <f t="shared" si="5"/>
        <v/>
      </c>
      <c r="K121" t="str">
        <f>IF($A121&lt;&gt;"",VLOOKUP($E121,'IT Structure'!A:C,3,0),"")</f>
        <v/>
      </c>
      <c r="L121" t="str">
        <f>IF($A121&lt;&gt;"",VLOOKUP($B121,'time target'!A:B,2,0),"")</f>
        <v/>
      </c>
    </row>
    <row r="122" spans="5:12">
      <c r="H122" t="str">
        <f t="shared" si="3"/>
        <v/>
      </c>
      <c r="I122" t="str">
        <f t="shared" si="4"/>
        <v/>
      </c>
      <c r="J122" t="str">
        <f t="shared" si="5"/>
        <v/>
      </c>
      <c r="K122" t="str">
        <f>IF($A122&lt;&gt;"",VLOOKUP($E122,'IT Structure'!A:C,3,0),"")</f>
        <v/>
      </c>
      <c r="L122" t="str">
        <f>IF($A122&lt;&gt;"",VLOOKUP($B122,'time target'!A:B,2,0),"")</f>
        <v/>
      </c>
    </row>
    <row r="123" spans="5:12">
      <c r="H123" t="str">
        <f t="shared" si="3"/>
        <v/>
      </c>
      <c r="I123" t="str">
        <f t="shared" si="4"/>
        <v/>
      </c>
      <c r="J123" t="str">
        <f t="shared" si="5"/>
        <v/>
      </c>
      <c r="K123" t="str">
        <f>IF($A123&lt;&gt;"",VLOOKUP($E123,'IT Structure'!A:C,3,0),"")</f>
        <v/>
      </c>
      <c r="L123" t="str">
        <f>IF($A123&lt;&gt;"",VLOOKUP($B123,'time target'!A:B,2,0),"")</f>
        <v/>
      </c>
    </row>
    <row r="124" spans="5:12">
      <c r="H124" t="str">
        <f t="shared" si="3"/>
        <v/>
      </c>
      <c r="I124" t="str">
        <f t="shared" si="4"/>
        <v/>
      </c>
      <c r="J124" t="str">
        <f t="shared" si="5"/>
        <v/>
      </c>
      <c r="K124" t="str">
        <f>IF($A124&lt;&gt;"",VLOOKUP($E124,'IT Structure'!A:C,3,0),"")</f>
        <v/>
      </c>
      <c r="L124" t="str">
        <f>IF($A124&lt;&gt;"",VLOOKUP($B124,'time target'!A:B,2,0),"")</f>
        <v/>
      </c>
    </row>
    <row r="125" spans="5:12">
      <c r="H125" t="str">
        <f t="shared" si="3"/>
        <v/>
      </c>
      <c r="I125" t="str">
        <f t="shared" si="4"/>
        <v/>
      </c>
      <c r="J125" t="str">
        <f t="shared" si="5"/>
        <v/>
      </c>
      <c r="K125" t="str">
        <f>IF($A125&lt;&gt;"",VLOOKUP($E125,'IT Structure'!A:C,3,0),"")</f>
        <v/>
      </c>
      <c r="L125" t="str">
        <f>IF($A125&lt;&gt;"",VLOOKUP($B125,'time target'!A:B,2,0),"")</f>
        <v/>
      </c>
    </row>
    <row r="126" spans="5:12">
      <c r="H126" t="str">
        <f t="shared" si="3"/>
        <v/>
      </c>
      <c r="I126" t="str">
        <f t="shared" si="4"/>
        <v/>
      </c>
      <c r="J126" t="str">
        <f t="shared" si="5"/>
        <v/>
      </c>
      <c r="K126" t="str">
        <f>IF($A126&lt;&gt;"",VLOOKUP($E126,'IT Structure'!A:C,3,0),"")</f>
        <v/>
      </c>
      <c r="L126" t="str">
        <f>IF($A126&lt;&gt;"",VLOOKUP($B126,'time target'!A:B,2,0),"")</f>
        <v/>
      </c>
    </row>
    <row r="127" spans="5:12">
      <c r="H127" t="str">
        <f t="shared" si="3"/>
        <v/>
      </c>
      <c r="I127" t="str">
        <f t="shared" si="4"/>
        <v/>
      </c>
      <c r="J127" t="str">
        <f t="shared" si="5"/>
        <v/>
      </c>
      <c r="K127" t="str">
        <f>IF($A127&lt;&gt;"",VLOOKUP($E127,'IT Structure'!A:C,3,0),"")</f>
        <v/>
      </c>
      <c r="L127" t="str">
        <f>IF($A127&lt;&gt;"",VLOOKUP($B127,'time target'!A:B,2,0),"")</f>
        <v/>
      </c>
    </row>
    <row r="128" spans="5:12">
      <c r="H128" t="str">
        <f t="shared" si="3"/>
        <v/>
      </c>
      <c r="I128" t="str">
        <f t="shared" si="4"/>
        <v/>
      </c>
      <c r="J128" t="str">
        <f t="shared" si="5"/>
        <v/>
      </c>
      <c r="K128" t="str">
        <f>IF($A128&lt;&gt;"",VLOOKUP($E128,'IT Structure'!A:C,3,0),"")</f>
        <v/>
      </c>
      <c r="L128" t="str">
        <f>IF($A128&lt;&gt;"",VLOOKUP($B128,'time target'!A:B,2,0),"")</f>
        <v/>
      </c>
    </row>
    <row r="129" spans="8:12">
      <c r="H129" t="str">
        <f t="shared" si="3"/>
        <v/>
      </c>
      <c r="I129" t="str">
        <f t="shared" si="4"/>
        <v/>
      </c>
      <c r="J129" t="str">
        <f t="shared" si="5"/>
        <v/>
      </c>
      <c r="K129" t="str">
        <f>IF($A129&lt;&gt;"",VLOOKUP($E129,'IT Structure'!A:C,3,0),"")</f>
        <v/>
      </c>
      <c r="L129" t="str">
        <f>IF($A129&lt;&gt;"",VLOOKUP($B129,'time target'!A:B,2,0),"")</f>
        <v/>
      </c>
    </row>
    <row r="130" spans="8:12">
      <c r="H130" t="str">
        <f t="shared" si="3"/>
        <v/>
      </c>
      <c r="I130" t="str">
        <f t="shared" si="4"/>
        <v/>
      </c>
      <c r="J130" t="str">
        <f t="shared" si="5"/>
        <v/>
      </c>
      <c r="K130" t="str">
        <f>IF($A130&lt;&gt;"",VLOOKUP($E130,'IT Structure'!A:C,3,0),"")</f>
        <v/>
      </c>
      <c r="L130" t="str">
        <f>IF($A130&lt;&gt;"",VLOOKUP($B130,'time target'!A:B,2,0),"")</f>
        <v/>
      </c>
    </row>
    <row r="131" spans="8:12">
      <c r="H131" t="str">
        <f t="shared" ref="H131:H194" si="6">IF($A131&lt;&gt;"",MONTH($G131),"")</f>
        <v/>
      </c>
      <c r="I131" t="str">
        <f t="shared" ref="I131:I194" si="7">IF($A131&lt;&gt;"",YEAR($G131),"")</f>
        <v/>
      </c>
      <c r="J131" t="str">
        <f t="shared" ref="J131:J194" si="8">IF($A131&lt;&gt;"",DAY($G131),"")</f>
        <v/>
      </c>
      <c r="K131" t="str">
        <f>IF($A131&lt;&gt;"",VLOOKUP($E131,'IT Structure'!A:C,3,0),"")</f>
        <v/>
      </c>
      <c r="L131" t="str">
        <f>IF($A131&lt;&gt;"",VLOOKUP($B131,'time target'!A:B,2,0),"")</f>
        <v/>
      </c>
    </row>
    <row r="132" spans="8:12">
      <c r="H132" t="str">
        <f t="shared" si="6"/>
        <v/>
      </c>
      <c r="I132" t="str">
        <f t="shared" si="7"/>
        <v/>
      </c>
      <c r="J132" t="str">
        <f t="shared" si="8"/>
        <v/>
      </c>
      <c r="K132" t="str">
        <f>IF($A132&lt;&gt;"",VLOOKUP($E132,'IT Structure'!A:C,3,0),"")</f>
        <v/>
      </c>
      <c r="L132" t="str">
        <f>IF($A132&lt;&gt;"",VLOOKUP($B132,'time target'!A:B,2,0),"")</f>
        <v/>
      </c>
    </row>
    <row r="133" spans="8:12">
      <c r="H133" t="str">
        <f t="shared" si="6"/>
        <v/>
      </c>
      <c r="I133" t="str">
        <f t="shared" si="7"/>
        <v/>
      </c>
      <c r="J133" t="str">
        <f t="shared" si="8"/>
        <v/>
      </c>
      <c r="K133" t="str">
        <f>IF($A133&lt;&gt;"",VLOOKUP($E133,'IT Structure'!A:C,3,0),"")</f>
        <v/>
      </c>
      <c r="L133" t="str">
        <f>IF($A133&lt;&gt;"",VLOOKUP($B133,'time target'!A:B,2,0),"")</f>
        <v/>
      </c>
    </row>
    <row r="134" spans="8:12">
      <c r="H134" t="str">
        <f t="shared" si="6"/>
        <v/>
      </c>
      <c r="I134" t="str">
        <f t="shared" si="7"/>
        <v/>
      </c>
      <c r="J134" t="str">
        <f t="shared" si="8"/>
        <v/>
      </c>
      <c r="K134" t="str">
        <f>IF($A134&lt;&gt;"",VLOOKUP($E134,'IT Structure'!A:C,3,0),"")</f>
        <v/>
      </c>
      <c r="L134" t="str">
        <f>IF($A134&lt;&gt;"",VLOOKUP($B134,'time target'!A:B,2,0),"")</f>
        <v/>
      </c>
    </row>
    <row r="135" spans="8:12">
      <c r="H135" t="str">
        <f t="shared" si="6"/>
        <v/>
      </c>
      <c r="I135" t="str">
        <f t="shared" si="7"/>
        <v/>
      </c>
      <c r="J135" t="str">
        <f t="shared" si="8"/>
        <v/>
      </c>
      <c r="K135" t="str">
        <f>IF($A135&lt;&gt;"",VLOOKUP($E135,'IT Structure'!A:C,3,0),"")</f>
        <v/>
      </c>
      <c r="L135" t="str">
        <f>IF($A135&lt;&gt;"",VLOOKUP($B135,'time target'!A:B,2,0),"")</f>
        <v/>
      </c>
    </row>
    <row r="136" spans="8:12">
      <c r="H136" t="str">
        <f t="shared" si="6"/>
        <v/>
      </c>
      <c r="I136" t="str">
        <f t="shared" si="7"/>
        <v/>
      </c>
      <c r="J136" t="str">
        <f t="shared" si="8"/>
        <v/>
      </c>
      <c r="K136" t="str">
        <f>IF($A136&lt;&gt;"",VLOOKUP($E136,'IT Structure'!A:C,3,0),"")</f>
        <v/>
      </c>
      <c r="L136" t="str">
        <f>IF($A136&lt;&gt;"",VLOOKUP($B136,'time target'!A:B,2,0),"")</f>
        <v/>
      </c>
    </row>
    <row r="137" spans="8:12">
      <c r="H137" t="str">
        <f t="shared" si="6"/>
        <v/>
      </c>
      <c r="I137" t="str">
        <f t="shared" si="7"/>
        <v/>
      </c>
      <c r="J137" t="str">
        <f t="shared" si="8"/>
        <v/>
      </c>
      <c r="K137" t="str">
        <f>IF($A137&lt;&gt;"",VLOOKUP($E137,'IT Structure'!A:C,3,0),"")</f>
        <v/>
      </c>
      <c r="L137" t="str">
        <f>IF($A137&lt;&gt;"",VLOOKUP($B137,'time target'!A:B,2,0),"")</f>
        <v/>
      </c>
    </row>
    <row r="138" spans="8:12">
      <c r="H138" t="str">
        <f t="shared" si="6"/>
        <v/>
      </c>
      <c r="I138" t="str">
        <f t="shared" si="7"/>
        <v/>
      </c>
      <c r="J138" t="str">
        <f t="shared" si="8"/>
        <v/>
      </c>
      <c r="K138" t="str">
        <f>IF($A138&lt;&gt;"",VLOOKUP($E138,'IT Structure'!A:C,3,0),"")</f>
        <v/>
      </c>
      <c r="L138" t="str">
        <f>IF($A138&lt;&gt;"",VLOOKUP($B138,'time target'!A:B,2,0),"")</f>
        <v/>
      </c>
    </row>
    <row r="139" spans="8:12">
      <c r="H139" t="str">
        <f t="shared" si="6"/>
        <v/>
      </c>
      <c r="I139" t="str">
        <f t="shared" si="7"/>
        <v/>
      </c>
      <c r="J139" t="str">
        <f t="shared" si="8"/>
        <v/>
      </c>
      <c r="K139" t="str">
        <f>IF($A139&lt;&gt;"",VLOOKUP($E139,'IT Structure'!A:C,3,0),"")</f>
        <v/>
      </c>
      <c r="L139" t="str">
        <f>IF($A139&lt;&gt;"",VLOOKUP($B139,'time target'!A:B,2,0),"")</f>
        <v/>
      </c>
    </row>
    <row r="140" spans="8:12">
      <c r="H140" t="str">
        <f t="shared" si="6"/>
        <v/>
      </c>
      <c r="I140" t="str">
        <f t="shared" si="7"/>
        <v/>
      </c>
      <c r="J140" t="str">
        <f t="shared" si="8"/>
        <v/>
      </c>
      <c r="K140" t="str">
        <f>IF($A140&lt;&gt;"",VLOOKUP($E140,'IT Structure'!A:C,3,0),"")</f>
        <v/>
      </c>
      <c r="L140" t="str">
        <f>IF($A140&lt;&gt;"",VLOOKUP($B140,'time target'!A:B,2,0),"")</f>
        <v/>
      </c>
    </row>
    <row r="141" spans="8:12">
      <c r="H141" t="str">
        <f t="shared" si="6"/>
        <v/>
      </c>
      <c r="I141" t="str">
        <f t="shared" si="7"/>
        <v/>
      </c>
      <c r="J141" t="str">
        <f t="shared" si="8"/>
        <v/>
      </c>
      <c r="K141" t="str">
        <f>IF($A141&lt;&gt;"",VLOOKUP($E141,'IT Structure'!A:C,3,0),"")</f>
        <v/>
      </c>
      <c r="L141" t="str">
        <f>IF($A141&lt;&gt;"",VLOOKUP($B141,'time target'!A:B,2,0),"")</f>
        <v/>
      </c>
    </row>
    <row r="142" spans="8:12">
      <c r="H142" t="str">
        <f t="shared" si="6"/>
        <v/>
      </c>
      <c r="I142" t="str">
        <f t="shared" si="7"/>
        <v/>
      </c>
      <c r="J142" t="str">
        <f t="shared" si="8"/>
        <v/>
      </c>
      <c r="K142" t="str">
        <f>IF($A142&lt;&gt;"",VLOOKUP($E142,'IT Structure'!A:C,3,0),"")</f>
        <v/>
      </c>
      <c r="L142" t="str">
        <f>IF($A142&lt;&gt;"",VLOOKUP($B142,'time target'!A:B,2,0),"")</f>
        <v/>
      </c>
    </row>
    <row r="143" spans="8:12">
      <c r="H143" t="str">
        <f t="shared" si="6"/>
        <v/>
      </c>
      <c r="I143" t="str">
        <f t="shared" si="7"/>
        <v/>
      </c>
      <c r="J143" t="str">
        <f t="shared" si="8"/>
        <v/>
      </c>
      <c r="K143" t="str">
        <f>IF($A143&lt;&gt;"",VLOOKUP($E143,'IT Structure'!A:C,3,0),"")</f>
        <v/>
      </c>
      <c r="L143" t="str">
        <f>IF($A143&lt;&gt;"",VLOOKUP($B143,'time target'!A:B,2,0),"")</f>
        <v/>
      </c>
    </row>
    <row r="144" spans="8:12">
      <c r="H144" t="str">
        <f t="shared" si="6"/>
        <v/>
      </c>
      <c r="I144" t="str">
        <f t="shared" si="7"/>
        <v/>
      </c>
      <c r="J144" t="str">
        <f t="shared" si="8"/>
        <v/>
      </c>
      <c r="K144" t="str">
        <f>IF($A144&lt;&gt;"",VLOOKUP($E144,'IT Structure'!A:C,3,0),"")</f>
        <v/>
      </c>
      <c r="L144" t="str">
        <f>IF($A144&lt;&gt;"",VLOOKUP($B144,'time target'!A:B,2,0),"")</f>
        <v/>
      </c>
    </row>
    <row r="145" spans="8:12">
      <c r="H145" t="str">
        <f t="shared" si="6"/>
        <v/>
      </c>
      <c r="I145" t="str">
        <f t="shared" si="7"/>
        <v/>
      </c>
      <c r="J145" t="str">
        <f t="shared" si="8"/>
        <v/>
      </c>
      <c r="K145" t="str">
        <f>IF($A145&lt;&gt;"",VLOOKUP($E145,'IT Structure'!A:C,3,0),"")</f>
        <v/>
      </c>
      <c r="L145" t="str">
        <f>IF($A145&lt;&gt;"",VLOOKUP($B145,'time target'!A:B,2,0),"")</f>
        <v/>
      </c>
    </row>
    <row r="146" spans="8:12">
      <c r="H146" t="str">
        <f t="shared" si="6"/>
        <v/>
      </c>
      <c r="I146" t="str">
        <f t="shared" si="7"/>
        <v/>
      </c>
      <c r="J146" t="str">
        <f t="shared" si="8"/>
        <v/>
      </c>
      <c r="K146" t="str">
        <f>IF($A146&lt;&gt;"",VLOOKUP($E146,'IT Structure'!A:C,3,0),"")</f>
        <v/>
      </c>
      <c r="L146" t="str">
        <f>IF($A146&lt;&gt;"",VLOOKUP($B146,'time target'!A:B,2,0),"")</f>
        <v/>
      </c>
    </row>
    <row r="147" spans="8:12">
      <c r="H147" t="str">
        <f t="shared" si="6"/>
        <v/>
      </c>
      <c r="I147" t="str">
        <f t="shared" si="7"/>
        <v/>
      </c>
      <c r="J147" t="str">
        <f t="shared" si="8"/>
        <v/>
      </c>
      <c r="K147" t="str">
        <f>IF($A147&lt;&gt;"",VLOOKUP($E147,'IT Structure'!A:C,3,0),"")</f>
        <v/>
      </c>
      <c r="L147" t="str">
        <f>IF($A147&lt;&gt;"",VLOOKUP($B147,'time target'!A:B,2,0),"")</f>
        <v/>
      </c>
    </row>
    <row r="148" spans="8:12">
      <c r="H148" t="str">
        <f t="shared" si="6"/>
        <v/>
      </c>
      <c r="I148" t="str">
        <f t="shared" si="7"/>
        <v/>
      </c>
      <c r="J148" t="str">
        <f t="shared" si="8"/>
        <v/>
      </c>
      <c r="K148" t="str">
        <f>IF($A148&lt;&gt;"",VLOOKUP($E148,'IT Structure'!A:C,3,0),"")</f>
        <v/>
      </c>
      <c r="L148" t="str">
        <f>IF($A148&lt;&gt;"",VLOOKUP($B148,'time target'!A:B,2,0),"")</f>
        <v/>
      </c>
    </row>
    <row r="149" spans="8:12">
      <c r="H149" t="str">
        <f t="shared" si="6"/>
        <v/>
      </c>
      <c r="I149" t="str">
        <f t="shared" si="7"/>
        <v/>
      </c>
      <c r="J149" t="str">
        <f t="shared" si="8"/>
        <v/>
      </c>
      <c r="K149" t="str">
        <f>IF($A149&lt;&gt;"",VLOOKUP($E149,'IT Structure'!A:C,3,0),"")</f>
        <v/>
      </c>
      <c r="L149" t="str">
        <f>IF($A149&lt;&gt;"",VLOOKUP($B149,'time target'!A:B,2,0),"")</f>
        <v/>
      </c>
    </row>
    <row r="150" spans="8:12">
      <c r="H150" t="str">
        <f t="shared" si="6"/>
        <v/>
      </c>
      <c r="I150" t="str">
        <f t="shared" si="7"/>
        <v/>
      </c>
      <c r="J150" t="str">
        <f t="shared" si="8"/>
        <v/>
      </c>
      <c r="K150" t="str">
        <f>IF($A150&lt;&gt;"",VLOOKUP($E150,'IT Structure'!A:C,3,0),"")</f>
        <v/>
      </c>
      <c r="L150" t="str">
        <f>IF($A150&lt;&gt;"",VLOOKUP($B150,'time target'!A:B,2,0),"")</f>
        <v/>
      </c>
    </row>
    <row r="151" spans="8:12">
      <c r="H151" t="str">
        <f t="shared" si="6"/>
        <v/>
      </c>
      <c r="I151" t="str">
        <f t="shared" si="7"/>
        <v/>
      </c>
      <c r="J151" t="str">
        <f t="shared" si="8"/>
        <v/>
      </c>
      <c r="K151" t="str">
        <f>IF($A151&lt;&gt;"",VLOOKUP($E151,'IT Structure'!A:C,3,0),"")</f>
        <v/>
      </c>
      <c r="L151" t="str">
        <f>IF($A151&lt;&gt;"",VLOOKUP($B151,'time target'!A:B,2,0),"")</f>
        <v/>
      </c>
    </row>
    <row r="152" spans="8:12">
      <c r="H152" t="str">
        <f t="shared" si="6"/>
        <v/>
      </c>
      <c r="I152" t="str">
        <f t="shared" si="7"/>
        <v/>
      </c>
      <c r="J152" t="str">
        <f t="shared" si="8"/>
        <v/>
      </c>
      <c r="K152" t="str">
        <f>IF($A152&lt;&gt;"",VLOOKUP($E152,'IT Structure'!A:C,3,0),"")</f>
        <v/>
      </c>
      <c r="L152" t="str">
        <f>IF($A152&lt;&gt;"",VLOOKUP($B152,'time target'!A:B,2,0),"")</f>
        <v/>
      </c>
    </row>
    <row r="153" spans="8:12">
      <c r="H153" t="str">
        <f t="shared" si="6"/>
        <v/>
      </c>
      <c r="I153" t="str">
        <f t="shared" si="7"/>
        <v/>
      </c>
      <c r="J153" t="str">
        <f t="shared" si="8"/>
        <v/>
      </c>
      <c r="K153" t="str">
        <f>IF($A153&lt;&gt;"",VLOOKUP($E153,'IT Structure'!A:C,3,0),"")</f>
        <v/>
      </c>
      <c r="L153" t="str">
        <f>IF($A153&lt;&gt;"",VLOOKUP($B153,'time target'!A:B,2,0),"")</f>
        <v/>
      </c>
    </row>
    <row r="154" spans="8:12">
      <c r="H154" t="str">
        <f t="shared" si="6"/>
        <v/>
      </c>
      <c r="I154" t="str">
        <f t="shared" si="7"/>
        <v/>
      </c>
      <c r="J154" t="str">
        <f t="shared" si="8"/>
        <v/>
      </c>
      <c r="K154" t="str">
        <f>IF($A154&lt;&gt;"",VLOOKUP($E154,'IT Structure'!A:C,3,0),"")</f>
        <v/>
      </c>
      <c r="L154" t="str">
        <f>IF($A154&lt;&gt;"",VLOOKUP($B154,'time target'!A:B,2,0),"")</f>
        <v/>
      </c>
    </row>
    <row r="155" spans="8:12">
      <c r="H155" t="str">
        <f t="shared" si="6"/>
        <v/>
      </c>
      <c r="I155" t="str">
        <f t="shared" si="7"/>
        <v/>
      </c>
      <c r="J155" t="str">
        <f t="shared" si="8"/>
        <v/>
      </c>
      <c r="K155" t="str">
        <f>IF($A155&lt;&gt;"",VLOOKUP($E155,'IT Structure'!A:C,3,0),"")</f>
        <v/>
      </c>
      <c r="L155" t="str">
        <f>IF($A155&lt;&gt;"",VLOOKUP($B155,'time target'!A:B,2,0),"")</f>
        <v/>
      </c>
    </row>
    <row r="156" spans="8:12">
      <c r="H156" t="str">
        <f t="shared" si="6"/>
        <v/>
      </c>
      <c r="I156" t="str">
        <f t="shared" si="7"/>
        <v/>
      </c>
      <c r="J156" t="str">
        <f t="shared" si="8"/>
        <v/>
      </c>
      <c r="K156" t="str">
        <f>IF($A156&lt;&gt;"",VLOOKUP($E156,'IT Structure'!A:C,3,0),"")</f>
        <v/>
      </c>
      <c r="L156" t="str">
        <f>IF($A156&lt;&gt;"",VLOOKUP($B156,'time target'!A:B,2,0),"")</f>
        <v/>
      </c>
    </row>
    <row r="157" spans="8:12">
      <c r="H157" t="str">
        <f t="shared" si="6"/>
        <v/>
      </c>
      <c r="I157" t="str">
        <f t="shared" si="7"/>
        <v/>
      </c>
      <c r="J157" t="str">
        <f t="shared" si="8"/>
        <v/>
      </c>
      <c r="K157" t="str">
        <f>IF($A157&lt;&gt;"",VLOOKUP($E157,'IT Structure'!A:C,3,0),"")</f>
        <v/>
      </c>
      <c r="L157" t="str">
        <f>IF($A157&lt;&gt;"",VLOOKUP($B157,'time target'!A:B,2,0),"")</f>
        <v/>
      </c>
    </row>
    <row r="158" spans="8:12">
      <c r="H158" t="str">
        <f t="shared" si="6"/>
        <v/>
      </c>
      <c r="I158" t="str">
        <f t="shared" si="7"/>
        <v/>
      </c>
      <c r="J158" t="str">
        <f t="shared" si="8"/>
        <v/>
      </c>
      <c r="K158" t="str">
        <f>IF($A158&lt;&gt;"",VLOOKUP($E158,'IT Structure'!A:C,3,0),"")</f>
        <v/>
      </c>
      <c r="L158" t="str">
        <f>IF($A158&lt;&gt;"",VLOOKUP($B158,'time target'!A:B,2,0),"")</f>
        <v/>
      </c>
    </row>
    <row r="159" spans="8:12">
      <c r="H159" t="str">
        <f t="shared" si="6"/>
        <v/>
      </c>
      <c r="I159" t="str">
        <f t="shared" si="7"/>
        <v/>
      </c>
      <c r="J159" t="str">
        <f t="shared" si="8"/>
        <v/>
      </c>
      <c r="K159" t="str">
        <f>IF($A159&lt;&gt;"",VLOOKUP($E159,'IT Structure'!A:C,3,0),"")</f>
        <v/>
      </c>
      <c r="L159" t="str">
        <f>IF($A159&lt;&gt;"",VLOOKUP($B159,'time target'!A:B,2,0),"")</f>
        <v/>
      </c>
    </row>
    <row r="160" spans="8:12">
      <c r="H160" t="str">
        <f t="shared" si="6"/>
        <v/>
      </c>
      <c r="I160" t="str">
        <f t="shared" si="7"/>
        <v/>
      </c>
      <c r="J160" t="str">
        <f t="shared" si="8"/>
        <v/>
      </c>
      <c r="K160" t="str">
        <f>IF($A160&lt;&gt;"",VLOOKUP($E160,'IT Structure'!A:C,3,0),"")</f>
        <v/>
      </c>
      <c r="L160" t="str">
        <f>IF($A160&lt;&gt;"",VLOOKUP($B160,'time target'!A:B,2,0),"")</f>
        <v/>
      </c>
    </row>
    <row r="161" spans="8:12">
      <c r="H161" t="str">
        <f t="shared" si="6"/>
        <v/>
      </c>
      <c r="I161" t="str">
        <f t="shared" si="7"/>
        <v/>
      </c>
      <c r="J161" t="str">
        <f t="shared" si="8"/>
        <v/>
      </c>
      <c r="K161" t="str">
        <f>IF($A161&lt;&gt;"",VLOOKUP($E161,'IT Structure'!A:C,3,0),"")</f>
        <v/>
      </c>
      <c r="L161" t="str">
        <f>IF($A161&lt;&gt;"",VLOOKUP($B161,'time target'!A:B,2,0),"")</f>
        <v/>
      </c>
    </row>
    <row r="162" spans="8:12">
      <c r="H162" t="str">
        <f t="shared" si="6"/>
        <v/>
      </c>
      <c r="I162" t="str">
        <f t="shared" si="7"/>
        <v/>
      </c>
      <c r="J162" t="str">
        <f t="shared" si="8"/>
        <v/>
      </c>
      <c r="K162" t="str">
        <f>IF($A162&lt;&gt;"",VLOOKUP($E162,'IT Structure'!A:C,3,0),"")</f>
        <v/>
      </c>
      <c r="L162" t="str">
        <f>IF($A162&lt;&gt;"",VLOOKUP($B162,'time target'!A:B,2,0),"")</f>
        <v/>
      </c>
    </row>
    <row r="163" spans="8:12">
      <c r="H163" t="str">
        <f t="shared" si="6"/>
        <v/>
      </c>
      <c r="I163" t="str">
        <f t="shared" si="7"/>
        <v/>
      </c>
      <c r="J163" t="str">
        <f t="shared" si="8"/>
        <v/>
      </c>
      <c r="K163" t="str">
        <f>IF($A163&lt;&gt;"",VLOOKUP($E163,'IT Structure'!A:C,3,0),"")</f>
        <v/>
      </c>
      <c r="L163" t="str">
        <f>IF($A163&lt;&gt;"",VLOOKUP($B163,'time target'!A:B,2,0),"")</f>
        <v/>
      </c>
    </row>
    <row r="164" spans="8:12">
      <c r="H164" t="str">
        <f t="shared" si="6"/>
        <v/>
      </c>
      <c r="I164" t="str">
        <f t="shared" si="7"/>
        <v/>
      </c>
      <c r="J164" t="str">
        <f t="shared" si="8"/>
        <v/>
      </c>
      <c r="K164" t="str">
        <f>IF($A164&lt;&gt;"",VLOOKUP($E164,'IT Structure'!A:C,3,0),"")</f>
        <v/>
      </c>
      <c r="L164" t="str">
        <f>IF($A164&lt;&gt;"",VLOOKUP($B164,'time target'!A:B,2,0),"")</f>
        <v/>
      </c>
    </row>
    <row r="165" spans="8:12">
      <c r="H165" t="str">
        <f t="shared" si="6"/>
        <v/>
      </c>
      <c r="I165" t="str">
        <f t="shared" si="7"/>
        <v/>
      </c>
      <c r="J165" t="str">
        <f t="shared" si="8"/>
        <v/>
      </c>
      <c r="K165" t="str">
        <f>IF($A165&lt;&gt;"",VLOOKUP($E165,'IT Structure'!A:C,3,0),"")</f>
        <v/>
      </c>
      <c r="L165" t="str">
        <f>IF($A165&lt;&gt;"",VLOOKUP($B165,'time target'!A:B,2,0),"")</f>
        <v/>
      </c>
    </row>
    <row r="166" spans="8:12">
      <c r="H166" t="str">
        <f t="shared" si="6"/>
        <v/>
      </c>
      <c r="I166" t="str">
        <f t="shared" si="7"/>
        <v/>
      </c>
      <c r="J166" t="str">
        <f t="shared" si="8"/>
        <v/>
      </c>
      <c r="K166" t="str">
        <f>IF($A166&lt;&gt;"",VLOOKUP($E166,'IT Structure'!A:C,3,0),"")</f>
        <v/>
      </c>
      <c r="L166" t="str">
        <f>IF($A166&lt;&gt;"",VLOOKUP($B166,'time target'!A:B,2,0),"")</f>
        <v/>
      </c>
    </row>
    <row r="167" spans="8:12">
      <c r="H167" t="str">
        <f t="shared" si="6"/>
        <v/>
      </c>
      <c r="I167" t="str">
        <f t="shared" si="7"/>
        <v/>
      </c>
      <c r="J167" t="str">
        <f t="shared" si="8"/>
        <v/>
      </c>
      <c r="K167" t="str">
        <f>IF($A167&lt;&gt;"",VLOOKUP($E167,'IT Structure'!A:C,3,0),"")</f>
        <v/>
      </c>
      <c r="L167" t="str">
        <f>IF($A167&lt;&gt;"",VLOOKUP($B167,'time target'!A:B,2,0),"")</f>
        <v/>
      </c>
    </row>
    <row r="168" spans="8:12">
      <c r="H168" t="str">
        <f t="shared" si="6"/>
        <v/>
      </c>
      <c r="I168" t="str">
        <f t="shared" si="7"/>
        <v/>
      </c>
      <c r="J168" t="str">
        <f t="shared" si="8"/>
        <v/>
      </c>
      <c r="K168" t="str">
        <f>IF($A168&lt;&gt;"",VLOOKUP($E168,'IT Structure'!A:C,3,0),"")</f>
        <v/>
      </c>
      <c r="L168" t="str">
        <f>IF($A168&lt;&gt;"",VLOOKUP($B168,'time target'!A:B,2,0),"")</f>
        <v/>
      </c>
    </row>
    <row r="169" spans="8:12">
      <c r="H169" t="str">
        <f t="shared" si="6"/>
        <v/>
      </c>
      <c r="I169" t="str">
        <f t="shared" si="7"/>
        <v/>
      </c>
      <c r="J169" t="str">
        <f t="shared" si="8"/>
        <v/>
      </c>
      <c r="K169" t="str">
        <f>IF($A169&lt;&gt;"",VLOOKUP($E169,'IT Structure'!A:C,3,0),"")</f>
        <v/>
      </c>
      <c r="L169" t="str">
        <f>IF($A169&lt;&gt;"",VLOOKUP($B169,'time target'!A:B,2,0),"")</f>
        <v/>
      </c>
    </row>
    <row r="170" spans="8:12">
      <c r="H170" t="str">
        <f t="shared" si="6"/>
        <v/>
      </c>
      <c r="I170" t="str">
        <f t="shared" si="7"/>
        <v/>
      </c>
      <c r="J170" t="str">
        <f t="shared" si="8"/>
        <v/>
      </c>
      <c r="K170" t="str">
        <f>IF($A170&lt;&gt;"",VLOOKUP($E170,'IT Structure'!A:C,3,0),"")</f>
        <v/>
      </c>
      <c r="L170" t="str">
        <f>IF($A170&lt;&gt;"",VLOOKUP($B170,'time target'!A:B,2,0),"")</f>
        <v/>
      </c>
    </row>
    <row r="171" spans="8:12">
      <c r="H171" t="str">
        <f t="shared" si="6"/>
        <v/>
      </c>
      <c r="I171" t="str">
        <f t="shared" si="7"/>
        <v/>
      </c>
      <c r="J171" t="str">
        <f t="shared" si="8"/>
        <v/>
      </c>
      <c r="K171" t="str">
        <f>IF($A171&lt;&gt;"",VLOOKUP($E171,'IT Structure'!A:C,3,0),"")</f>
        <v/>
      </c>
      <c r="L171" t="str">
        <f>IF($A171&lt;&gt;"",VLOOKUP($B171,'time target'!A:B,2,0),"")</f>
        <v/>
      </c>
    </row>
    <row r="172" spans="8:12">
      <c r="H172" t="str">
        <f t="shared" si="6"/>
        <v/>
      </c>
      <c r="I172" t="str">
        <f t="shared" si="7"/>
        <v/>
      </c>
      <c r="J172" t="str">
        <f t="shared" si="8"/>
        <v/>
      </c>
      <c r="K172" t="str">
        <f>IF($A172&lt;&gt;"",VLOOKUP($E172,'IT Structure'!A:C,3,0),"")</f>
        <v/>
      </c>
      <c r="L172" t="str">
        <f>IF($A172&lt;&gt;"",VLOOKUP($B172,'time target'!A:B,2,0),"")</f>
        <v/>
      </c>
    </row>
    <row r="173" spans="8:12">
      <c r="H173" t="str">
        <f t="shared" si="6"/>
        <v/>
      </c>
      <c r="I173" t="str">
        <f t="shared" si="7"/>
        <v/>
      </c>
      <c r="J173" t="str">
        <f t="shared" si="8"/>
        <v/>
      </c>
      <c r="K173" t="str">
        <f>IF($A173&lt;&gt;"",VLOOKUP($E173,'IT Structure'!A:C,3,0),"")</f>
        <v/>
      </c>
      <c r="L173" t="str">
        <f>IF($A173&lt;&gt;"",VLOOKUP($B173,'time target'!A:B,2,0),"")</f>
        <v/>
      </c>
    </row>
    <row r="174" spans="8:12">
      <c r="H174" t="str">
        <f t="shared" si="6"/>
        <v/>
      </c>
      <c r="I174" t="str">
        <f t="shared" si="7"/>
        <v/>
      </c>
      <c r="J174" t="str">
        <f t="shared" si="8"/>
        <v/>
      </c>
      <c r="K174" t="str">
        <f>IF($A174&lt;&gt;"",VLOOKUP($E174,'IT Structure'!A:C,3,0),"")</f>
        <v/>
      </c>
      <c r="L174" t="str">
        <f>IF($A174&lt;&gt;"",VLOOKUP($B174,'time target'!A:B,2,0),"")</f>
        <v/>
      </c>
    </row>
    <row r="175" spans="8:12">
      <c r="H175" t="str">
        <f t="shared" si="6"/>
        <v/>
      </c>
      <c r="I175" t="str">
        <f t="shared" si="7"/>
        <v/>
      </c>
      <c r="J175" t="str">
        <f t="shared" si="8"/>
        <v/>
      </c>
      <c r="K175" t="str">
        <f>IF($A175&lt;&gt;"",VLOOKUP($E175,'IT Structure'!A:C,3,0),"")</f>
        <v/>
      </c>
      <c r="L175" t="str">
        <f>IF($A175&lt;&gt;"",VLOOKUP($B175,'time target'!A:B,2,0),"")</f>
        <v/>
      </c>
    </row>
    <row r="176" spans="8:12">
      <c r="H176" t="str">
        <f t="shared" si="6"/>
        <v/>
      </c>
      <c r="I176" t="str">
        <f t="shared" si="7"/>
        <v/>
      </c>
      <c r="J176" t="str">
        <f t="shared" si="8"/>
        <v/>
      </c>
      <c r="K176" t="str">
        <f>IF($A176&lt;&gt;"",VLOOKUP($E176,'IT Structure'!A:C,3,0),"")</f>
        <v/>
      </c>
      <c r="L176" t="str">
        <f>IF($A176&lt;&gt;"",VLOOKUP($B176,'time target'!A:B,2,0),"")</f>
        <v/>
      </c>
    </row>
    <row r="177" spans="8:12">
      <c r="H177" t="str">
        <f t="shared" si="6"/>
        <v/>
      </c>
      <c r="I177" t="str">
        <f t="shared" si="7"/>
        <v/>
      </c>
      <c r="J177" t="str">
        <f t="shared" si="8"/>
        <v/>
      </c>
      <c r="K177" t="str">
        <f>IF($A177&lt;&gt;"",VLOOKUP($E177,'IT Structure'!A:C,3,0),"")</f>
        <v/>
      </c>
      <c r="L177" t="str">
        <f>IF($A177&lt;&gt;"",VLOOKUP($B177,'time target'!A:B,2,0),"")</f>
        <v/>
      </c>
    </row>
    <row r="178" spans="8:12">
      <c r="H178" t="str">
        <f t="shared" si="6"/>
        <v/>
      </c>
      <c r="I178" t="str">
        <f t="shared" si="7"/>
        <v/>
      </c>
      <c r="J178" t="str">
        <f t="shared" si="8"/>
        <v/>
      </c>
      <c r="K178" t="str">
        <f>IF($A178&lt;&gt;"",VLOOKUP($E178,'IT Structure'!A:C,3,0),"")</f>
        <v/>
      </c>
      <c r="L178" t="str">
        <f>IF($A178&lt;&gt;"",VLOOKUP($B178,'time target'!A:B,2,0),"")</f>
        <v/>
      </c>
    </row>
    <row r="179" spans="8:12">
      <c r="H179" t="str">
        <f t="shared" si="6"/>
        <v/>
      </c>
      <c r="I179" t="str">
        <f t="shared" si="7"/>
        <v/>
      </c>
      <c r="J179" t="str">
        <f t="shared" si="8"/>
        <v/>
      </c>
      <c r="K179" t="str">
        <f>IF($A179&lt;&gt;"",VLOOKUP($E179,'IT Structure'!A:C,3,0),"")</f>
        <v/>
      </c>
      <c r="L179" t="str">
        <f>IF($A179&lt;&gt;"",VLOOKUP($B179,'time target'!A:B,2,0),"")</f>
        <v/>
      </c>
    </row>
    <row r="180" spans="8:12">
      <c r="H180" t="str">
        <f t="shared" si="6"/>
        <v/>
      </c>
      <c r="I180" t="str">
        <f t="shared" si="7"/>
        <v/>
      </c>
      <c r="J180" t="str">
        <f t="shared" si="8"/>
        <v/>
      </c>
      <c r="K180" t="str">
        <f>IF($A180&lt;&gt;"",VLOOKUP($E180,'IT Structure'!A:C,3,0),"")</f>
        <v/>
      </c>
      <c r="L180" t="str">
        <f>IF($A180&lt;&gt;"",VLOOKUP($B180,'time target'!A:B,2,0),"")</f>
        <v/>
      </c>
    </row>
    <row r="181" spans="8:12">
      <c r="H181" t="str">
        <f t="shared" si="6"/>
        <v/>
      </c>
      <c r="I181" t="str">
        <f t="shared" si="7"/>
        <v/>
      </c>
      <c r="J181" t="str">
        <f t="shared" si="8"/>
        <v/>
      </c>
      <c r="K181" t="str">
        <f>IF($A181&lt;&gt;"",VLOOKUP($E181,'IT Structure'!A:C,3,0),"")</f>
        <v/>
      </c>
      <c r="L181" t="str">
        <f>IF($A181&lt;&gt;"",VLOOKUP($B181,'time target'!A:B,2,0),"")</f>
        <v/>
      </c>
    </row>
    <row r="182" spans="8:12">
      <c r="H182" t="str">
        <f t="shared" si="6"/>
        <v/>
      </c>
      <c r="I182" t="str">
        <f t="shared" si="7"/>
        <v/>
      </c>
      <c r="J182" t="str">
        <f t="shared" si="8"/>
        <v/>
      </c>
      <c r="K182" t="str">
        <f>IF($A182&lt;&gt;"",VLOOKUP($E182,'IT Structure'!A:C,3,0),"")</f>
        <v/>
      </c>
      <c r="L182" t="str">
        <f>IF($A182&lt;&gt;"",VLOOKUP($B182,'time target'!A:B,2,0),"")</f>
        <v/>
      </c>
    </row>
    <row r="183" spans="8:12">
      <c r="H183" t="str">
        <f t="shared" si="6"/>
        <v/>
      </c>
      <c r="I183" t="str">
        <f t="shared" si="7"/>
        <v/>
      </c>
      <c r="J183" t="str">
        <f t="shared" si="8"/>
        <v/>
      </c>
      <c r="K183" t="str">
        <f>IF($A183&lt;&gt;"",VLOOKUP($E183,'IT Structure'!A:C,3,0),"")</f>
        <v/>
      </c>
      <c r="L183" t="str">
        <f>IF($A183&lt;&gt;"",VLOOKUP($B183,'time target'!A:B,2,0),"")</f>
        <v/>
      </c>
    </row>
    <row r="184" spans="8:12">
      <c r="H184" t="str">
        <f t="shared" si="6"/>
        <v/>
      </c>
      <c r="I184" t="str">
        <f t="shared" si="7"/>
        <v/>
      </c>
      <c r="J184" t="str">
        <f t="shared" si="8"/>
        <v/>
      </c>
      <c r="K184" t="str">
        <f>IF($A184&lt;&gt;"",VLOOKUP($E184,'IT Structure'!A:C,3,0),"")</f>
        <v/>
      </c>
      <c r="L184" t="str">
        <f>IF($A184&lt;&gt;"",VLOOKUP($B184,'time target'!A:B,2,0),"")</f>
        <v/>
      </c>
    </row>
    <row r="185" spans="8:12">
      <c r="H185" t="str">
        <f t="shared" si="6"/>
        <v/>
      </c>
      <c r="I185" t="str">
        <f t="shared" si="7"/>
        <v/>
      </c>
      <c r="J185" t="str">
        <f t="shared" si="8"/>
        <v/>
      </c>
      <c r="K185" t="str">
        <f>IF($A185&lt;&gt;"",VLOOKUP($E185,'IT Structure'!A:C,3,0),"")</f>
        <v/>
      </c>
      <c r="L185" t="str">
        <f>IF($A185&lt;&gt;"",VLOOKUP($B185,'time target'!A:B,2,0),"")</f>
        <v/>
      </c>
    </row>
    <row r="186" spans="8:12">
      <c r="H186" t="str">
        <f t="shared" si="6"/>
        <v/>
      </c>
      <c r="I186" t="str">
        <f t="shared" si="7"/>
        <v/>
      </c>
      <c r="J186" t="str">
        <f t="shared" si="8"/>
        <v/>
      </c>
      <c r="K186" t="str">
        <f>IF($A186&lt;&gt;"",VLOOKUP($E186,'IT Structure'!A:C,3,0),"")</f>
        <v/>
      </c>
      <c r="L186" t="str">
        <f>IF($A186&lt;&gt;"",VLOOKUP($B186,'time target'!A:B,2,0),"")</f>
        <v/>
      </c>
    </row>
    <row r="187" spans="8:12">
      <c r="H187" t="str">
        <f t="shared" si="6"/>
        <v/>
      </c>
      <c r="I187" t="str">
        <f t="shared" si="7"/>
        <v/>
      </c>
      <c r="J187" t="str">
        <f t="shared" si="8"/>
        <v/>
      </c>
      <c r="K187" t="str">
        <f>IF($A187&lt;&gt;"",VLOOKUP($E187,'IT Structure'!A:C,3,0),"")</f>
        <v/>
      </c>
      <c r="L187" t="str">
        <f>IF($A187&lt;&gt;"",VLOOKUP($B187,'time target'!A:B,2,0),"")</f>
        <v/>
      </c>
    </row>
    <row r="188" spans="8:12">
      <c r="H188" t="str">
        <f t="shared" si="6"/>
        <v/>
      </c>
      <c r="I188" t="str">
        <f t="shared" si="7"/>
        <v/>
      </c>
      <c r="J188" t="str">
        <f t="shared" si="8"/>
        <v/>
      </c>
      <c r="K188" t="str">
        <f>IF($A188&lt;&gt;"",VLOOKUP($E188,'IT Structure'!A:C,3,0),"")</f>
        <v/>
      </c>
      <c r="L188" t="str">
        <f>IF($A188&lt;&gt;"",VLOOKUP($B188,'time target'!A:B,2,0),"")</f>
        <v/>
      </c>
    </row>
    <row r="189" spans="8:12">
      <c r="H189" t="str">
        <f t="shared" si="6"/>
        <v/>
      </c>
      <c r="I189" t="str">
        <f t="shared" si="7"/>
        <v/>
      </c>
      <c r="J189" t="str">
        <f t="shared" si="8"/>
        <v/>
      </c>
      <c r="K189" t="str">
        <f>IF($A189&lt;&gt;"",VLOOKUP($E189,'IT Structure'!A:C,3,0),"")</f>
        <v/>
      </c>
      <c r="L189" t="str">
        <f>IF($A189&lt;&gt;"",VLOOKUP($B189,'time target'!A:B,2,0),"")</f>
        <v/>
      </c>
    </row>
    <row r="190" spans="8:12">
      <c r="H190" t="str">
        <f t="shared" si="6"/>
        <v/>
      </c>
      <c r="I190" t="str">
        <f t="shared" si="7"/>
        <v/>
      </c>
      <c r="J190" t="str">
        <f t="shared" si="8"/>
        <v/>
      </c>
      <c r="K190" t="str">
        <f>IF($A190&lt;&gt;"",VLOOKUP($E190,'IT Structure'!A:C,3,0),"")</f>
        <v/>
      </c>
      <c r="L190" t="str">
        <f>IF($A190&lt;&gt;"",VLOOKUP($B190,'time target'!A:B,2,0),"")</f>
        <v/>
      </c>
    </row>
    <row r="191" spans="8:12">
      <c r="H191" t="str">
        <f t="shared" si="6"/>
        <v/>
      </c>
      <c r="I191" t="str">
        <f t="shared" si="7"/>
        <v/>
      </c>
      <c r="J191" t="str">
        <f t="shared" si="8"/>
        <v/>
      </c>
      <c r="K191" t="str">
        <f>IF($A191&lt;&gt;"",VLOOKUP($E191,'IT Structure'!A:C,3,0),"")</f>
        <v/>
      </c>
      <c r="L191" t="str">
        <f>IF($A191&lt;&gt;"",VLOOKUP($B191,'time target'!A:B,2,0),"")</f>
        <v/>
      </c>
    </row>
    <row r="192" spans="8:12">
      <c r="H192" t="str">
        <f t="shared" si="6"/>
        <v/>
      </c>
      <c r="I192" t="str">
        <f t="shared" si="7"/>
        <v/>
      </c>
      <c r="J192" t="str">
        <f t="shared" si="8"/>
        <v/>
      </c>
      <c r="K192" t="str">
        <f>IF($A192&lt;&gt;"",VLOOKUP($E192,'IT Structure'!A:C,3,0),"")</f>
        <v/>
      </c>
      <c r="L192" t="str">
        <f>IF($A192&lt;&gt;"",VLOOKUP($B192,'time target'!A:B,2,0),"")</f>
        <v/>
      </c>
    </row>
    <row r="193" spans="8:12">
      <c r="H193" t="str">
        <f t="shared" si="6"/>
        <v/>
      </c>
      <c r="I193" t="str">
        <f t="shared" si="7"/>
        <v/>
      </c>
      <c r="J193" t="str">
        <f t="shared" si="8"/>
        <v/>
      </c>
      <c r="K193" t="str">
        <f>IF($A193&lt;&gt;"",VLOOKUP($E193,'IT Structure'!A:C,3,0),"")</f>
        <v/>
      </c>
      <c r="L193" t="str">
        <f>IF($A193&lt;&gt;"",VLOOKUP($B193,'time target'!A:B,2,0),"")</f>
        <v/>
      </c>
    </row>
    <row r="194" spans="8:12">
      <c r="H194" t="str">
        <f t="shared" si="6"/>
        <v/>
      </c>
      <c r="I194" t="str">
        <f t="shared" si="7"/>
        <v/>
      </c>
      <c r="J194" t="str">
        <f t="shared" si="8"/>
        <v/>
      </c>
      <c r="K194" t="str">
        <f>IF($A194&lt;&gt;"",VLOOKUP($E194,'IT Structure'!A:C,3,0),"")</f>
        <v/>
      </c>
      <c r="L194" t="str">
        <f>IF($A194&lt;&gt;"",VLOOKUP($B194,'time target'!A:B,2,0),"")</f>
        <v/>
      </c>
    </row>
    <row r="195" spans="8:12">
      <c r="H195" t="str">
        <f t="shared" ref="H195:H258" si="9">IF($A195&lt;&gt;"",MONTH($G195),"")</f>
        <v/>
      </c>
      <c r="I195" t="str">
        <f t="shared" ref="I195:I258" si="10">IF($A195&lt;&gt;"",YEAR($G195),"")</f>
        <v/>
      </c>
      <c r="J195" t="str">
        <f t="shared" ref="J195:J258" si="11">IF($A195&lt;&gt;"",DAY($G195),"")</f>
        <v/>
      </c>
      <c r="K195" t="str">
        <f>IF($A195&lt;&gt;"",VLOOKUP($E195,'IT Structure'!A:C,3,0),"")</f>
        <v/>
      </c>
      <c r="L195" t="str">
        <f>IF($A195&lt;&gt;"",VLOOKUP($B195,'time target'!A:B,2,0),"")</f>
        <v/>
      </c>
    </row>
    <row r="196" spans="8:12">
      <c r="H196" t="str">
        <f t="shared" si="9"/>
        <v/>
      </c>
      <c r="I196" t="str">
        <f t="shared" si="10"/>
        <v/>
      </c>
      <c r="J196" t="str">
        <f t="shared" si="11"/>
        <v/>
      </c>
      <c r="K196" t="str">
        <f>IF($A196&lt;&gt;"",VLOOKUP($E196,'IT Structure'!A:C,3,0),"")</f>
        <v/>
      </c>
      <c r="L196" t="str">
        <f>IF($A196&lt;&gt;"",VLOOKUP($B196,'time target'!A:B,2,0),"")</f>
        <v/>
      </c>
    </row>
    <row r="197" spans="8:12">
      <c r="H197" t="str">
        <f t="shared" si="9"/>
        <v/>
      </c>
      <c r="I197" t="str">
        <f t="shared" si="10"/>
        <v/>
      </c>
      <c r="J197" t="str">
        <f t="shared" si="11"/>
        <v/>
      </c>
      <c r="K197" t="str">
        <f>IF($A197&lt;&gt;"",VLOOKUP($E197,'IT Structure'!A:C,3,0),"")</f>
        <v/>
      </c>
      <c r="L197" t="str">
        <f>IF($A197&lt;&gt;"",VLOOKUP($B197,'time target'!A:B,2,0),"")</f>
        <v/>
      </c>
    </row>
    <row r="198" spans="8:12">
      <c r="H198" t="str">
        <f t="shared" si="9"/>
        <v/>
      </c>
      <c r="I198" t="str">
        <f t="shared" si="10"/>
        <v/>
      </c>
      <c r="J198" t="str">
        <f t="shared" si="11"/>
        <v/>
      </c>
      <c r="K198" t="str">
        <f>IF($A198&lt;&gt;"",VLOOKUP($E198,'IT Structure'!A:C,3,0),"")</f>
        <v/>
      </c>
      <c r="L198" t="str">
        <f>IF($A198&lt;&gt;"",VLOOKUP($B198,'time target'!A:B,2,0),"")</f>
        <v/>
      </c>
    </row>
    <row r="199" spans="8:12">
      <c r="H199" t="str">
        <f t="shared" si="9"/>
        <v/>
      </c>
      <c r="I199" t="str">
        <f t="shared" si="10"/>
        <v/>
      </c>
      <c r="J199" t="str">
        <f t="shared" si="11"/>
        <v/>
      </c>
      <c r="K199" t="str">
        <f>IF($A199&lt;&gt;"",VLOOKUP($E199,'IT Structure'!A:C,3,0),"")</f>
        <v/>
      </c>
      <c r="L199" t="str">
        <f>IF($A199&lt;&gt;"",VLOOKUP($B199,'time target'!A:B,2,0),"")</f>
        <v/>
      </c>
    </row>
    <row r="200" spans="8:12">
      <c r="H200" t="str">
        <f t="shared" si="9"/>
        <v/>
      </c>
      <c r="I200" t="str">
        <f t="shared" si="10"/>
        <v/>
      </c>
      <c r="J200" t="str">
        <f t="shared" si="11"/>
        <v/>
      </c>
      <c r="K200" t="str">
        <f>IF($A200&lt;&gt;"",VLOOKUP($E200,'IT Structure'!A:C,3,0),"")</f>
        <v/>
      </c>
      <c r="L200" t="str">
        <f>IF($A200&lt;&gt;"",VLOOKUP($B200,'time target'!A:B,2,0),"")</f>
        <v/>
      </c>
    </row>
    <row r="201" spans="8:12">
      <c r="H201" t="str">
        <f t="shared" si="9"/>
        <v/>
      </c>
      <c r="I201" t="str">
        <f t="shared" si="10"/>
        <v/>
      </c>
      <c r="J201" t="str">
        <f t="shared" si="11"/>
        <v/>
      </c>
      <c r="K201" t="str">
        <f>IF($A201&lt;&gt;"",VLOOKUP($E201,'IT Structure'!A:C,3,0),"")</f>
        <v/>
      </c>
      <c r="L201" t="str">
        <f>IF($A201&lt;&gt;"",VLOOKUP($B201,'time target'!A:B,2,0),"")</f>
        <v/>
      </c>
    </row>
    <row r="202" spans="8:12">
      <c r="H202" t="str">
        <f t="shared" si="9"/>
        <v/>
      </c>
      <c r="I202" t="str">
        <f t="shared" si="10"/>
        <v/>
      </c>
      <c r="J202" t="str">
        <f t="shared" si="11"/>
        <v/>
      </c>
      <c r="K202" t="str">
        <f>IF($A202&lt;&gt;"",VLOOKUP($E202,'IT Structure'!A:C,3,0),"")</f>
        <v/>
      </c>
      <c r="L202" t="str">
        <f>IF($A202&lt;&gt;"",VLOOKUP($B202,'time target'!A:B,2,0),"")</f>
        <v/>
      </c>
    </row>
    <row r="203" spans="8:12">
      <c r="H203" t="str">
        <f t="shared" si="9"/>
        <v/>
      </c>
      <c r="I203" t="str">
        <f t="shared" si="10"/>
        <v/>
      </c>
      <c r="J203" t="str">
        <f t="shared" si="11"/>
        <v/>
      </c>
      <c r="K203" t="str">
        <f>IF($A203&lt;&gt;"",VLOOKUP($E203,'IT Structure'!A:C,3,0),"")</f>
        <v/>
      </c>
      <c r="L203" t="str">
        <f>IF($A203&lt;&gt;"",VLOOKUP($B203,'time target'!A:B,2,0),"")</f>
        <v/>
      </c>
    </row>
    <row r="204" spans="8:12">
      <c r="H204" t="str">
        <f t="shared" si="9"/>
        <v/>
      </c>
      <c r="I204" t="str">
        <f t="shared" si="10"/>
        <v/>
      </c>
      <c r="J204" t="str">
        <f t="shared" si="11"/>
        <v/>
      </c>
      <c r="K204" t="str">
        <f>IF($A204&lt;&gt;"",VLOOKUP($E204,'IT Structure'!A:C,3,0),"")</f>
        <v/>
      </c>
      <c r="L204" t="str">
        <f>IF($A204&lt;&gt;"",VLOOKUP($B204,'time target'!A:B,2,0),"")</f>
        <v/>
      </c>
    </row>
    <row r="205" spans="8:12">
      <c r="H205" t="str">
        <f t="shared" si="9"/>
        <v/>
      </c>
      <c r="I205" t="str">
        <f t="shared" si="10"/>
        <v/>
      </c>
      <c r="J205" t="str">
        <f t="shared" si="11"/>
        <v/>
      </c>
      <c r="K205" t="str">
        <f>IF($A205&lt;&gt;"",VLOOKUP($E205,'IT Structure'!A:C,3,0),"")</f>
        <v/>
      </c>
      <c r="L205" t="str">
        <f>IF($A205&lt;&gt;"",VLOOKUP($B205,'time target'!A:B,2,0),"")</f>
        <v/>
      </c>
    </row>
    <row r="206" spans="8:12">
      <c r="H206" t="str">
        <f t="shared" si="9"/>
        <v/>
      </c>
      <c r="I206" t="str">
        <f t="shared" si="10"/>
        <v/>
      </c>
      <c r="J206" t="str">
        <f t="shared" si="11"/>
        <v/>
      </c>
      <c r="K206" t="str">
        <f>IF($A206&lt;&gt;"",VLOOKUP($E206,'IT Structure'!A:C,3,0),"")</f>
        <v/>
      </c>
      <c r="L206" t="str">
        <f>IF($A206&lt;&gt;"",VLOOKUP($B206,'time target'!A:B,2,0),"")</f>
        <v/>
      </c>
    </row>
    <row r="207" spans="8:12">
      <c r="H207" t="str">
        <f t="shared" si="9"/>
        <v/>
      </c>
      <c r="I207" t="str">
        <f t="shared" si="10"/>
        <v/>
      </c>
      <c r="J207" t="str">
        <f t="shared" si="11"/>
        <v/>
      </c>
      <c r="K207" t="str">
        <f>IF($A207&lt;&gt;"",VLOOKUP($E207,'IT Structure'!A:C,3,0),"")</f>
        <v/>
      </c>
      <c r="L207" t="str">
        <f>IF($A207&lt;&gt;"",VLOOKUP($B207,'time target'!A:B,2,0),"")</f>
        <v/>
      </c>
    </row>
    <row r="208" spans="8:12">
      <c r="H208" t="str">
        <f t="shared" si="9"/>
        <v/>
      </c>
      <c r="I208" t="str">
        <f t="shared" si="10"/>
        <v/>
      </c>
      <c r="J208" t="str">
        <f t="shared" si="11"/>
        <v/>
      </c>
      <c r="K208" t="str">
        <f>IF($A208&lt;&gt;"",VLOOKUP($E208,'IT Structure'!A:C,3,0),"")</f>
        <v/>
      </c>
      <c r="L208" t="str">
        <f>IF($A208&lt;&gt;"",VLOOKUP($B208,'time target'!A:B,2,0),"")</f>
        <v/>
      </c>
    </row>
    <row r="209" spans="8:12">
      <c r="H209" t="str">
        <f t="shared" si="9"/>
        <v/>
      </c>
      <c r="I209" t="str">
        <f t="shared" si="10"/>
        <v/>
      </c>
      <c r="J209" t="str">
        <f t="shared" si="11"/>
        <v/>
      </c>
      <c r="K209" t="str">
        <f>IF($A209&lt;&gt;"",VLOOKUP($E209,'IT Structure'!A:C,3,0),"")</f>
        <v/>
      </c>
      <c r="L209" t="str">
        <f>IF($A209&lt;&gt;"",VLOOKUP($B209,'time target'!A:B,2,0),"")</f>
        <v/>
      </c>
    </row>
    <row r="210" spans="8:12">
      <c r="H210" t="str">
        <f t="shared" si="9"/>
        <v/>
      </c>
      <c r="I210" t="str">
        <f t="shared" si="10"/>
        <v/>
      </c>
      <c r="J210" t="str">
        <f t="shared" si="11"/>
        <v/>
      </c>
      <c r="K210" t="str">
        <f>IF($A210&lt;&gt;"",VLOOKUP($E210,'IT Structure'!A:C,3,0),"")</f>
        <v/>
      </c>
      <c r="L210" t="str">
        <f>IF($A210&lt;&gt;"",VLOOKUP($B210,'time target'!A:B,2,0),"")</f>
        <v/>
      </c>
    </row>
    <row r="211" spans="8:12">
      <c r="H211" t="str">
        <f t="shared" si="9"/>
        <v/>
      </c>
      <c r="I211" t="str">
        <f t="shared" si="10"/>
        <v/>
      </c>
      <c r="J211" t="str">
        <f t="shared" si="11"/>
        <v/>
      </c>
      <c r="K211" t="str">
        <f>IF($A211&lt;&gt;"",VLOOKUP($E211,'IT Structure'!A:C,3,0),"")</f>
        <v/>
      </c>
      <c r="L211" t="str">
        <f>IF($A211&lt;&gt;"",VLOOKUP($B211,'time target'!A:B,2,0),"")</f>
        <v/>
      </c>
    </row>
    <row r="212" spans="8:12">
      <c r="H212" t="str">
        <f t="shared" si="9"/>
        <v/>
      </c>
      <c r="I212" t="str">
        <f t="shared" si="10"/>
        <v/>
      </c>
      <c r="J212" t="str">
        <f t="shared" si="11"/>
        <v/>
      </c>
      <c r="K212" t="str">
        <f>IF($A212&lt;&gt;"",VLOOKUP($E212,'IT Structure'!A:C,3,0),"")</f>
        <v/>
      </c>
      <c r="L212" t="str">
        <f>IF($A212&lt;&gt;"",VLOOKUP($B212,'time target'!A:B,2,0),"")</f>
        <v/>
      </c>
    </row>
    <row r="213" spans="8:12">
      <c r="H213" t="str">
        <f t="shared" si="9"/>
        <v/>
      </c>
      <c r="I213" t="str">
        <f t="shared" si="10"/>
        <v/>
      </c>
      <c r="J213" t="str">
        <f t="shared" si="11"/>
        <v/>
      </c>
      <c r="K213" t="str">
        <f>IF($A213&lt;&gt;"",VLOOKUP($E213,'IT Structure'!A:C,3,0),"")</f>
        <v/>
      </c>
      <c r="L213" t="str">
        <f>IF($A213&lt;&gt;"",VLOOKUP($B213,'time target'!A:B,2,0),"")</f>
        <v/>
      </c>
    </row>
    <row r="214" spans="8:12">
      <c r="H214" t="str">
        <f t="shared" si="9"/>
        <v/>
      </c>
      <c r="I214" t="str">
        <f t="shared" si="10"/>
        <v/>
      </c>
      <c r="J214" t="str">
        <f t="shared" si="11"/>
        <v/>
      </c>
      <c r="K214" t="str">
        <f>IF($A214&lt;&gt;"",VLOOKUP($E214,'IT Structure'!A:C,3,0),"")</f>
        <v/>
      </c>
      <c r="L214" t="str">
        <f>IF($A214&lt;&gt;"",VLOOKUP($B214,'time target'!A:B,2,0),"")</f>
        <v/>
      </c>
    </row>
    <row r="215" spans="8:12">
      <c r="H215" t="str">
        <f t="shared" si="9"/>
        <v/>
      </c>
      <c r="I215" t="str">
        <f t="shared" si="10"/>
        <v/>
      </c>
      <c r="J215" t="str">
        <f t="shared" si="11"/>
        <v/>
      </c>
      <c r="K215" t="str">
        <f>IF($A215&lt;&gt;"",VLOOKUP($E215,'IT Structure'!A:C,3,0),"")</f>
        <v/>
      </c>
      <c r="L215" t="str">
        <f>IF($A215&lt;&gt;"",VLOOKUP($B215,'time target'!A:B,2,0),"")</f>
        <v/>
      </c>
    </row>
    <row r="216" spans="8:12">
      <c r="H216" t="str">
        <f t="shared" si="9"/>
        <v/>
      </c>
      <c r="I216" t="str">
        <f t="shared" si="10"/>
        <v/>
      </c>
      <c r="J216" t="str">
        <f t="shared" si="11"/>
        <v/>
      </c>
      <c r="K216" t="str">
        <f>IF($A216&lt;&gt;"",VLOOKUP($E216,'IT Structure'!A:C,3,0),"")</f>
        <v/>
      </c>
      <c r="L216" t="str">
        <f>IF($A216&lt;&gt;"",VLOOKUP($B216,'time target'!A:B,2,0),"")</f>
        <v/>
      </c>
    </row>
    <row r="217" spans="8:12">
      <c r="H217" t="str">
        <f t="shared" si="9"/>
        <v/>
      </c>
      <c r="I217" t="str">
        <f t="shared" si="10"/>
        <v/>
      </c>
      <c r="J217" t="str">
        <f t="shared" si="11"/>
        <v/>
      </c>
      <c r="K217" t="str">
        <f>IF($A217&lt;&gt;"",VLOOKUP($E217,'IT Structure'!A:C,3,0),"")</f>
        <v/>
      </c>
      <c r="L217" t="str">
        <f>IF($A217&lt;&gt;"",VLOOKUP($B217,'time target'!A:B,2,0),"")</f>
        <v/>
      </c>
    </row>
    <row r="218" spans="8:12">
      <c r="H218" t="str">
        <f t="shared" si="9"/>
        <v/>
      </c>
      <c r="I218" t="str">
        <f t="shared" si="10"/>
        <v/>
      </c>
      <c r="J218" t="str">
        <f t="shared" si="11"/>
        <v/>
      </c>
      <c r="K218" t="str">
        <f>IF($A218&lt;&gt;"",VLOOKUP($E218,'IT Structure'!A:C,3,0),"")</f>
        <v/>
      </c>
      <c r="L218" t="str">
        <f>IF($A218&lt;&gt;"",VLOOKUP($B218,'time target'!A:B,2,0),"")</f>
        <v/>
      </c>
    </row>
    <row r="219" spans="8:12">
      <c r="H219" t="str">
        <f t="shared" si="9"/>
        <v/>
      </c>
      <c r="I219" t="str">
        <f t="shared" si="10"/>
        <v/>
      </c>
      <c r="J219" t="str">
        <f t="shared" si="11"/>
        <v/>
      </c>
      <c r="K219" t="str">
        <f>IF($A219&lt;&gt;"",VLOOKUP($E219,'IT Structure'!A:C,3,0),"")</f>
        <v/>
      </c>
      <c r="L219" t="str">
        <f>IF($A219&lt;&gt;"",VLOOKUP($B219,'time target'!A:B,2,0),"")</f>
        <v/>
      </c>
    </row>
    <row r="220" spans="8:12">
      <c r="H220" t="str">
        <f t="shared" si="9"/>
        <v/>
      </c>
      <c r="I220" t="str">
        <f t="shared" si="10"/>
        <v/>
      </c>
      <c r="J220" t="str">
        <f t="shared" si="11"/>
        <v/>
      </c>
      <c r="K220" t="str">
        <f>IF($A220&lt;&gt;"",VLOOKUP($E220,'IT Structure'!A:C,3,0),"")</f>
        <v/>
      </c>
      <c r="L220" t="str">
        <f>IF($A220&lt;&gt;"",VLOOKUP($B220,'time target'!A:B,2,0),"")</f>
        <v/>
      </c>
    </row>
    <row r="221" spans="8:12">
      <c r="H221" t="str">
        <f t="shared" si="9"/>
        <v/>
      </c>
      <c r="I221" t="str">
        <f t="shared" si="10"/>
        <v/>
      </c>
      <c r="J221" t="str">
        <f t="shared" si="11"/>
        <v/>
      </c>
      <c r="K221" t="str">
        <f>IF($A221&lt;&gt;"",VLOOKUP($E221,'IT Structure'!A:C,3,0),"")</f>
        <v/>
      </c>
      <c r="L221" t="str">
        <f>IF($A221&lt;&gt;"",VLOOKUP($B221,'time target'!A:B,2,0),"")</f>
        <v/>
      </c>
    </row>
    <row r="222" spans="8:12">
      <c r="H222" t="str">
        <f t="shared" si="9"/>
        <v/>
      </c>
      <c r="I222" t="str">
        <f t="shared" si="10"/>
        <v/>
      </c>
      <c r="J222" t="str">
        <f t="shared" si="11"/>
        <v/>
      </c>
      <c r="K222" t="str">
        <f>IF($A222&lt;&gt;"",VLOOKUP($E222,'IT Structure'!A:C,3,0),"")</f>
        <v/>
      </c>
      <c r="L222" t="str">
        <f>IF($A222&lt;&gt;"",VLOOKUP($B222,'time target'!A:B,2,0),"")</f>
        <v/>
      </c>
    </row>
    <row r="223" spans="8:12">
      <c r="H223" t="str">
        <f t="shared" si="9"/>
        <v/>
      </c>
      <c r="I223" t="str">
        <f t="shared" si="10"/>
        <v/>
      </c>
      <c r="J223" t="str">
        <f t="shared" si="11"/>
        <v/>
      </c>
      <c r="K223" t="str">
        <f>IF($A223&lt;&gt;"",VLOOKUP($E223,'IT Structure'!A:C,3,0),"")</f>
        <v/>
      </c>
      <c r="L223" t="str">
        <f>IF($A223&lt;&gt;"",VLOOKUP($B223,'time target'!A:B,2,0),"")</f>
        <v/>
      </c>
    </row>
    <row r="224" spans="8:12">
      <c r="H224" t="str">
        <f t="shared" si="9"/>
        <v/>
      </c>
      <c r="I224" t="str">
        <f t="shared" si="10"/>
        <v/>
      </c>
      <c r="J224" t="str">
        <f t="shared" si="11"/>
        <v/>
      </c>
      <c r="K224" t="str">
        <f>IF($A224&lt;&gt;"",VLOOKUP($E224,'IT Structure'!A:C,3,0),"")</f>
        <v/>
      </c>
      <c r="L224" t="str">
        <f>IF($A224&lt;&gt;"",VLOOKUP($B224,'time target'!A:B,2,0),"")</f>
        <v/>
      </c>
    </row>
    <row r="225" spans="8:12">
      <c r="H225" t="str">
        <f t="shared" si="9"/>
        <v/>
      </c>
      <c r="I225" t="str">
        <f t="shared" si="10"/>
        <v/>
      </c>
      <c r="J225" t="str">
        <f t="shared" si="11"/>
        <v/>
      </c>
      <c r="K225" t="str">
        <f>IF($A225&lt;&gt;"",VLOOKUP($E225,'IT Structure'!A:C,3,0),"")</f>
        <v/>
      </c>
      <c r="L225" t="str">
        <f>IF($A225&lt;&gt;"",VLOOKUP($B225,'time target'!A:B,2,0),"")</f>
        <v/>
      </c>
    </row>
    <row r="226" spans="8:12">
      <c r="H226" t="str">
        <f t="shared" si="9"/>
        <v/>
      </c>
      <c r="I226" t="str">
        <f t="shared" si="10"/>
        <v/>
      </c>
      <c r="J226" t="str">
        <f t="shared" si="11"/>
        <v/>
      </c>
      <c r="K226" t="str">
        <f>IF($A226&lt;&gt;"",VLOOKUP($E226,'IT Structure'!A:C,3,0),"")</f>
        <v/>
      </c>
      <c r="L226" t="str">
        <f>IF($A226&lt;&gt;"",VLOOKUP($B226,'time target'!A:B,2,0),"")</f>
        <v/>
      </c>
    </row>
    <row r="227" spans="8:12">
      <c r="H227" t="str">
        <f t="shared" si="9"/>
        <v/>
      </c>
      <c r="I227" t="str">
        <f t="shared" si="10"/>
        <v/>
      </c>
      <c r="J227" t="str">
        <f t="shared" si="11"/>
        <v/>
      </c>
      <c r="K227" t="str">
        <f>IF($A227&lt;&gt;"",VLOOKUP($E227,'IT Structure'!A:C,3,0),"")</f>
        <v/>
      </c>
      <c r="L227" t="str">
        <f>IF($A227&lt;&gt;"",VLOOKUP($B227,'time target'!A:B,2,0),"")</f>
        <v/>
      </c>
    </row>
    <row r="228" spans="8:12">
      <c r="H228" t="str">
        <f t="shared" si="9"/>
        <v/>
      </c>
      <c r="I228" t="str">
        <f t="shared" si="10"/>
        <v/>
      </c>
      <c r="J228" t="str">
        <f t="shared" si="11"/>
        <v/>
      </c>
      <c r="K228" t="str">
        <f>IF($A228&lt;&gt;"",VLOOKUP($E228,'IT Structure'!A:C,3,0),"")</f>
        <v/>
      </c>
      <c r="L228" t="str">
        <f>IF($A228&lt;&gt;"",VLOOKUP($B228,'time target'!A:B,2,0),"")</f>
        <v/>
      </c>
    </row>
    <row r="229" spans="8:12">
      <c r="H229" t="str">
        <f t="shared" si="9"/>
        <v/>
      </c>
      <c r="I229" t="str">
        <f t="shared" si="10"/>
        <v/>
      </c>
      <c r="J229" t="str">
        <f t="shared" si="11"/>
        <v/>
      </c>
      <c r="K229" t="str">
        <f>IF($A229&lt;&gt;"",VLOOKUP($E229,'IT Structure'!A:C,3,0),"")</f>
        <v/>
      </c>
      <c r="L229" t="str">
        <f>IF($A229&lt;&gt;"",VLOOKUP($B229,'time target'!A:B,2,0),"")</f>
        <v/>
      </c>
    </row>
    <row r="230" spans="8:12">
      <c r="H230" t="str">
        <f t="shared" si="9"/>
        <v/>
      </c>
      <c r="I230" t="str">
        <f t="shared" si="10"/>
        <v/>
      </c>
      <c r="J230" t="str">
        <f t="shared" si="11"/>
        <v/>
      </c>
      <c r="K230" t="str">
        <f>IF($A230&lt;&gt;"",VLOOKUP($E230,'IT Structure'!A:C,3,0),"")</f>
        <v/>
      </c>
      <c r="L230" t="str">
        <f>IF($A230&lt;&gt;"",VLOOKUP($B230,'time target'!A:B,2,0),"")</f>
        <v/>
      </c>
    </row>
    <row r="231" spans="8:12">
      <c r="H231" t="str">
        <f t="shared" si="9"/>
        <v/>
      </c>
      <c r="I231" t="str">
        <f t="shared" si="10"/>
        <v/>
      </c>
      <c r="J231" t="str">
        <f t="shared" si="11"/>
        <v/>
      </c>
      <c r="K231" t="str">
        <f>IF($A231&lt;&gt;"",VLOOKUP($E231,'IT Structure'!A:C,3,0),"")</f>
        <v/>
      </c>
      <c r="L231" t="str">
        <f>IF($A231&lt;&gt;"",VLOOKUP($B231,'time target'!A:B,2,0),"")</f>
        <v/>
      </c>
    </row>
    <row r="232" spans="8:12">
      <c r="H232" t="str">
        <f t="shared" si="9"/>
        <v/>
      </c>
      <c r="I232" t="str">
        <f t="shared" si="10"/>
        <v/>
      </c>
      <c r="J232" t="str">
        <f t="shared" si="11"/>
        <v/>
      </c>
      <c r="K232" t="str">
        <f>IF($A232&lt;&gt;"",VLOOKUP($E232,'IT Structure'!A:C,3,0),"")</f>
        <v/>
      </c>
      <c r="L232" t="str">
        <f>IF($A232&lt;&gt;"",VLOOKUP($B232,'time target'!A:B,2,0),"")</f>
        <v/>
      </c>
    </row>
    <row r="233" spans="8:12">
      <c r="H233" t="str">
        <f t="shared" si="9"/>
        <v/>
      </c>
      <c r="I233" t="str">
        <f t="shared" si="10"/>
        <v/>
      </c>
      <c r="J233" t="str">
        <f t="shared" si="11"/>
        <v/>
      </c>
      <c r="K233" t="str">
        <f>IF($A233&lt;&gt;"",VLOOKUP($E233,'IT Structure'!A:C,3,0),"")</f>
        <v/>
      </c>
      <c r="L233" t="str">
        <f>IF($A233&lt;&gt;"",VLOOKUP($B233,'time target'!A:B,2,0),"")</f>
        <v/>
      </c>
    </row>
    <row r="234" spans="8:12">
      <c r="H234" t="str">
        <f t="shared" si="9"/>
        <v/>
      </c>
      <c r="I234" t="str">
        <f t="shared" si="10"/>
        <v/>
      </c>
      <c r="J234" t="str">
        <f t="shared" si="11"/>
        <v/>
      </c>
      <c r="K234" t="str">
        <f>IF($A234&lt;&gt;"",VLOOKUP($E234,'IT Structure'!A:C,3,0),"")</f>
        <v/>
      </c>
      <c r="L234" t="str">
        <f>IF($A234&lt;&gt;"",VLOOKUP($B234,'time target'!A:B,2,0),"")</f>
        <v/>
      </c>
    </row>
    <row r="235" spans="8:12">
      <c r="H235" t="str">
        <f t="shared" si="9"/>
        <v/>
      </c>
      <c r="I235" t="str">
        <f t="shared" si="10"/>
        <v/>
      </c>
      <c r="J235" t="str">
        <f t="shared" si="11"/>
        <v/>
      </c>
      <c r="K235" t="str">
        <f>IF($A235&lt;&gt;"",VLOOKUP($E235,'IT Structure'!A:C,3,0),"")</f>
        <v/>
      </c>
      <c r="L235" t="str">
        <f>IF($A235&lt;&gt;"",VLOOKUP($B235,'time target'!A:B,2,0),"")</f>
        <v/>
      </c>
    </row>
    <row r="236" spans="8:12">
      <c r="H236" t="str">
        <f t="shared" si="9"/>
        <v/>
      </c>
      <c r="I236" t="str">
        <f t="shared" si="10"/>
        <v/>
      </c>
      <c r="J236" t="str">
        <f t="shared" si="11"/>
        <v/>
      </c>
      <c r="K236" t="str">
        <f>IF($A236&lt;&gt;"",VLOOKUP($E236,'IT Structure'!A:C,3,0),"")</f>
        <v/>
      </c>
      <c r="L236" t="str">
        <f>IF($A236&lt;&gt;"",VLOOKUP($B236,'time target'!A:B,2,0),"")</f>
        <v/>
      </c>
    </row>
    <row r="237" spans="8:12">
      <c r="H237" t="str">
        <f t="shared" si="9"/>
        <v/>
      </c>
      <c r="I237" t="str">
        <f t="shared" si="10"/>
        <v/>
      </c>
      <c r="J237" t="str">
        <f t="shared" si="11"/>
        <v/>
      </c>
      <c r="K237" t="str">
        <f>IF($A237&lt;&gt;"",VLOOKUP($E237,'IT Structure'!A:C,3,0),"")</f>
        <v/>
      </c>
      <c r="L237" t="str">
        <f>IF($A237&lt;&gt;"",VLOOKUP($B237,'time target'!A:B,2,0),"")</f>
        <v/>
      </c>
    </row>
    <row r="238" spans="8:12">
      <c r="H238" t="str">
        <f t="shared" si="9"/>
        <v/>
      </c>
      <c r="I238" t="str">
        <f t="shared" si="10"/>
        <v/>
      </c>
      <c r="J238" t="str">
        <f t="shared" si="11"/>
        <v/>
      </c>
      <c r="K238" t="str">
        <f>IF($A238&lt;&gt;"",VLOOKUP($E238,'IT Structure'!A:C,3,0),"")</f>
        <v/>
      </c>
      <c r="L238" t="str">
        <f>IF($A238&lt;&gt;"",VLOOKUP($B238,'time target'!A:B,2,0),"")</f>
        <v/>
      </c>
    </row>
    <row r="239" spans="8:12">
      <c r="H239" t="str">
        <f t="shared" si="9"/>
        <v/>
      </c>
      <c r="I239" t="str">
        <f t="shared" si="10"/>
        <v/>
      </c>
      <c r="J239" t="str">
        <f t="shared" si="11"/>
        <v/>
      </c>
      <c r="K239" t="str">
        <f>IF($A239&lt;&gt;"",VLOOKUP($E239,'IT Structure'!A:C,3,0),"")</f>
        <v/>
      </c>
      <c r="L239" t="str">
        <f>IF($A239&lt;&gt;"",VLOOKUP($B239,'time target'!A:B,2,0),"")</f>
        <v/>
      </c>
    </row>
    <row r="240" spans="8:12">
      <c r="H240" t="str">
        <f t="shared" si="9"/>
        <v/>
      </c>
      <c r="I240" t="str">
        <f t="shared" si="10"/>
        <v/>
      </c>
      <c r="J240" t="str">
        <f t="shared" si="11"/>
        <v/>
      </c>
      <c r="K240" t="str">
        <f>IF($A240&lt;&gt;"",VLOOKUP($E240,'IT Structure'!A:C,3,0),"")</f>
        <v/>
      </c>
      <c r="L240" t="str">
        <f>IF($A240&lt;&gt;"",VLOOKUP($B240,'time target'!A:B,2,0),"")</f>
        <v/>
      </c>
    </row>
    <row r="241" spans="8:12">
      <c r="H241" t="str">
        <f t="shared" si="9"/>
        <v/>
      </c>
      <c r="I241" t="str">
        <f t="shared" si="10"/>
        <v/>
      </c>
      <c r="J241" t="str">
        <f t="shared" si="11"/>
        <v/>
      </c>
      <c r="K241" t="str">
        <f>IF($A241&lt;&gt;"",VLOOKUP($E241,'IT Structure'!A:C,3,0),"")</f>
        <v/>
      </c>
      <c r="L241" t="str">
        <f>IF($A241&lt;&gt;"",VLOOKUP($B241,'time target'!A:B,2,0),"")</f>
        <v/>
      </c>
    </row>
    <row r="242" spans="8:12">
      <c r="H242" t="str">
        <f t="shared" si="9"/>
        <v/>
      </c>
      <c r="I242" t="str">
        <f t="shared" si="10"/>
        <v/>
      </c>
      <c r="J242" t="str">
        <f t="shared" si="11"/>
        <v/>
      </c>
      <c r="K242" t="str">
        <f>IF($A242&lt;&gt;"",VLOOKUP($E242,'IT Structure'!A:C,3,0),"")</f>
        <v/>
      </c>
      <c r="L242" t="str">
        <f>IF($A242&lt;&gt;"",VLOOKUP($B242,'time target'!A:B,2,0),"")</f>
        <v/>
      </c>
    </row>
    <row r="243" spans="8:12">
      <c r="H243" t="str">
        <f t="shared" si="9"/>
        <v/>
      </c>
      <c r="I243" t="str">
        <f t="shared" si="10"/>
        <v/>
      </c>
      <c r="J243" t="str">
        <f t="shared" si="11"/>
        <v/>
      </c>
      <c r="K243" t="str">
        <f>IF($A243&lt;&gt;"",VLOOKUP($E243,'IT Structure'!A:C,3,0),"")</f>
        <v/>
      </c>
      <c r="L243" t="str">
        <f>IF($A243&lt;&gt;"",VLOOKUP($B243,'time target'!A:B,2,0),"")</f>
        <v/>
      </c>
    </row>
    <row r="244" spans="8:12">
      <c r="H244" t="str">
        <f t="shared" si="9"/>
        <v/>
      </c>
      <c r="I244" t="str">
        <f t="shared" si="10"/>
        <v/>
      </c>
      <c r="J244" t="str">
        <f t="shared" si="11"/>
        <v/>
      </c>
      <c r="K244" t="str">
        <f>IF($A244&lt;&gt;"",VLOOKUP($E244,'IT Structure'!A:C,3,0),"")</f>
        <v/>
      </c>
      <c r="L244" t="str">
        <f>IF($A244&lt;&gt;"",VLOOKUP($B244,'time target'!A:B,2,0),"")</f>
        <v/>
      </c>
    </row>
    <row r="245" spans="8:12">
      <c r="H245" t="str">
        <f t="shared" si="9"/>
        <v/>
      </c>
      <c r="I245" t="str">
        <f t="shared" si="10"/>
        <v/>
      </c>
      <c r="J245" t="str">
        <f t="shared" si="11"/>
        <v/>
      </c>
      <c r="K245" t="str">
        <f>IF($A245&lt;&gt;"",VLOOKUP($E245,'IT Structure'!A:C,3,0),"")</f>
        <v/>
      </c>
      <c r="L245" t="str">
        <f>IF($A245&lt;&gt;"",VLOOKUP($B245,'time target'!A:B,2,0),"")</f>
        <v/>
      </c>
    </row>
    <row r="246" spans="8:12">
      <c r="H246" t="str">
        <f t="shared" si="9"/>
        <v/>
      </c>
      <c r="I246" t="str">
        <f t="shared" si="10"/>
        <v/>
      </c>
      <c r="J246" t="str">
        <f t="shared" si="11"/>
        <v/>
      </c>
      <c r="K246" t="str">
        <f>IF($A246&lt;&gt;"",VLOOKUP($E246,'IT Structure'!A:C,3,0),"")</f>
        <v/>
      </c>
      <c r="L246" t="str">
        <f>IF($A246&lt;&gt;"",VLOOKUP($B246,'time target'!A:B,2,0),"")</f>
        <v/>
      </c>
    </row>
    <row r="247" spans="8:12">
      <c r="H247" t="str">
        <f t="shared" si="9"/>
        <v/>
      </c>
      <c r="I247" t="str">
        <f t="shared" si="10"/>
        <v/>
      </c>
      <c r="J247" t="str">
        <f t="shared" si="11"/>
        <v/>
      </c>
      <c r="K247" t="str">
        <f>IF($A247&lt;&gt;"",VLOOKUP($E247,'IT Structure'!A:C,3,0),"")</f>
        <v/>
      </c>
      <c r="L247" t="str">
        <f>IF($A247&lt;&gt;"",VLOOKUP($B247,'time target'!A:B,2,0),"")</f>
        <v/>
      </c>
    </row>
    <row r="248" spans="8:12">
      <c r="H248" t="str">
        <f t="shared" si="9"/>
        <v/>
      </c>
      <c r="I248" t="str">
        <f t="shared" si="10"/>
        <v/>
      </c>
      <c r="J248" t="str">
        <f t="shared" si="11"/>
        <v/>
      </c>
      <c r="K248" t="str">
        <f>IF($A248&lt;&gt;"",VLOOKUP($E248,'IT Structure'!A:C,3,0),"")</f>
        <v/>
      </c>
      <c r="L248" t="str">
        <f>IF($A248&lt;&gt;"",VLOOKUP($B248,'time target'!A:B,2,0),"")</f>
        <v/>
      </c>
    </row>
    <row r="249" spans="8:12">
      <c r="H249" t="str">
        <f t="shared" si="9"/>
        <v/>
      </c>
      <c r="I249" t="str">
        <f t="shared" si="10"/>
        <v/>
      </c>
      <c r="J249" t="str">
        <f t="shared" si="11"/>
        <v/>
      </c>
      <c r="K249" t="str">
        <f>IF($A249&lt;&gt;"",VLOOKUP($E249,'IT Structure'!A:C,3,0),"")</f>
        <v/>
      </c>
      <c r="L249" t="str">
        <f>IF($A249&lt;&gt;"",VLOOKUP($B249,'time target'!A:B,2,0),"")</f>
        <v/>
      </c>
    </row>
    <row r="250" spans="8:12">
      <c r="H250" t="str">
        <f t="shared" si="9"/>
        <v/>
      </c>
      <c r="I250" t="str">
        <f t="shared" si="10"/>
        <v/>
      </c>
      <c r="J250" t="str">
        <f t="shared" si="11"/>
        <v/>
      </c>
      <c r="K250" t="str">
        <f>IF($A250&lt;&gt;"",VLOOKUP($E250,'IT Structure'!A:C,3,0),"")</f>
        <v/>
      </c>
      <c r="L250" t="str">
        <f>IF($A250&lt;&gt;"",VLOOKUP($B250,'time target'!A:B,2,0),"")</f>
        <v/>
      </c>
    </row>
    <row r="251" spans="8:12">
      <c r="H251" t="str">
        <f t="shared" si="9"/>
        <v/>
      </c>
      <c r="I251" t="str">
        <f t="shared" si="10"/>
        <v/>
      </c>
      <c r="J251" t="str">
        <f t="shared" si="11"/>
        <v/>
      </c>
      <c r="K251" t="str">
        <f>IF($A251&lt;&gt;"",VLOOKUP($E251,'IT Structure'!A:C,3,0),"")</f>
        <v/>
      </c>
      <c r="L251" t="str">
        <f>IF($A251&lt;&gt;"",VLOOKUP($B251,'time target'!A:B,2,0),"")</f>
        <v/>
      </c>
    </row>
    <row r="252" spans="8:12">
      <c r="H252" t="str">
        <f t="shared" si="9"/>
        <v/>
      </c>
      <c r="I252" t="str">
        <f t="shared" si="10"/>
        <v/>
      </c>
      <c r="J252" t="str">
        <f t="shared" si="11"/>
        <v/>
      </c>
      <c r="K252" t="str">
        <f>IF($A252&lt;&gt;"",VLOOKUP($E252,'IT Structure'!A:C,3,0),"")</f>
        <v/>
      </c>
      <c r="L252" t="str">
        <f>IF($A252&lt;&gt;"",VLOOKUP($B252,'time target'!A:B,2,0),"")</f>
        <v/>
      </c>
    </row>
    <row r="253" spans="8:12">
      <c r="H253" t="str">
        <f t="shared" si="9"/>
        <v/>
      </c>
      <c r="I253" t="str">
        <f t="shared" si="10"/>
        <v/>
      </c>
      <c r="J253" t="str">
        <f t="shared" si="11"/>
        <v/>
      </c>
      <c r="K253" t="str">
        <f>IF($A253&lt;&gt;"",VLOOKUP($E253,'IT Structure'!A:C,3,0),"")</f>
        <v/>
      </c>
      <c r="L253" t="str">
        <f>IF($A253&lt;&gt;"",VLOOKUP($B253,'time target'!A:B,2,0),"")</f>
        <v/>
      </c>
    </row>
    <row r="254" spans="8:12">
      <c r="H254" t="str">
        <f t="shared" si="9"/>
        <v/>
      </c>
      <c r="I254" t="str">
        <f t="shared" si="10"/>
        <v/>
      </c>
      <c r="J254" t="str">
        <f t="shared" si="11"/>
        <v/>
      </c>
      <c r="K254" t="str">
        <f>IF($A254&lt;&gt;"",VLOOKUP($E254,'IT Structure'!A:C,3,0),"")</f>
        <v/>
      </c>
      <c r="L254" t="str">
        <f>IF($A254&lt;&gt;"",VLOOKUP($B254,'time target'!A:B,2,0),"")</f>
        <v/>
      </c>
    </row>
    <row r="255" spans="8:12">
      <c r="H255" t="str">
        <f t="shared" si="9"/>
        <v/>
      </c>
      <c r="I255" t="str">
        <f t="shared" si="10"/>
        <v/>
      </c>
      <c r="J255" t="str">
        <f t="shared" si="11"/>
        <v/>
      </c>
      <c r="K255" t="str">
        <f>IF($A255&lt;&gt;"",VLOOKUP($E255,'IT Structure'!A:C,3,0),"")</f>
        <v/>
      </c>
      <c r="L255" t="str">
        <f>IF($A255&lt;&gt;"",VLOOKUP($B255,'time target'!A:B,2,0),"")</f>
        <v/>
      </c>
    </row>
    <row r="256" spans="8:12">
      <c r="H256" t="str">
        <f t="shared" si="9"/>
        <v/>
      </c>
      <c r="I256" t="str">
        <f t="shared" si="10"/>
        <v/>
      </c>
      <c r="J256" t="str">
        <f t="shared" si="11"/>
        <v/>
      </c>
      <c r="K256" t="str">
        <f>IF($A256&lt;&gt;"",VLOOKUP($E256,'IT Structure'!A:C,3,0),"")</f>
        <v/>
      </c>
      <c r="L256" t="str">
        <f>IF($A256&lt;&gt;"",VLOOKUP($B256,'time target'!A:B,2,0),"")</f>
        <v/>
      </c>
    </row>
    <row r="257" spans="8:12">
      <c r="H257" t="str">
        <f t="shared" si="9"/>
        <v/>
      </c>
      <c r="I257" t="str">
        <f t="shared" si="10"/>
        <v/>
      </c>
      <c r="J257" t="str">
        <f t="shared" si="11"/>
        <v/>
      </c>
      <c r="K257" t="str">
        <f>IF($A257&lt;&gt;"",VLOOKUP($E257,'IT Structure'!A:C,3,0),"")</f>
        <v/>
      </c>
      <c r="L257" t="str">
        <f>IF($A257&lt;&gt;"",VLOOKUP($B257,'time target'!A:B,2,0),"")</f>
        <v/>
      </c>
    </row>
    <row r="258" spans="8:12">
      <c r="H258" t="str">
        <f t="shared" si="9"/>
        <v/>
      </c>
      <c r="I258" t="str">
        <f t="shared" si="10"/>
        <v/>
      </c>
      <c r="J258" t="str">
        <f t="shared" si="11"/>
        <v/>
      </c>
      <c r="K258" t="str">
        <f>IF($A258&lt;&gt;"",VLOOKUP($E258,'IT Structure'!A:C,3,0),"")</f>
        <v/>
      </c>
      <c r="L258" t="str">
        <f>IF($A258&lt;&gt;"",VLOOKUP($B258,'time target'!A:B,2,0),"")</f>
        <v/>
      </c>
    </row>
    <row r="259" spans="8:12">
      <c r="H259" t="str">
        <f t="shared" ref="H259:H322" si="12">IF($A259&lt;&gt;"",MONTH($G259),"")</f>
        <v/>
      </c>
      <c r="I259" t="str">
        <f t="shared" ref="I259:I322" si="13">IF($A259&lt;&gt;"",YEAR($G259),"")</f>
        <v/>
      </c>
      <c r="J259" t="str">
        <f t="shared" ref="J259:J322" si="14">IF($A259&lt;&gt;"",DAY($G259),"")</f>
        <v/>
      </c>
      <c r="K259" t="str">
        <f>IF($A259&lt;&gt;"",VLOOKUP($E259,'IT Structure'!A:C,3,0),"")</f>
        <v/>
      </c>
      <c r="L259" t="str">
        <f>IF($A259&lt;&gt;"",VLOOKUP($B259,'time target'!A:B,2,0),"")</f>
        <v/>
      </c>
    </row>
    <row r="260" spans="8:12">
      <c r="H260" t="str">
        <f t="shared" si="12"/>
        <v/>
      </c>
      <c r="I260" t="str">
        <f t="shared" si="13"/>
        <v/>
      </c>
      <c r="J260" t="str">
        <f t="shared" si="14"/>
        <v/>
      </c>
      <c r="K260" t="str">
        <f>IF($A260&lt;&gt;"",VLOOKUP($E260,'IT Structure'!A:C,3,0),"")</f>
        <v/>
      </c>
      <c r="L260" t="str">
        <f>IF($A260&lt;&gt;"",VLOOKUP($B260,'time target'!A:B,2,0),"")</f>
        <v/>
      </c>
    </row>
    <row r="261" spans="8:12">
      <c r="H261" t="str">
        <f t="shared" si="12"/>
        <v/>
      </c>
      <c r="I261" t="str">
        <f t="shared" si="13"/>
        <v/>
      </c>
      <c r="J261" t="str">
        <f t="shared" si="14"/>
        <v/>
      </c>
      <c r="K261" t="str">
        <f>IF($A261&lt;&gt;"",VLOOKUP($E261,'IT Structure'!A:C,3,0),"")</f>
        <v/>
      </c>
      <c r="L261" t="str">
        <f>IF($A261&lt;&gt;"",VLOOKUP($B261,'time target'!A:B,2,0),"")</f>
        <v/>
      </c>
    </row>
    <row r="262" spans="8:12">
      <c r="H262" t="str">
        <f t="shared" si="12"/>
        <v/>
      </c>
      <c r="I262" t="str">
        <f t="shared" si="13"/>
        <v/>
      </c>
      <c r="J262" t="str">
        <f t="shared" si="14"/>
        <v/>
      </c>
      <c r="K262" t="str">
        <f>IF($A262&lt;&gt;"",VLOOKUP($E262,'IT Structure'!A:C,3,0),"")</f>
        <v/>
      </c>
      <c r="L262" t="str">
        <f>IF($A262&lt;&gt;"",VLOOKUP($B262,'time target'!A:B,2,0),"")</f>
        <v/>
      </c>
    </row>
    <row r="263" spans="8:12">
      <c r="H263" t="str">
        <f t="shared" si="12"/>
        <v/>
      </c>
      <c r="I263" t="str">
        <f t="shared" si="13"/>
        <v/>
      </c>
      <c r="J263" t="str">
        <f t="shared" si="14"/>
        <v/>
      </c>
      <c r="K263" t="str">
        <f>IF($A263&lt;&gt;"",VLOOKUP($E263,'IT Structure'!A:C,3,0),"")</f>
        <v/>
      </c>
      <c r="L263" t="str">
        <f>IF($A263&lt;&gt;"",VLOOKUP($B263,'time target'!A:B,2,0),"")</f>
        <v/>
      </c>
    </row>
    <row r="264" spans="8:12">
      <c r="H264" t="str">
        <f t="shared" si="12"/>
        <v/>
      </c>
      <c r="I264" t="str">
        <f t="shared" si="13"/>
        <v/>
      </c>
      <c r="J264" t="str">
        <f t="shared" si="14"/>
        <v/>
      </c>
      <c r="K264" t="str">
        <f>IF($A264&lt;&gt;"",VLOOKUP($E264,'IT Structure'!A:C,3,0),"")</f>
        <v/>
      </c>
      <c r="L264" t="str">
        <f>IF($A264&lt;&gt;"",VLOOKUP($B264,'time target'!A:B,2,0),"")</f>
        <v/>
      </c>
    </row>
    <row r="265" spans="8:12">
      <c r="H265" t="str">
        <f t="shared" si="12"/>
        <v/>
      </c>
      <c r="I265" t="str">
        <f t="shared" si="13"/>
        <v/>
      </c>
      <c r="J265" t="str">
        <f t="shared" si="14"/>
        <v/>
      </c>
      <c r="K265" t="str">
        <f>IF($A265&lt;&gt;"",VLOOKUP($E265,'IT Structure'!A:C,3,0),"")</f>
        <v/>
      </c>
      <c r="L265" t="str">
        <f>IF($A265&lt;&gt;"",VLOOKUP($B265,'time target'!A:B,2,0),"")</f>
        <v/>
      </c>
    </row>
    <row r="266" spans="8:12">
      <c r="H266" t="str">
        <f t="shared" si="12"/>
        <v/>
      </c>
      <c r="I266" t="str">
        <f t="shared" si="13"/>
        <v/>
      </c>
      <c r="J266" t="str">
        <f t="shared" si="14"/>
        <v/>
      </c>
      <c r="K266" t="str">
        <f>IF($A266&lt;&gt;"",VLOOKUP($E266,'IT Structure'!A:C,3,0),"")</f>
        <v/>
      </c>
      <c r="L266" t="str">
        <f>IF($A266&lt;&gt;"",VLOOKUP($B266,'time target'!A:B,2,0),"")</f>
        <v/>
      </c>
    </row>
    <row r="267" spans="8:12">
      <c r="H267" t="str">
        <f t="shared" si="12"/>
        <v/>
      </c>
      <c r="I267" t="str">
        <f t="shared" si="13"/>
        <v/>
      </c>
      <c r="J267" t="str">
        <f t="shared" si="14"/>
        <v/>
      </c>
      <c r="K267" t="str">
        <f>IF($A267&lt;&gt;"",VLOOKUP($E267,'IT Structure'!A:C,3,0),"")</f>
        <v/>
      </c>
      <c r="L267" t="str">
        <f>IF($A267&lt;&gt;"",VLOOKUP($B267,'time target'!A:B,2,0),"")</f>
        <v/>
      </c>
    </row>
    <row r="268" spans="8:12">
      <c r="H268" t="str">
        <f t="shared" si="12"/>
        <v/>
      </c>
      <c r="I268" t="str">
        <f t="shared" si="13"/>
        <v/>
      </c>
      <c r="J268" t="str">
        <f t="shared" si="14"/>
        <v/>
      </c>
      <c r="K268" t="str">
        <f>IF($A268&lt;&gt;"",VLOOKUP($E268,'IT Structure'!A:C,3,0),"")</f>
        <v/>
      </c>
      <c r="L268" t="str">
        <f>IF($A268&lt;&gt;"",VLOOKUP($B268,'time target'!A:B,2,0),"")</f>
        <v/>
      </c>
    </row>
    <row r="269" spans="8:12">
      <c r="H269" t="str">
        <f t="shared" si="12"/>
        <v/>
      </c>
      <c r="I269" t="str">
        <f t="shared" si="13"/>
        <v/>
      </c>
      <c r="J269" t="str">
        <f t="shared" si="14"/>
        <v/>
      </c>
      <c r="K269" t="str">
        <f>IF($A269&lt;&gt;"",VLOOKUP($E269,'IT Structure'!A:C,3,0),"")</f>
        <v/>
      </c>
      <c r="L269" t="str">
        <f>IF($A269&lt;&gt;"",VLOOKUP($B269,'time target'!A:B,2,0),"")</f>
        <v/>
      </c>
    </row>
    <row r="270" spans="8:12">
      <c r="H270" t="str">
        <f t="shared" si="12"/>
        <v/>
      </c>
      <c r="I270" t="str">
        <f t="shared" si="13"/>
        <v/>
      </c>
      <c r="J270" t="str">
        <f t="shared" si="14"/>
        <v/>
      </c>
      <c r="K270" t="str">
        <f>IF($A270&lt;&gt;"",VLOOKUP($E270,'IT Structure'!A:C,3,0),"")</f>
        <v/>
      </c>
      <c r="L270" t="str">
        <f>IF($A270&lt;&gt;"",VLOOKUP($B270,'time target'!A:B,2,0),"")</f>
        <v/>
      </c>
    </row>
    <row r="271" spans="8:12">
      <c r="H271" t="str">
        <f t="shared" si="12"/>
        <v/>
      </c>
      <c r="I271" t="str">
        <f t="shared" si="13"/>
        <v/>
      </c>
      <c r="J271" t="str">
        <f t="shared" si="14"/>
        <v/>
      </c>
      <c r="K271" t="str">
        <f>IF($A271&lt;&gt;"",VLOOKUP($E271,'IT Structure'!A:C,3,0),"")</f>
        <v/>
      </c>
      <c r="L271" t="str">
        <f>IF($A271&lt;&gt;"",VLOOKUP($B271,'time target'!A:B,2,0),"")</f>
        <v/>
      </c>
    </row>
    <row r="272" spans="8:12">
      <c r="H272" t="str">
        <f t="shared" si="12"/>
        <v/>
      </c>
      <c r="I272" t="str">
        <f t="shared" si="13"/>
        <v/>
      </c>
      <c r="J272" t="str">
        <f t="shared" si="14"/>
        <v/>
      </c>
      <c r="K272" t="str">
        <f>IF($A272&lt;&gt;"",VLOOKUP($E272,'IT Structure'!A:C,3,0),"")</f>
        <v/>
      </c>
      <c r="L272" t="str">
        <f>IF($A272&lt;&gt;"",VLOOKUP($B272,'time target'!A:B,2,0),"")</f>
        <v/>
      </c>
    </row>
    <row r="273" spans="8:12">
      <c r="H273" t="str">
        <f t="shared" si="12"/>
        <v/>
      </c>
      <c r="I273" t="str">
        <f t="shared" si="13"/>
        <v/>
      </c>
      <c r="J273" t="str">
        <f t="shared" si="14"/>
        <v/>
      </c>
      <c r="K273" t="str">
        <f>IF($A273&lt;&gt;"",VLOOKUP($E273,'IT Structure'!A:C,3,0),"")</f>
        <v/>
      </c>
      <c r="L273" t="str">
        <f>IF($A273&lt;&gt;"",VLOOKUP($B273,'time target'!A:B,2,0),"")</f>
        <v/>
      </c>
    </row>
    <row r="274" spans="8:12">
      <c r="H274" t="str">
        <f t="shared" si="12"/>
        <v/>
      </c>
      <c r="I274" t="str">
        <f t="shared" si="13"/>
        <v/>
      </c>
      <c r="J274" t="str">
        <f t="shared" si="14"/>
        <v/>
      </c>
      <c r="K274" t="str">
        <f>IF($A274&lt;&gt;"",VLOOKUP($E274,'IT Structure'!A:C,3,0),"")</f>
        <v/>
      </c>
      <c r="L274" t="str">
        <f>IF($A274&lt;&gt;"",VLOOKUP($B274,'time target'!A:B,2,0),"")</f>
        <v/>
      </c>
    </row>
    <row r="275" spans="8:12">
      <c r="H275" t="str">
        <f t="shared" si="12"/>
        <v/>
      </c>
      <c r="I275" t="str">
        <f t="shared" si="13"/>
        <v/>
      </c>
      <c r="J275" t="str">
        <f t="shared" si="14"/>
        <v/>
      </c>
      <c r="K275" t="str">
        <f>IF($A275&lt;&gt;"",VLOOKUP($E275,'IT Structure'!A:C,3,0),"")</f>
        <v/>
      </c>
      <c r="L275" t="str">
        <f>IF($A275&lt;&gt;"",VLOOKUP($B275,'time target'!A:B,2,0),"")</f>
        <v/>
      </c>
    </row>
    <row r="276" spans="8:12">
      <c r="H276" t="str">
        <f t="shared" si="12"/>
        <v/>
      </c>
      <c r="I276" t="str">
        <f t="shared" si="13"/>
        <v/>
      </c>
      <c r="J276" t="str">
        <f t="shared" si="14"/>
        <v/>
      </c>
      <c r="K276" t="str">
        <f>IF($A276&lt;&gt;"",VLOOKUP($E276,'IT Structure'!A:C,3,0),"")</f>
        <v/>
      </c>
      <c r="L276" t="str">
        <f>IF($A276&lt;&gt;"",VLOOKUP($B276,'time target'!A:B,2,0),"")</f>
        <v/>
      </c>
    </row>
    <row r="277" spans="8:12">
      <c r="H277" t="str">
        <f t="shared" si="12"/>
        <v/>
      </c>
      <c r="I277" t="str">
        <f t="shared" si="13"/>
        <v/>
      </c>
      <c r="J277" t="str">
        <f t="shared" si="14"/>
        <v/>
      </c>
      <c r="K277" t="str">
        <f>IF($A277&lt;&gt;"",VLOOKUP($E277,'IT Structure'!A:C,3,0),"")</f>
        <v/>
      </c>
      <c r="L277" t="str">
        <f>IF($A277&lt;&gt;"",VLOOKUP($B277,'time target'!A:B,2,0),"")</f>
        <v/>
      </c>
    </row>
    <row r="278" spans="8:12">
      <c r="H278" t="str">
        <f t="shared" si="12"/>
        <v/>
      </c>
      <c r="I278" t="str">
        <f t="shared" si="13"/>
        <v/>
      </c>
      <c r="J278" t="str">
        <f t="shared" si="14"/>
        <v/>
      </c>
      <c r="K278" t="str">
        <f>IF($A278&lt;&gt;"",VLOOKUP($E278,'IT Structure'!A:C,3,0),"")</f>
        <v/>
      </c>
      <c r="L278" t="str">
        <f>IF($A278&lt;&gt;"",VLOOKUP($B278,'time target'!A:B,2,0),"")</f>
        <v/>
      </c>
    </row>
    <row r="279" spans="8:12">
      <c r="H279" t="str">
        <f t="shared" si="12"/>
        <v/>
      </c>
      <c r="I279" t="str">
        <f t="shared" si="13"/>
        <v/>
      </c>
      <c r="J279" t="str">
        <f t="shared" si="14"/>
        <v/>
      </c>
      <c r="K279" t="str">
        <f>IF($A279&lt;&gt;"",VLOOKUP($E279,'IT Structure'!A:C,3,0),"")</f>
        <v/>
      </c>
      <c r="L279" t="str">
        <f>IF($A279&lt;&gt;"",VLOOKUP($B279,'time target'!A:B,2,0),"")</f>
        <v/>
      </c>
    </row>
    <row r="280" spans="8:12">
      <c r="H280" t="str">
        <f t="shared" si="12"/>
        <v/>
      </c>
      <c r="I280" t="str">
        <f t="shared" si="13"/>
        <v/>
      </c>
      <c r="J280" t="str">
        <f t="shared" si="14"/>
        <v/>
      </c>
      <c r="K280" t="str">
        <f>IF($A280&lt;&gt;"",VLOOKUP($E280,'IT Structure'!A:C,3,0),"")</f>
        <v/>
      </c>
      <c r="L280" t="str">
        <f>IF($A280&lt;&gt;"",VLOOKUP($B280,'time target'!A:B,2,0),"")</f>
        <v/>
      </c>
    </row>
    <row r="281" spans="8:12">
      <c r="H281" t="str">
        <f t="shared" si="12"/>
        <v/>
      </c>
      <c r="I281" t="str">
        <f t="shared" si="13"/>
        <v/>
      </c>
      <c r="J281" t="str">
        <f t="shared" si="14"/>
        <v/>
      </c>
      <c r="K281" t="str">
        <f>IF($A281&lt;&gt;"",VLOOKUP($E281,'IT Structure'!A:C,3,0),"")</f>
        <v/>
      </c>
      <c r="L281" t="str">
        <f>IF($A281&lt;&gt;"",VLOOKUP($B281,'time target'!A:B,2,0),"")</f>
        <v/>
      </c>
    </row>
    <row r="282" spans="8:12">
      <c r="H282" t="str">
        <f t="shared" si="12"/>
        <v/>
      </c>
      <c r="I282" t="str">
        <f t="shared" si="13"/>
        <v/>
      </c>
      <c r="J282" t="str">
        <f t="shared" si="14"/>
        <v/>
      </c>
      <c r="K282" t="str">
        <f>IF($A282&lt;&gt;"",VLOOKUP($E282,'IT Structure'!A:C,3,0),"")</f>
        <v/>
      </c>
      <c r="L282" t="str">
        <f>IF($A282&lt;&gt;"",VLOOKUP($B282,'time target'!A:B,2,0),"")</f>
        <v/>
      </c>
    </row>
    <row r="283" spans="8:12">
      <c r="H283" t="str">
        <f t="shared" si="12"/>
        <v/>
      </c>
      <c r="I283" t="str">
        <f t="shared" si="13"/>
        <v/>
      </c>
      <c r="J283" t="str">
        <f t="shared" si="14"/>
        <v/>
      </c>
      <c r="K283" t="str">
        <f>IF($A283&lt;&gt;"",VLOOKUP($E283,'IT Structure'!A:C,3,0),"")</f>
        <v/>
      </c>
      <c r="L283" t="str">
        <f>IF($A283&lt;&gt;"",VLOOKUP($B283,'time target'!A:B,2,0),"")</f>
        <v/>
      </c>
    </row>
    <row r="284" spans="8:12">
      <c r="H284" t="str">
        <f t="shared" si="12"/>
        <v/>
      </c>
      <c r="I284" t="str">
        <f t="shared" si="13"/>
        <v/>
      </c>
      <c r="J284" t="str">
        <f t="shared" si="14"/>
        <v/>
      </c>
      <c r="K284" t="str">
        <f>IF($A284&lt;&gt;"",VLOOKUP($E284,'IT Structure'!A:C,3,0),"")</f>
        <v/>
      </c>
      <c r="L284" t="str">
        <f>IF($A284&lt;&gt;"",VLOOKUP($B284,'time target'!A:B,2,0),"")</f>
        <v/>
      </c>
    </row>
    <row r="285" spans="8:12">
      <c r="H285" t="str">
        <f t="shared" si="12"/>
        <v/>
      </c>
      <c r="I285" t="str">
        <f t="shared" si="13"/>
        <v/>
      </c>
      <c r="J285" t="str">
        <f t="shared" si="14"/>
        <v/>
      </c>
      <c r="K285" t="str">
        <f>IF($A285&lt;&gt;"",VLOOKUP($E285,'IT Structure'!A:C,3,0),"")</f>
        <v/>
      </c>
      <c r="L285" t="str">
        <f>IF($A285&lt;&gt;"",VLOOKUP($B285,'time target'!A:B,2,0),"")</f>
        <v/>
      </c>
    </row>
    <row r="286" spans="8:12">
      <c r="H286" t="str">
        <f t="shared" si="12"/>
        <v/>
      </c>
      <c r="I286" t="str">
        <f t="shared" si="13"/>
        <v/>
      </c>
      <c r="J286" t="str">
        <f t="shared" si="14"/>
        <v/>
      </c>
      <c r="K286" t="str">
        <f>IF($A286&lt;&gt;"",VLOOKUP($E286,'IT Structure'!A:C,3,0),"")</f>
        <v/>
      </c>
      <c r="L286" t="str">
        <f>IF($A286&lt;&gt;"",VLOOKUP($B286,'time target'!A:B,2,0),"")</f>
        <v/>
      </c>
    </row>
    <row r="287" spans="8:12">
      <c r="H287" t="str">
        <f t="shared" si="12"/>
        <v/>
      </c>
      <c r="I287" t="str">
        <f t="shared" si="13"/>
        <v/>
      </c>
      <c r="J287" t="str">
        <f t="shared" si="14"/>
        <v/>
      </c>
      <c r="K287" t="str">
        <f>IF($A287&lt;&gt;"",VLOOKUP($E287,'IT Structure'!A:C,3,0),"")</f>
        <v/>
      </c>
      <c r="L287" t="str">
        <f>IF($A287&lt;&gt;"",VLOOKUP($B287,'time target'!A:B,2,0),"")</f>
        <v/>
      </c>
    </row>
    <row r="288" spans="8:12">
      <c r="H288" t="str">
        <f t="shared" si="12"/>
        <v/>
      </c>
      <c r="I288" t="str">
        <f t="shared" si="13"/>
        <v/>
      </c>
      <c r="J288" t="str">
        <f t="shared" si="14"/>
        <v/>
      </c>
      <c r="K288" t="str">
        <f>IF($A288&lt;&gt;"",VLOOKUP($E288,'IT Structure'!A:C,3,0),"")</f>
        <v/>
      </c>
      <c r="L288" t="str">
        <f>IF($A288&lt;&gt;"",VLOOKUP($B288,'time target'!A:B,2,0),"")</f>
        <v/>
      </c>
    </row>
    <row r="289" spans="8:12">
      <c r="H289" t="str">
        <f t="shared" si="12"/>
        <v/>
      </c>
      <c r="I289" t="str">
        <f t="shared" si="13"/>
        <v/>
      </c>
      <c r="J289" t="str">
        <f t="shared" si="14"/>
        <v/>
      </c>
      <c r="K289" t="str">
        <f>IF($A289&lt;&gt;"",VLOOKUP($E289,'IT Structure'!A:C,3,0),"")</f>
        <v/>
      </c>
      <c r="L289" t="str">
        <f>IF($A289&lt;&gt;"",VLOOKUP($B289,'time target'!A:B,2,0),"")</f>
        <v/>
      </c>
    </row>
    <row r="290" spans="8:12">
      <c r="H290" t="str">
        <f t="shared" si="12"/>
        <v/>
      </c>
      <c r="I290" t="str">
        <f t="shared" si="13"/>
        <v/>
      </c>
      <c r="J290" t="str">
        <f t="shared" si="14"/>
        <v/>
      </c>
      <c r="K290" t="str">
        <f>IF($A290&lt;&gt;"",VLOOKUP($E290,'IT Structure'!A:C,3,0),"")</f>
        <v/>
      </c>
      <c r="L290" t="str">
        <f>IF($A290&lt;&gt;"",VLOOKUP($B290,'time target'!A:B,2,0),"")</f>
        <v/>
      </c>
    </row>
    <row r="291" spans="8:12">
      <c r="H291" t="str">
        <f t="shared" si="12"/>
        <v/>
      </c>
      <c r="I291" t="str">
        <f t="shared" si="13"/>
        <v/>
      </c>
      <c r="J291" t="str">
        <f t="shared" si="14"/>
        <v/>
      </c>
      <c r="K291" t="str">
        <f>IF($A291&lt;&gt;"",VLOOKUP($E291,'IT Structure'!A:C,3,0),"")</f>
        <v/>
      </c>
      <c r="L291" t="str">
        <f>IF($A291&lt;&gt;"",VLOOKUP($B291,'time target'!A:B,2,0),"")</f>
        <v/>
      </c>
    </row>
    <row r="292" spans="8:12">
      <c r="H292" t="str">
        <f t="shared" si="12"/>
        <v/>
      </c>
      <c r="I292" t="str">
        <f t="shared" si="13"/>
        <v/>
      </c>
      <c r="J292" t="str">
        <f t="shared" si="14"/>
        <v/>
      </c>
      <c r="K292" t="str">
        <f>IF($A292&lt;&gt;"",VLOOKUP($E292,'IT Structure'!A:C,3,0),"")</f>
        <v/>
      </c>
      <c r="L292" t="str">
        <f>IF($A292&lt;&gt;"",VLOOKUP($B292,'time target'!A:B,2,0),"")</f>
        <v/>
      </c>
    </row>
    <row r="293" spans="8:12">
      <c r="H293" t="str">
        <f t="shared" si="12"/>
        <v/>
      </c>
      <c r="I293" t="str">
        <f t="shared" si="13"/>
        <v/>
      </c>
      <c r="J293" t="str">
        <f t="shared" si="14"/>
        <v/>
      </c>
      <c r="K293" t="str">
        <f>IF($A293&lt;&gt;"",VLOOKUP($E293,'IT Structure'!A:C,3,0),"")</f>
        <v/>
      </c>
      <c r="L293" t="str">
        <f>IF($A293&lt;&gt;"",VLOOKUP($B293,'time target'!A:B,2,0),"")</f>
        <v/>
      </c>
    </row>
    <row r="294" spans="8:12">
      <c r="H294" t="str">
        <f t="shared" si="12"/>
        <v/>
      </c>
      <c r="I294" t="str">
        <f t="shared" si="13"/>
        <v/>
      </c>
      <c r="J294" t="str">
        <f t="shared" si="14"/>
        <v/>
      </c>
      <c r="K294" t="str">
        <f>IF($A294&lt;&gt;"",VLOOKUP($E294,'IT Structure'!A:C,3,0),"")</f>
        <v/>
      </c>
      <c r="L294" t="str">
        <f>IF($A294&lt;&gt;"",VLOOKUP($B294,'time target'!A:B,2,0),"")</f>
        <v/>
      </c>
    </row>
    <row r="295" spans="8:12">
      <c r="H295" t="str">
        <f t="shared" si="12"/>
        <v/>
      </c>
      <c r="I295" t="str">
        <f t="shared" si="13"/>
        <v/>
      </c>
      <c r="J295" t="str">
        <f t="shared" si="14"/>
        <v/>
      </c>
      <c r="K295" t="str">
        <f>IF($A295&lt;&gt;"",VLOOKUP($E295,'IT Structure'!A:C,3,0),"")</f>
        <v/>
      </c>
      <c r="L295" t="str">
        <f>IF($A295&lt;&gt;"",VLOOKUP($B295,'time target'!A:B,2,0),"")</f>
        <v/>
      </c>
    </row>
    <row r="296" spans="8:12">
      <c r="H296" t="str">
        <f t="shared" si="12"/>
        <v/>
      </c>
      <c r="I296" t="str">
        <f t="shared" si="13"/>
        <v/>
      </c>
      <c r="J296" t="str">
        <f t="shared" si="14"/>
        <v/>
      </c>
      <c r="K296" t="str">
        <f>IF($A296&lt;&gt;"",VLOOKUP($E296,'IT Structure'!A:C,3,0),"")</f>
        <v/>
      </c>
      <c r="L296" t="str">
        <f>IF($A296&lt;&gt;"",VLOOKUP($B296,'time target'!A:B,2,0),"")</f>
        <v/>
      </c>
    </row>
    <row r="297" spans="8:12">
      <c r="H297" t="str">
        <f t="shared" si="12"/>
        <v/>
      </c>
      <c r="I297" t="str">
        <f t="shared" si="13"/>
        <v/>
      </c>
      <c r="J297" t="str">
        <f t="shared" si="14"/>
        <v/>
      </c>
      <c r="K297" t="str">
        <f>IF($A297&lt;&gt;"",VLOOKUP($E297,'IT Structure'!A:C,3,0),"")</f>
        <v/>
      </c>
      <c r="L297" t="str">
        <f>IF($A297&lt;&gt;"",VLOOKUP($B297,'time target'!A:B,2,0),"")</f>
        <v/>
      </c>
    </row>
    <row r="298" spans="8:12">
      <c r="H298" t="str">
        <f t="shared" si="12"/>
        <v/>
      </c>
      <c r="I298" t="str">
        <f t="shared" si="13"/>
        <v/>
      </c>
      <c r="J298" t="str">
        <f t="shared" si="14"/>
        <v/>
      </c>
      <c r="K298" t="str">
        <f>IF($A298&lt;&gt;"",VLOOKUP($E298,'IT Structure'!A:C,3,0),"")</f>
        <v/>
      </c>
      <c r="L298" t="str">
        <f>IF($A298&lt;&gt;"",VLOOKUP($B298,'time target'!A:B,2,0),"")</f>
        <v/>
      </c>
    </row>
    <row r="299" spans="8:12">
      <c r="H299" t="str">
        <f t="shared" si="12"/>
        <v/>
      </c>
      <c r="I299" t="str">
        <f t="shared" si="13"/>
        <v/>
      </c>
      <c r="J299" t="str">
        <f t="shared" si="14"/>
        <v/>
      </c>
      <c r="K299" t="str">
        <f>IF($A299&lt;&gt;"",VLOOKUP($E299,'IT Structure'!A:C,3,0),"")</f>
        <v/>
      </c>
      <c r="L299" t="str">
        <f>IF($A299&lt;&gt;"",VLOOKUP($B299,'time target'!A:B,2,0),"")</f>
        <v/>
      </c>
    </row>
    <row r="300" spans="8:12">
      <c r="H300" t="str">
        <f t="shared" si="12"/>
        <v/>
      </c>
      <c r="I300" t="str">
        <f t="shared" si="13"/>
        <v/>
      </c>
      <c r="J300" t="str">
        <f t="shared" si="14"/>
        <v/>
      </c>
      <c r="K300" t="str">
        <f>IF($A300&lt;&gt;"",VLOOKUP($E300,'IT Structure'!A:C,3,0),"")</f>
        <v/>
      </c>
      <c r="L300" t="str">
        <f>IF($A300&lt;&gt;"",VLOOKUP($B300,'time target'!A:B,2,0),"")</f>
        <v/>
      </c>
    </row>
    <row r="301" spans="8:12">
      <c r="H301" t="str">
        <f t="shared" si="12"/>
        <v/>
      </c>
      <c r="I301" t="str">
        <f t="shared" si="13"/>
        <v/>
      </c>
      <c r="J301" t="str">
        <f t="shared" si="14"/>
        <v/>
      </c>
      <c r="K301" t="str">
        <f>IF($A301&lt;&gt;"",VLOOKUP($E301,'IT Structure'!A:C,3,0),"")</f>
        <v/>
      </c>
      <c r="L301" t="str">
        <f>IF($A301&lt;&gt;"",VLOOKUP($B301,'time target'!A:B,2,0),"")</f>
        <v/>
      </c>
    </row>
    <row r="302" spans="8:12">
      <c r="H302" t="str">
        <f t="shared" si="12"/>
        <v/>
      </c>
      <c r="I302" t="str">
        <f t="shared" si="13"/>
        <v/>
      </c>
      <c r="J302" t="str">
        <f t="shared" si="14"/>
        <v/>
      </c>
      <c r="K302" t="str">
        <f>IF($A302&lt;&gt;"",VLOOKUP($E302,'IT Structure'!A:C,3,0),"")</f>
        <v/>
      </c>
      <c r="L302" t="str">
        <f>IF($A302&lt;&gt;"",VLOOKUP($B302,'time target'!A:B,2,0),"")</f>
        <v/>
      </c>
    </row>
    <row r="303" spans="8:12">
      <c r="H303" t="str">
        <f t="shared" si="12"/>
        <v/>
      </c>
      <c r="I303" t="str">
        <f t="shared" si="13"/>
        <v/>
      </c>
      <c r="J303" t="str">
        <f t="shared" si="14"/>
        <v/>
      </c>
      <c r="K303" t="str">
        <f>IF($A303&lt;&gt;"",VLOOKUP($E303,'IT Structure'!A:C,3,0),"")</f>
        <v/>
      </c>
      <c r="L303" t="str">
        <f>IF($A303&lt;&gt;"",VLOOKUP($B303,'time target'!A:B,2,0),"")</f>
        <v/>
      </c>
    </row>
    <row r="304" spans="8:12">
      <c r="H304" t="str">
        <f t="shared" si="12"/>
        <v/>
      </c>
      <c r="I304" t="str">
        <f t="shared" si="13"/>
        <v/>
      </c>
      <c r="J304" t="str">
        <f t="shared" si="14"/>
        <v/>
      </c>
      <c r="K304" t="str">
        <f>IF($A304&lt;&gt;"",VLOOKUP($E304,'IT Structure'!A:C,3,0),"")</f>
        <v/>
      </c>
      <c r="L304" t="str">
        <f>IF($A304&lt;&gt;"",VLOOKUP($B304,'time target'!A:B,2,0),"")</f>
        <v/>
      </c>
    </row>
    <row r="305" spans="8:12">
      <c r="H305" t="str">
        <f t="shared" si="12"/>
        <v/>
      </c>
      <c r="I305" t="str">
        <f t="shared" si="13"/>
        <v/>
      </c>
      <c r="J305" t="str">
        <f t="shared" si="14"/>
        <v/>
      </c>
      <c r="K305" t="str">
        <f>IF($A305&lt;&gt;"",VLOOKUP($E305,'IT Structure'!A:C,3,0),"")</f>
        <v/>
      </c>
      <c r="L305" t="str">
        <f>IF($A305&lt;&gt;"",VLOOKUP($B305,'time target'!A:B,2,0),"")</f>
        <v/>
      </c>
    </row>
    <row r="306" spans="8:12">
      <c r="H306" t="str">
        <f t="shared" si="12"/>
        <v/>
      </c>
      <c r="I306" t="str">
        <f t="shared" si="13"/>
        <v/>
      </c>
      <c r="J306" t="str">
        <f t="shared" si="14"/>
        <v/>
      </c>
      <c r="K306" t="str">
        <f>IF($A306&lt;&gt;"",VLOOKUP($E306,'IT Structure'!A:C,3,0),"")</f>
        <v/>
      </c>
      <c r="L306" t="str">
        <f>IF($A306&lt;&gt;"",VLOOKUP($B306,'time target'!A:B,2,0),"")</f>
        <v/>
      </c>
    </row>
    <row r="307" spans="8:12">
      <c r="H307" t="str">
        <f t="shared" si="12"/>
        <v/>
      </c>
      <c r="I307" t="str">
        <f t="shared" si="13"/>
        <v/>
      </c>
      <c r="J307" t="str">
        <f t="shared" si="14"/>
        <v/>
      </c>
      <c r="K307" t="str">
        <f>IF($A307&lt;&gt;"",VLOOKUP($E307,'IT Structure'!A:C,3,0),"")</f>
        <v/>
      </c>
      <c r="L307" t="str">
        <f>IF($A307&lt;&gt;"",VLOOKUP($B307,'time target'!A:B,2,0),"")</f>
        <v/>
      </c>
    </row>
    <row r="308" spans="8:12">
      <c r="H308" t="str">
        <f t="shared" si="12"/>
        <v/>
      </c>
      <c r="I308" t="str">
        <f t="shared" si="13"/>
        <v/>
      </c>
      <c r="J308" t="str">
        <f t="shared" si="14"/>
        <v/>
      </c>
      <c r="K308" t="str">
        <f>IF($A308&lt;&gt;"",VLOOKUP($E308,'IT Structure'!A:C,3,0),"")</f>
        <v/>
      </c>
      <c r="L308" t="str">
        <f>IF($A308&lt;&gt;"",VLOOKUP($B308,'time target'!A:B,2,0),"")</f>
        <v/>
      </c>
    </row>
    <row r="309" spans="8:12">
      <c r="H309" t="str">
        <f t="shared" si="12"/>
        <v/>
      </c>
      <c r="I309" t="str">
        <f t="shared" si="13"/>
        <v/>
      </c>
      <c r="J309" t="str">
        <f t="shared" si="14"/>
        <v/>
      </c>
      <c r="K309" t="str">
        <f>IF($A309&lt;&gt;"",VLOOKUP($E309,'IT Structure'!A:C,3,0),"")</f>
        <v/>
      </c>
      <c r="L309" t="str">
        <f>IF($A309&lt;&gt;"",VLOOKUP($B309,'time target'!A:B,2,0),"")</f>
        <v/>
      </c>
    </row>
    <row r="310" spans="8:12">
      <c r="H310" t="str">
        <f t="shared" si="12"/>
        <v/>
      </c>
      <c r="I310" t="str">
        <f t="shared" si="13"/>
        <v/>
      </c>
      <c r="J310" t="str">
        <f t="shared" si="14"/>
        <v/>
      </c>
      <c r="K310" t="str">
        <f>IF($A310&lt;&gt;"",VLOOKUP($E310,'IT Structure'!A:C,3,0),"")</f>
        <v/>
      </c>
      <c r="L310" t="str">
        <f>IF($A310&lt;&gt;"",VLOOKUP($B310,'time target'!A:B,2,0),"")</f>
        <v/>
      </c>
    </row>
    <row r="311" spans="8:12">
      <c r="H311" t="str">
        <f t="shared" si="12"/>
        <v/>
      </c>
      <c r="I311" t="str">
        <f t="shared" si="13"/>
        <v/>
      </c>
      <c r="J311" t="str">
        <f t="shared" si="14"/>
        <v/>
      </c>
      <c r="K311" t="str">
        <f>IF($A311&lt;&gt;"",VLOOKUP($E311,'IT Structure'!A:C,3,0),"")</f>
        <v/>
      </c>
      <c r="L311" t="str">
        <f>IF($A311&lt;&gt;"",VLOOKUP($B311,'time target'!A:B,2,0),"")</f>
        <v/>
      </c>
    </row>
    <row r="312" spans="8:12">
      <c r="H312" t="str">
        <f t="shared" si="12"/>
        <v/>
      </c>
      <c r="I312" t="str">
        <f t="shared" si="13"/>
        <v/>
      </c>
      <c r="J312" t="str">
        <f t="shared" si="14"/>
        <v/>
      </c>
      <c r="K312" t="str">
        <f>IF($A312&lt;&gt;"",VLOOKUP($E312,'IT Structure'!A:C,3,0),"")</f>
        <v/>
      </c>
      <c r="L312" t="str">
        <f>IF($A312&lt;&gt;"",VLOOKUP($B312,'time target'!A:B,2,0),"")</f>
        <v/>
      </c>
    </row>
    <row r="313" spans="8:12">
      <c r="H313" t="str">
        <f t="shared" si="12"/>
        <v/>
      </c>
      <c r="I313" t="str">
        <f t="shared" si="13"/>
        <v/>
      </c>
      <c r="J313" t="str">
        <f t="shared" si="14"/>
        <v/>
      </c>
      <c r="K313" t="str">
        <f>IF($A313&lt;&gt;"",VLOOKUP($E313,'IT Structure'!A:C,3,0),"")</f>
        <v/>
      </c>
      <c r="L313" t="str">
        <f>IF($A313&lt;&gt;"",VLOOKUP($B313,'time target'!A:B,2,0),"")</f>
        <v/>
      </c>
    </row>
    <row r="314" spans="8:12">
      <c r="H314" t="str">
        <f t="shared" si="12"/>
        <v/>
      </c>
      <c r="I314" t="str">
        <f t="shared" si="13"/>
        <v/>
      </c>
      <c r="J314" t="str">
        <f t="shared" si="14"/>
        <v/>
      </c>
      <c r="K314" t="str">
        <f>IF($A314&lt;&gt;"",VLOOKUP($E314,'IT Structure'!A:C,3,0),"")</f>
        <v/>
      </c>
      <c r="L314" t="str">
        <f>IF($A314&lt;&gt;"",VLOOKUP($B314,'time target'!A:B,2,0),"")</f>
        <v/>
      </c>
    </row>
    <row r="315" spans="8:12">
      <c r="H315" t="str">
        <f t="shared" si="12"/>
        <v/>
      </c>
      <c r="I315" t="str">
        <f t="shared" si="13"/>
        <v/>
      </c>
      <c r="J315" t="str">
        <f t="shared" si="14"/>
        <v/>
      </c>
      <c r="K315" t="str">
        <f>IF($A315&lt;&gt;"",VLOOKUP($E315,'IT Structure'!A:C,3,0),"")</f>
        <v/>
      </c>
      <c r="L315" t="str">
        <f>IF($A315&lt;&gt;"",VLOOKUP($B315,'time target'!A:B,2,0),"")</f>
        <v/>
      </c>
    </row>
    <row r="316" spans="8:12">
      <c r="H316" t="str">
        <f t="shared" si="12"/>
        <v/>
      </c>
      <c r="I316" t="str">
        <f t="shared" si="13"/>
        <v/>
      </c>
      <c r="J316" t="str">
        <f t="shared" si="14"/>
        <v/>
      </c>
      <c r="K316" t="str">
        <f>IF($A316&lt;&gt;"",VLOOKUP($E316,'IT Structure'!A:C,3,0),"")</f>
        <v/>
      </c>
      <c r="L316" t="str">
        <f>IF($A316&lt;&gt;"",VLOOKUP($B316,'time target'!A:B,2,0),"")</f>
        <v/>
      </c>
    </row>
    <row r="317" spans="8:12">
      <c r="H317" t="str">
        <f t="shared" si="12"/>
        <v/>
      </c>
      <c r="I317" t="str">
        <f t="shared" si="13"/>
        <v/>
      </c>
      <c r="J317" t="str">
        <f t="shared" si="14"/>
        <v/>
      </c>
      <c r="K317" t="str">
        <f>IF($A317&lt;&gt;"",VLOOKUP($E317,'IT Structure'!A:C,3,0),"")</f>
        <v/>
      </c>
      <c r="L317" t="str">
        <f>IF($A317&lt;&gt;"",VLOOKUP($B317,'time target'!A:B,2,0),"")</f>
        <v/>
      </c>
    </row>
    <row r="318" spans="8:12">
      <c r="H318" t="str">
        <f t="shared" si="12"/>
        <v/>
      </c>
      <c r="I318" t="str">
        <f t="shared" si="13"/>
        <v/>
      </c>
      <c r="J318" t="str">
        <f t="shared" si="14"/>
        <v/>
      </c>
      <c r="K318" t="str">
        <f>IF($A318&lt;&gt;"",VLOOKUP($E318,'IT Structure'!A:C,3,0),"")</f>
        <v/>
      </c>
      <c r="L318" t="str">
        <f>IF($A318&lt;&gt;"",VLOOKUP($B318,'time target'!A:B,2,0),"")</f>
        <v/>
      </c>
    </row>
    <row r="319" spans="8:12">
      <c r="H319" t="str">
        <f t="shared" si="12"/>
        <v/>
      </c>
      <c r="I319" t="str">
        <f t="shared" si="13"/>
        <v/>
      </c>
      <c r="J319" t="str">
        <f t="shared" si="14"/>
        <v/>
      </c>
      <c r="K319" t="str">
        <f>IF($A319&lt;&gt;"",VLOOKUP($E319,'IT Structure'!A:C,3,0),"")</f>
        <v/>
      </c>
      <c r="L319" t="str">
        <f>IF($A319&lt;&gt;"",VLOOKUP($B319,'time target'!A:B,2,0),"")</f>
        <v/>
      </c>
    </row>
    <row r="320" spans="8:12">
      <c r="H320" t="str">
        <f t="shared" si="12"/>
        <v/>
      </c>
      <c r="I320" t="str">
        <f t="shared" si="13"/>
        <v/>
      </c>
      <c r="J320" t="str">
        <f t="shared" si="14"/>
        <v/>
      </c>
      <c r="K320" t="str">
        <f>IF($A320&lt;&gt;"",VLOOKUP($E320,'IT Structure'!A:C,3,0),"")</f>
        <v/>
      </c>
      <c r="L320" t="str">
        <f>IF($A320&lt;&gt;"",VLOOKUP($B320,'time target'!A:B,2,0),"")</f>
        <v/>
      </c>
    </row>
    <row r="321" spans="8:12">
      <c r="H321" t="str">
        <f t="shared" si="12"/>
        <v/>
      </c>
      <c r="I321" t="str">
        <f t="shared" si="13"/>
        <v/>
      </c>
      <c r="J321" t="str">
        <f t="shared" si="14"/>
        <v/>
      </c>
      <c r="K321" t="str">
        <f>IF($A321&lt;&gt;"",VLOOKUP($E321,'IT Structure'!A:C,3,0),"")</f>
        <v/>
      </c>
      <c r="L321" t="str">
        <f>IF($A321&lt;&gt;"",VLOOKUP($B321,'time target'!A:B,2,0),"")</f>
        <v/>
      </c>
    </row>
    <row r="322" spans="8:12">
      <c r="H322" t="str">
        <f t="shared" si="12"/>
        <v/>
      </c>
      <c r="I322" t="str">
        <f t="shared" si="13"/>
        <v/>
      </c>
      <c r="J322" t="str">
        <f t="shared" si="14"/>
        <v/>
      </c>
      <c r="K322" t="str">
        <f>IF($A322&lt;&gt;"",VLOOKUP($E322,'IT Structure'!A:C,3,0),"")</f>
        <v/>
      </c>
      <c r="L322" t="str">
        <f>IF($A322&lt;&gt;"",VLOOKUP($B322,'time target'!A:B,2,0),"")</f>
        <v/>
      </c>
    </row>
    <row r="323" spans="8:12">
      <c r="H323" t="str">
        <f t="shared" ref="H323:H386" si="15">IF($A323&lt;&gt;"",MONTH($G323),"")</f>
        <v/>
      </c>
      <c r="I323" t="str">
        <f t="shared" ref="I323:I386" si="16">IF($A323&lt;&gt;"",YEAR($G323),"")</f>
        <v/>
      </c>
      <c r="J323" t="str">
        <f t="shared" ref="J323:J386" si="17">IF($A323&lt;&gt;"",DAY($G323),"")</f>
        <v/>
      </c>
      <c r="K323" t="str">
        <f>IF($A323&lt;&gt;"",VLOOKUP($E323,'IT Structure'!A:C,3,0),"")</f>
        <v/>
      </c>
      <c r="L323" t="str">
        <f>IF($A323&lt;&gt;"",VLOOKUP($B323,'time target'!A:B,2,0),"")</f>
        <v/>
      </c>
    </row>
    <row r="324" spans="8:12">
      <c r="H324" t="str">
        <f t="shared" si="15"/>
        <v/>
      </c>
      <c r="I324" t="str">
        <f t="shared" si="16"/>
        <v/>
      </c>
      <c r="J324" t="str">
        <f t="shared" si="17"/>
        <v/>
      </c>
      <c r="K324" t="str">
        <f>IF($A324&lt;&gt;"",VLOOKUP($E324,'IT Structure'!A:C,3,0),"")</f>
        <v/>
      </c>
      <c r="L324" t="str">
        <f>IF($A324&lt;&gt;"",VLOOKUP($B324,'time target'!A:B,2,0),"")</f>
        <v/>
      </c>
    </row>
    <row r="325" spans="8:12">
      <c r="H325" t="str">
        <f t="shared" si="15"/>
        <v/>
      </c>
      <c r="I325" t="str">
        <f t="shared" si="16"/>
        <v/>
      </c>
      <c r="J325" t="str">
        <f t="shared" si="17"/>
        <v/>
      </c>
      <c r="K325" t="str">
        <f>IF($A325&lt;&gt;"",VLOOKUP($E325,'IT Structure'!A:C,3,0),"")</f>
        <v/>
      </c>
      <c r="L325" t="str">
        <f>IF($A325&lt;&gt;"",VLOOKUP($B325,'time target'!A:B,2,0),"")</f>
        <v/>
      </c>
    </row>
    <row r="326" spans="8:12">
      <c r="H326" t="str">
        <f t="shared" si="15"/>
        <v/>
      </c>
      <c r="I326" t="str">
        <f t="shared" si="16"/>
        <v/>
      </c>
      <c r="J326" t="str">
        <f t="shared" si="17"/>
        <v/>
      </c>
      <c r="K326" t="str">
        <f>IF($A326&lt;&gt;"",VLOOKUP($E326,'IT Structure'!A:C,3,0),"")</f>
        <v/>
      </c>
      <c r="L326" t="str">
        <f>IF($A326&lt;&gt;"",VLOOKUP($B326,'time target'!A:B,2,0),"")</f>
        <v/>
      </c>
    </row>
    <row r="327" spans="8:12">
      <c r="H327" t="str">
        <f t="shared" si="15"/>
        <v/>
      </c>
      <c r="I327" t="str">
        <f t="shared" si="16"/>
        <v/>
      </c>
      <c r="J327" t="str">
        <f t="shared" si="17"/>
        <v/>
      </c>
      <c r="K327" t="str">
        <f>IF($A327&lt;&gt;"",VLOOKUP($E327,'IT Structure'!A:C,3,0),"")</f>
        <v/>
      </c>
      <c r="L327" t="str">
        <f>IF($A327&lt;&gt;"",VLOOKUP($B327,'time target'!A:B,2,0),"")</f>
        <v/>
      </c>
    </row>
    <row r="328" spans="8:12">
      <c r="H328" t="str">
        <f t="shared" si="15"/>
        <v/>
      </c>
      <c r="I328" t="str">
        <f t="shared" si="16"/>
        <v/>
      </c>
      <c r="J328" t="str">
        <f t="shared" si="17"/>
        <v/>
      </c>
      <c r="K328" t="str">
        <f>IF($A328&lt;&gt;"",VLOOKUP($E328,'IT Structure'!A:C,3,0),"")</f>
        <v/>
      </c>
      <c r="L328" t="str">
        <f>IF($A328&lt;&gt;"",VLOOKUP($B328,'time target'!A:B,2,0),"")</f>
        <v/>
      </c>
    </row>
    <row r="329" spans="8:12">
      <c r="H329" t="str">
        <f t="shared" si="15"/>
        <v/>
      </c>
      <c r="I329" t="str">
        <f t="shared" si="16"/>
        <v/>
      </c>
      <c r="J329" t="str">
        <f t="shared" si="17"/>
        <v/>
      </c>
      <c r="K329" t="str">
        <f>IF($A329&lt;&gt;"",VLOOKUP($E329,'IT Structure'!A:C,3,0),"")</f>
        <v/>
      </c>
      <c r="L329" t="str">
        <f>IF($A329&lt;&gt;"",VLOOKUP($B329,'time target'!A:B,2,0),"")</f>
        <v/>
      </c>
    </row>
    <row r="330" spans="8:12">
      <c r="H330" t="str">
        <f t="shared" si="15"/>
        <v/>
      </c>
      <c r="I330" t="str">
        <f t="shared" si="16"/>
        <v/>
      </c>
      <c r="J330" t="str">
        <f t="shared" si="17"/>
        <v/>
      </c>
      <c r="K330" t="str">
        <f>IF($A330&lt;&gt;"",VLOOKUP($E330,'IT Structure'!A:C,3,0),"")</f>
        <v/>
      </c>
      <c r="L330" t="str">
        <f>IF($A330&lt;&gt;"",VLOOKUP($B330,'time target'!A:B,2,0),"")</f>
        <v/>
      </c>
    </row>
    <row r="331" spans="8:12">
      <c r="H331" t="str">
        <f t="shared" si="15"/>
        <v/>
      </c>
      <c r="I331" t="str">
        <f t="shared" si="16"/>
        <v/>
      </c>
      <c r="J331" t="str">
        <f t="shared" si="17"/>
        <v/>
      </c>
      <c r="K331" t="str">
        <f>IF($A331&lt;&gt;"",VLOOKUP($E331,'IT Structure'!A:C,3,0),"")</f>
        <v/>
      </c>
      <c r="L331" t="str">
        <f>IF($A331&lt;&gt;"",VLOOKUP($B331,'time target'!A:B,2,0),"")</f>
        <v/>
      </c>
    </row>
    <row r="332" spans="8:12">
      <c r="H332" t="str">
        <f t="shared" si="15"/>
        <v/>
      </c>
      <c r="I332" t="str">
        <f t="shared" si="16"/>
        <v/>
      </c>
      <c r="J332" t="str">
        <f t="shared" si="17"/>
        <v/>
      </c>
      <c r="K332" t="str">
        <f>IF($A332&lt;&gt;"",VLOOKUP($E332,'IT Structure'!A:C,3,0),"")</f>
        <v/>
      </c>
      <c r="L332" t="str">
        <f>IF($A332&lt;&gt;"",VLOOKUP($B332,'time target'!A:B,2,0),"")</f>
        <v/>
      </c>
    </row>
    <row r="333" spans="8:12">
      <c r="H333" t="str">
        <f t="shared" si="15"/>
        <v/>
      </c>
      <c r="I333" t="str">
        <f t="shared" si="16"/>
        <v/>
      </c>
      <c r="J333" t="str">
        <f t="shared" si="17"/>
        <v/>
      </c>
      <c r="K333" t="str">
        <f>IF($A333&lt;&gt;"",VLOOKUP($E333,'IT Structure'!A:C,3,0),"")</f>
        <v/>
      </c>
      <c r="L333" t="str">
        <f>IF($A333&lt;&gt;"",VLOOKUP($B333,'time target'!A:B,2,0),"")</f>
        <v/>
      </c>
    </row>
    <row r="334" spans="8:12">
      <c r="H334" t="str">
        <f t="shared" si="15"/>
        <v/>
      </c>
      <c r="I334" t="str">
        <f t="shared" si="16"/>
        <v/>
      </c>
      <c r="J334" t="str">
        <f t="shared" si="17"/>
        <v/>
      </c>
      <c r="K334" t="str">
        <f>IF($A334&lt;&gt;"",VLOOKUP($E334,'IT Structure'!A:C,3,0),"")</f>
        <v/>
      </c>
      <c r="L334" t="str">
        <f>IF($A334&lt;&gt;"",VLOOKUP($B334,'time target'!A:B,2,0),"")</f>
        <v/>
      </c>
    </row>
    <row r="335" spans="8:12">
      <c r="H335" t="str">
        <f t="shared" si="15"/>
        <v/>
      </c>
      <c r="I335" t="str">
        <f t="shared" si="16"/>
        <v/>
      </c>
      <c r="J335" t="str">
        <f t="shared" si="17"/>
        <v/>
      </c>
      <c r="K335" t="str">
        <f>IF($A335&lt;&gt;"",VLOOKUP($E335,'IT Structure'!A:C,3,0),"")</f>
        <v/>
      </c>
      <c r="L335" t="str">
        <f>IF($A335&lt;&gt;"",VLOOKUP($B335,'time target'!A:B,2,0),"")</f>
        <v/>
      </c>
    </row>
    <row r="336" spans="8:12">
      <c r="H336" t="str">
        <f t="shared" si="15"/>
        <v/>
      </c>
      <c r="I336" t="str">
        <f t="shared" si="16"/>
        <v/>
      </c>
      <c r="J336" t="str">
        <f t="shared" si="17"/>
        <v/>
      </c>
      <c r="K336" t="str">
        <f>IF($A336&lt;&gt;"",VLOOKUP($E336,'IT Structure'!A:C,3,0),"")</f>
        <v/>
      </c>
      <c r="L336" t="str">
        <f>IF($A336&lt;&gt;"",VLOOKUP($B336,'time target'!A:B,2,0),"")</f>
        <v/>
      </c>
    </row>
    <row r="337" spans="8:12">
      <c r="H337" t="str">
        <f t="shared" si="15"/>
        <v/>
      </c>
      <c r="I337" t="str">
        <f t="shared" si="16"/>
        <v/>
      </c>
      <c r="J337" t="str">
        <f t="shared" si="17"/>
        <v/>
      </c>
      <c r="K337" t="str">
        <f>IF($A337&lt;&gt;"",VLOOKUP($E337,'IT Structure'!A:C,3,0),"")</f>
        <v/>
      </c>
      <c r="L337" t="str">
        <f>IF($A337&lt;&gt;"",VLOOKUP($B337,'time target'!A:B,2,0),"")</f>
        <v/>
      </c>
    </row>
    <row r="338" spans="8:12">
      <c r="H338" t="str">
        <f t="shared" si="15"/>
        <v/>
      </c>
      <c r="I338" t="str">
        <f t="shared" si="16"/>
        <v/>
      </c>
      <c r="J338" t="str">
        <f t="shared" si="17"/>
        <v/>
      </c>
      <c r="K338" t="str">
        <f>IF($A338&lt;&gt;"",VLOOKUP($E338,'IT Structure'!A:C,3,0),"")</f>
        <v/>
      </c>
      <c r="L338" t="str">
        <f>IF($A338&lt;&gt;"",VLOOKUP($B338,'time target'!A:B,2,0),"")</f>
        <v/>
      </c>
    </row>
    <row r="339" spans="8:12">
      <c r="H339" t="str">
        <f t="shared" si="15"/>
        <v/>
      </c>
      <c r="I339" t="str">
        <f t="shared" si="16"/>
        <v/>
      </c>
      <c r="J339" t="str">
        <f t="shared" si="17"/>
        <v/>
      </c>
      <c r="K339" t="str">
        <f>IF($A339&lt;&gt;"",VLOOKUP($E339,'IT Structure'!A:C,3,0),"")</f>
        <v/>
      </c>
      <c r="L339" t="str">
        <f>IF($A339&lt;&gt;"",VLOOKUP($B339,'time target'!A:B,2,0),"")</f>
        <v/>
      </c>
    </row>
    <row r="340" spans="8:12">
      <c r="H340" t="str">
        <f t="shared" si="15"/>
        <v/>
      </c>
      <c r="I340" t="str">
        <f t="shared" si="16"/>
        <v/>
      </c>
      <c r="J340" t="str">
        <f t="shared" si="17"/>
        <v/>
      </c>
      <c r="K340" t="str">
        <f>IF($A340&lt;&gt;"",VLOOKUP($E340,'IT Structure'!A:C,3,0),"")</f>
        <v/>
      </c>
      <c r="L340" t="str">
        <f>IF($A340&lt;&gt;"",VLOOKUP($B340,'time target'!A:B,2,0),"")</f>
        <v/>
      </c>
    </row>
    <row r="341" spans="8:12">
      <c r="H341" t="str">
        <f t="shared" si="15"/>
        <v/>
      </c>
      <c r="I341" t="str">
        <f t="shared" si="16"/>
        <v/>
      </c>
      <c r="J341" t="str">
        <f t="shared" si="17"/>
        <v/>
      </c>
      <c r="K341" t="str">
        <f>IF($A341&lt;&gt;"",VLOOKUP($E341,'IT Structure'!A:C,3,0),"")</f>
        <v/>
      </c>
      <c r="L341" t="str">
        <f>IF($A341&lt;&gt;"",VLOOKUP($B341,'time target'!A:B,2,0),"")</f>
        <v/>
      </c>
    </row>
    <row r="342" spans="8:12">
      <c r="H342" t="str">
        <f t="shared" si="15"/>
        <v/>
      </c>
      <c r="I342" t="str">
        <f t="shared" si="16"/>
        <v/>
      </c>
      <c r="J342" t="str">
        <f t="shared" si="17"/>
        <v/>
      </c>
      <c r="K342" t="str">
        <f>IF($A342&lt;&gt;"",VLOOKUP($E342,'IT Structure'!A:C,3,0),"")</f>
        <v/>
      </c>
      <c r="L342" t="str">
        <f>IF($A342&lt;&gt;"",VLOOKUP($B342,'time target'!A:B,2,0),"")</f>
        <v/>
      </c>
    </row>
    <row r="343" spans="8:12">
      <c r="H343" t="str">
        <f t="shared" si="15"/>
        <v/>
      </c>
      <c r="I343" t="str">
        <f t="shared" si="16"/>
        <v/>
      </c>
      <c r="J343" t="str">
        <f t="shared" si="17"/>
        <v/>
      </c>
      <c r="K343" t="str">
        <f>IF($A343&lt;&gt;"",VLOOKUP($E343,'IT Structure'!A:C,3,0),"")</f>
        <v/>
      </c>
      <c r="L343" t="str">
        <f>IF($A343&lt;&gt;"",VLOOKUP($B343,'time target'!A:B,2,0),"")</f>
        <v/>
      </c>
    </row>
    <row r="344" spans="8:12">
      <c r="H344" t="str">
        <f t="shared" si="15"/>
        <v/>
      </c>
      <c r="I344" t="str">
        <f t="shared" si="16"/>
        <v/>
      </c>
      <c r="J344" t="str">
        <f t="shared" si="17"/>
        <v/>
      </c>
      <c r="K344" t="str">
        <f>IF($A344&lt;&gt;"",VLOOKUP($E344,'IT Structure'!A:C,3,0),"")</f>
        <v/>
      </c>
      <c r="L344" t="str">
        <f>IF($A344&lt;&gt;"",VLOOKUP($B344,'time target'!A:B,2,0),"")</f>
        <v/>
      </c>
    </row>
    <row r="345" spans="8:12">
      <c r="H345" t="str">
        <f t="shared" si="15"/>
        <v/>
      </c>
      <c r="I345" t="str">
        <f t="shared" si="16"/>
        <v/>
      </c>
      <c r="J345" t="str">
        <f t="shared" si="17"/>
        <v/>
      </c>
      <c r="K345" t="str">
        <f>IF($A345&lt;&gt;"",VLOOKUP($E345,'IT Structure'!A:C,3,0),"")</f>
        <v/>
      </c>
      <c r="L345" t="str">
        <f>IF($A345&lt;&gt;"",VLOOKUP($B345,'time target'!A:B,2,0),"")</f>
        <v/>
      </c>
    </row>
    <row r="346" spans="8:12">
      <c r="H346" t="str">
        <f t="shared" si="15"/>
        <v/>
      </c>
      <c r="I346" t="str">
        <f t="shared" si="16"/>
        <v/>
      </c>
      <c r="J346" t="str">
        <f t="shared" si="17"/>
        <v/>
      </c>
      <c r="K346" t="str">
        <f>IF($A346&lt;&gt;"",VLOOKUP($E346,'IT Structure'!A:C,3,0),"")</f>
        <v/>
      </c>
      <c r="L346" t="str">
        <f>IF($A346&lt;&gt;"",VLOOKUP($B346,'time target'!A:B,2,0),"")</f>
        <v/>
      </c>
    </row>
    <row r="347" spans="8:12">
      <c r="H347" t="str">
        <f t="shared" si="15"/>
        <v/>
      </c>
      <c r="I347" t="str">
        <f t="shared" si="16"/>
        <v/>
      </c>
      <c r="J347" t="str">
        <f t="shared" si="17"/>
        <v/>
      </c>
      <c r="K347" t="str">
        <f>IF($A347&lt;&gt;"",VLOOKUP($E347,'IT Structure'!A:C,3,0),"")</f>
        <v/>
      </c>
      <c r="L347" t="str">
        <f>IF($A347&lt;&gt;"",VLOOKUP($B347,'time target'!A:B,2,0),"")</f>
        <v/>
      </c>
    </row>
    <row r="348" spans="8:12">
      <c r="H348" t="str">
        <f t="shared" si="15"/>
        <v/>
      </c>
      <c r="I348" t="str">
        <f t="shared" si="16"/>
        <v/>
      </c>
      <c r="J348" t="str">
        <f t="shared" si="17"/>
        <v/>
      </c>
      <c r="K348" t="str">
        <f>IF($A348&lt;&gt;"",VLOOKUP($E348,'IT Structure'!A:C,3,0),"")</f>
        <v/>
      </c>
      <c r="L348" t="str">
        <f>IF($A348&lt;&gt;"",VLOOKUP($B348,'time target'!A:B,2,0),"")</f>
        <v/>
      </c>
    </row>
    <row r="349" spans="8:12">
      <c r="H349" t="str">
        <f t="shared" si="15"/>
        <v/>
      </c>
      <c r="I349" t="str">
        <f t="shared" si="16"/>
        <v/>
      </c>
      <c r="J349" t="str">
        <f t="shared" si="17"/>
        <v/>
      </c>
      <c r="K349" t="str">
        <f>IF($A349&lt;&gt;"",VLOOKUP($E349,'IT Structure'!A:C,3,0),"")</f>
        <v/>
      </c>
      <c r="L349" t="str">
        <f>IF($A349&lt;&gt;"",VLOOKUP($B349,'time target'!A:B,2,0),"")</f>
        <v/>
      </c>
    </row>
    <row r="350" spans="8:12">
      <c r="H350" t="str">
        <f t="shared" si="15"/>
        <v/>
      </c>
      <c r="I350" t="str">
        <f t="shared" si="16"/>
        <v/>
      </c>
      <c r="J350" t="str">
        <f t="shared" si="17"/>
        <v/>
      </c>
      <c r="K350" t="str">
        <f>IF($A350&lt;&gt;"",VLOOKUP($E350,'IT Structure'!A:C,3,0),"")</f>
        <v/>
      </c>
      <c r="L350" t="str">
        <f>IF($A350&lt;&gt;"",VLOOKUP($B350,'time target'!A:B,2,0),"")</f>
        <v/>
      </c>
    </row>
    <row r="351" spans="8:12">
      <c r="H351" t="str">
        <f t="shared" si="15"/>
        <v/>
      </c>
      <c r="I351" t="str">
        <f t="shared" si="16"/>
        <v/>
      </c>
      <c r="J351" t="str">
        <f t="shared" si="17"/>
        <v/>
      </c>
      <c r="K351" t="str">
        <f>IF($A351&lt;&gt;"",VLOOKUP($E351,'IT Structure'!A:C,3,0),"")</f>
        <v/>
      </c>
      <c r="L351" t="str">
        <f>IF($A351&lt;&gt;"",VLOOKUP($B351,'time target'!A:B,2,0),"")</f>
        <v/>
      </c>
    </row>
    <row r="352" spans="8:12">
      <c r="H352" t="str">
        <f t="shared" si="15"/>
        <v/>
      </c>
      <c r="I352" t="str">
        <f t="shared" si="16"/>
        <v/>
      </c>
      <c r="J352" t="str">
        <f t="shared" si="17"/>
        <v/>
      </c>
      <c r="K352" t="str">
        <f>IF($A352&lt;&gt;"",VLOOKUP($E352,'IT Structure'!A:C,3,0),"")</f>
        <v/>
      </c>
      <c r="L352" t="str">
        <f>IF($A352&lt;&gt;"",VLOOKUP($B352,'time target'!A:B,2,0),"")</f>
        <v/>
      </c>
    </row>
    <row r="353" spans="8:12">
      <c r="H353" t="str">
        <f t="shared" si="15"/>
        <v/>
      </c>
      <c r="I353" t="str">
        <f t="shared" si="16"/>
        <v/>
      </c>
      <c r="J353" t="str">
        <f t="shared" si="17"/>
        <v/>
      </c>
      <c r="K353" t="str">
        <f>IF($A353&lt;&gt;"",VLOOKUP($E353,'IT Structure'!A:C,3,0),"")</f>
        <v/>
      </c>
      <c r="L353" t="str">
        <f>IF($A353&lt;&gt;"",VLOOKUP($B353,'time target'!A:B,2,0),"")</f>
        <v/>
      </c>
    </row>
    <row r="354" spans="8:12">
      <c r="H354" t="str">
        <f t="shared" si="15"/>
        <v/>
      </c>
      <c r="I354" t="str">
        <f t="shared" si="16"/>
        <v/>
      </c>
      <c r="J354" t="str">
        <f t="shared" si="17"/>
        <v/>
      </c>
      <c r="K354" t="str">
        <f>IF($A354&lt;&gt;"",VLOOKUP($E354,'IT Structure'!A:C,3,0),"")</f>
        <v/>
      </c>
      <c r="L354" t="str">
        <f>IF($A354&lt;&gt;"",VLOOKUP($B354,'time target'!A:B,2,0),"")</f>
        <v/>
      </c>
    </row>
    <row r="355" spans="8:12">
      <c r="H355" t="str">
        <f t="shared" si="15"/>
        <v/>
      </c>
      <c r="I355" t="str">
        <f t="shared" si="16"/>
        <v/>
      </c>
      <c r="J355" t="str">
        <f t="shared" si="17"/>
        <v/>
      </c>
      <c r="K355" t="str">
        <f>IF($A355&lt;&gt;"",VLOOKUP($E355,'IT Structure'!A:C,3,0),"")</f>
        <v/>
      </c>
      <c r="L355" t="str">
        <f>IF($A355&lt;&gt;"",VLOOKUP($B355,'time target'!A:B,2,0),"")</f>
        <v/>
      </c>
    </row>
    <row r="356" spans="8:12">
      <c r="H356" t="str">
        <f t="shared" si="15"/>
        <v/>
      </c>
      <c r="I356" t="str">
        <f t="shared" si="16"/>
        <v/>
      </c>
      <c r="J356" t="str">
        <f t="shared" si="17"/>
        <v/>
      </c>
      <c r="K356" t="str">
        <f>IF($A356&lt;&gt;"",VLOOKUP($E356,'IT Structure'!A:C,3,0),"")</f>
        <v/>
      </c>
      <c r="L356" t="str">
        <f>IF($A356&lt;&gt;"",VLOOKUP($B356,'time target'!A:B,2,0),"")</f>
        <v/>
      </c>
    </row>
    <row r="357" spans="8:12">
      <c r="H357" t="str">
        <f t="shared" si="15"/>
        <v/>
      </c>
      <c r="I357" t="str">
        <f t="shared" si="16"/>
        <v/>
      </c>
      <c r="J357" t="str">
        <f t="shared" si="17"/>
        <v/>
      </c>
      <c r="K357" t="str">
        <f>IF($A357&lt;&gt;"",VLOOKUP($E357,'IT Structure'!A:C,3,0),"")</f>
        <v/>
      </c>
      <c r="L357" t="str">
        <f>IF($A357&lt;&gt;"",VLOOKUP($B357,'time target'!A:B,2,0),"")</f>
        <v/>
      </c>
    </row>
    <row r="358" spans="8:12">
      <c r="H358" t="str">
        <f t="shared" si="15"/>
        <v/>
      </c>
      <c r="I358" t="str">
        <f t="shared" si="16"/>
        <v/>
      </c>
      <c r="J358" t="str">
        <f t="shared" si="17"/>
        <v/>
      </c>
      <c r="K358" t="str">
        <f>IF($A358&lt;&gt;"",VLOOKUP($E358,'IT Structure'!A:C,3,0),"")</f>
        <v/>
      </c>
      <c r="L358" t="str">
        <f>IF($A358&lt;&gt;"",VLOOKUP($B358,'time target'!A:B,2,0),"")</f>
        <v/>
      </c>
    </row>
    <row r="359" spans="8:12">
      <c r="H359" t="str">
        <f t="shared" si="15"/>
        <v/>
      </c>
      <c r="I359" t="str">
        <f t="shared" si="16"/>
        <v/>
      </c>
      <c r="J359" t="str">
        <f t="shared" si="17"/>
        <v/>
      </c>
      <c r="K359" t="str">
        <f>IF($A359&lt;&gt;"",VLOOKUP($E359,'IT Structure'!A:C,3,0),"")</f>
        <v/>
      </c>
      <c r="L359" t="str">
        <f>IF($A359&lt;&gt;"",VLOOKUP($B359,'time target'!A:B,2,0),"")</f>
        <v/>
      </c>
    </row>
    <row r="360" spans="8:12">
      <c r="H360" t="str">
        <f t="shared" si="15"/>
        <v/>
      </c>
      <c r="I360" t="str">
        <f t="shared" si="16"/>
        <v/>
      </c>
      <c r="J360" t="str">
        <f t="shared" si="17"/>
        <v/>
      </c>
      <c r="K360" t="str">
        <f>IF($A360&lt;&gt;"",VLOOKUP($E360,'IT Structure'!A:C,3,0),"")</f>
        <v/>
      </c>
      <c r="L360" t="str">
        <f>IF($A360&lt;&gt;"",VLOOKUP($B360,'time target'!A:B,2,0),"")</f>
        <v/>
      </c>
    </row>
    <row r="361" spans="8:12">
      <c r="H361" t="str">
        <f t="shared" si="15"/>
        <v/>
      </c>
      <c r="I361" t="str">
        <f t="shared" si="16"/>
        <v/>
      </c>
      <c r="J361" t="str">
        <f t="shared" si="17"/>
        <v/>
      </c>
      <c r="K361" t="str">
        <f>IF($A361&lt;&gt;"",VLOOKUP($E361,'IT Structure'!A:C,3,0),"")</f>
        <v/>
      </c>
      <c r="L361" t="str">
        <f>IF($A361&lt;&gt;"",VLOOKUP($B361,'time target'!A:B,2,0),"")</f>
        <v/>
      </c>
    </row>
    <row r="362" spans="8:12">
      <c r="H362" t="str">
        <f t="shared" si="15"/>
        <v/>
      </c>
      <c r="I362" t="str">
        <f t="shared" si="16"/>
        <v/>
      </c>
      <c r="J362" t="str">
        <f t="shared" si="17"/>
        <v/>
      </c>
      <c r="K362" t="str">
        <f>IF($A362&lt;&gt;"",VLOOKUP($E362,'IT Structure'!A:C,3,0),"")</f>
        <v/>
      </c>
      <c r="L362" t="str">
        <f>IF($A362&lt;&gt;"",VLOOKUP($B362,'time target'!A:B,2,0),"")</f>
        <v/>
      </c>
    </row>
    <row r="363" spans="8:12">
      <c r="H363" t="str">
        <f t="shared" si="15"/>
        <v/>
      </c>
      <c r="I363" t="str">
        <f t="shared" si="16"/>
        <v/>
      </c>
      <c r="J363" t="str">
        <f t="shared" si="17"/>
        <v/>
      </c>
      <c r="K363" t="str">
        <f>IF($A363&lt;&gt;"",VLOOKUP($E363,'IT Structure'!A:C,3,0),"")</f>
        <v/>
      </c>
      <c r="L363" t="str">
        <f>IF($A363&lt;&gt;"",VLOOKUP($B363,'time target'!A:B,2,0),"")</f>
        <v/>
      </c>
    </row>
    <row r="364" spans="8:12">
      <c r="H364" t="str">
        <f t="shared" si="15"/>
        <v/>
      </c>
      <c r="I364" t="str">
        <f t="shared" si="16"/>
        <v/>
      </c>
      <c r="J364" t="str">
        <f t="shared" si="17"/>
        <v/>
      </c>
      <c r="K364" t="str">
        <f>IF($A364&lt;&gt;"",VLOOKUP($E364,'IT Structure'!A:C,3,0),"")</f>
        <v/>
      </c>
      <c r="L364" t="str">
        <f>IF($A364&lt;&gt;"",VLOOKUP($B364,'time target'!A:B,2,0),"")</f>
        <v/>
      </c>
    </row>
    <row r="365" spans="8:12">
      <c r="H365" t="str">
        <f t="shared" si="15"/>
        <v/>
      </c>
      <c r="I365" t="str">
        <f t="shared" si="16"/>
        <v/>
      </c>
      <c r="J365" t="str">
        <f t="shared" si="17"/>
        <v/>
      </c>
      <c r="K365" t="str">
        <f>IF($A365&lt;&gt;"",VLOOKUP($E365,'IT Structure'!A:C,3,0),"")</f>
        <v/>
      </c>
      <c r="L365" t="str">
        <f>IF($A365&lt;&gt;"",VLOOKUP($B365,'time target'!A:B,2,0),"")</f>
        <v/>
      </c>
    </row>
    <row r="366" spans="8:12">
      <c r="H366" t="str">
        <f t="shared" si="15"/>
        <v/>
      </c>
      <c r="I366" t="str">
        <f t="shared" si="16"/>
        <v/>
      </c>
      <c r="J366" t="str">
        <f t="shared" si="17"/>
        <v/>
      </c>
      <c r="K366" t="str">
        <f>IF($A366&lt;&gt;"",VLOOKUP($E366,'IT Structure'!A:C,3,0),"")</f>
        <v/>
      </c>
      <c r="L366" t="str">
        <f>IF($A366&lt;&gt;"",VLOOKUP($B366,'time target'!A:B,2,0),"")</f>
        <v/>
      </c>
    </row>
    <row r="367" spans="8:12">
      <c r="H367" t="str">
        <f t="shared" si="15"/>
        <v/>
      </c>
      <c r="I367" t="str">
        <f t="shared" si="16"/>
        <v/>
      </c>
      <c r="J367" t="str">
        <f t="shared" si="17"/>
        <v/>
      </c>
      <c r="K367" t="str">
        <f>IF($A367&lt;&gt;"",VLOOKUP($E367,'IT Structure'!A:C,3,0),"")</f>
        <v/>
      </c>
      <c r="L367" t="str">
        <f>IF($A367&lt;&gt;"",VLOOKUP($B367,'time target'!A:B,2,0),"")</f>
        <v/>
      </c>
    </row>
    <row r="368" spans="8:12">
      <c r="H368" t="str">
        <f t="shared" si="15"/>
        <v/>
      </c>
      <c r="I368" t="str">
        <f t="shared" si="16"/>
        <v/>
      </c>
      <c r="J368" t="str">
        <f t="shared" si="17"/>
        <v/>
      </c>
      <c r="K368" t="str">
        <f>IF($A368&lt;&gt;"",VLOOKUP($E368,'IT Structure'!A:C,3,0),"")</f>
        <v/>
      </c>
      <c r="L368" t="str">
        <f>IF($A368&lt;&gt;"",VLOOKUP($B368,'time target'!A:B,2,0),"")</f>
        <v/>
      </c>
    </row>
    <row r="369" spans="8:12">
      <c r="H369" t="str">
        <f t="shared" si="15"/>
        <v/>
      </c>
      <c r="I369" t="str">
        <f t="shared" si="16"/>
        <v/>
      </c>
      <c r="J369" t="str">
        <f t="shared" si="17"/>
        <v/>
      </c>
      <c r="K369" t="str">
        <f>IF($A369&lt;&gt;"",VLOOKUP($E369,'IT Structure'!A:C,3,0),"")</f>
        <v/>
      </c>
      <c r="L369" t="str">
        <f>IF($A369&lt;&gt;"",VLOOKUP($B369,'time target'!A:B,2,0),"")</f>
        <v/>
      </c>
    </row>
    <row r="370" spans="8:12">
      <c r="H370" t="str">
        <f t="shared" si="15"/>
        <v/>
      </c>
      <c r="I370" t="str">
        <f t="shared" si="16"/>
        <v/>
      </c>
      <c r="J370" t="str">
        <f t="shared" si="17"/>
        <v/>
      </c>
      <c r="K370" t="str">
        <f>IF($A370&lt;&gt;"",VLOOKUP($E370,'IT Structure'!A:C,3,0),"")</f>
        <v/>
      </c>
      <c r="L370" t="str">
        <f>IF($A370&lt;&gt;"",VLOOKUP($B370,'time target'!A:B,2,0),"")</f>
        <v/>
      </c>
    </row>
    <row r="371" spans="8:12">
      <c r="H371" t="str">
        <f t="shared" si="15"/>
        <v/>
      </c>
      <c r="I371" t="str">
        <f t="shared" si="16"/>
        <v/>
      </c>
      <c r="J371" t="str">
        <f t="shared" si="17"/>
        <v/>
      </c>
      <c r="K371" t="str">
        <f>IF($A371&lt;&gt;"",VLOOKUP($E371,'IT Structure'!A:C,3,0),"")</f>
        <v/>
      </c>
      <c r="L371" t="str">
        <f>IF($A371&lt;&gt;"",VLOOKUP($B371,'time target'!A:B,2,0),"")</f>
        <v/>
      </c>
    </row>
    <row r="372" spans="8:12">
      <c r="H372" t="str">
        <f t="shared" si="15"/>
        <v/>
      </c>
      <c r="I372" t="str">
        <f t="shared" si="16"/>
        <v/>
      </c>
      <c r="J372" t="str">
        <f t="shared" si="17"/>
        <v/>
      </c>
      <c r="K372" t="str">
        <f>IF($A372&lt;&gt;"",VLOOKUP($E372,'IT Structure'!A:C,3,0),"")</f>
        <v/>
      </c>
      <c r="L372" t="str">
        <f>IF($A372&lt;&gt;"",VLOOKUP($B372,'time target'!A:B,2,0),"")</f>
        <v/>
      </c>
    </row>
    <row r="373" spans="8:12">
      <c r="H373" t="str">
        <f t="shared" si="15"/>
        <v/>
      </c>
      <c r="I373" t="str">
        <f t="shared" si="16"/>
        <v/>
      </c>
      <c r="J373" t="str">
        <f t="shared" si="17"/>
        <v/>
      </c>
      <c r="K373" t="str">
        <f>IF($A373&lt;&gt;"",VLOOKUP($E373,'IT Structure'!A:C,3,0),"")</f>
        <v/>
      </c>
      <c r="L373" t="str">
        <f>IF($A373&lt;&gt;"",VLOOKUP($B373,'time target'!A:B,2,0),"")</f>
        <v/>
      </c>
    </row>
    <row r="374" spans="8:12">
      <c r="H374" t="str">
        <f t="shared" si="15"/>
        <v/>
      </c>
      <c r="I374" t="str">
        <f t="shared" si="16"/>
        <v/>
      </c>
      <c r="J374" t="str">
        <f t="shared" si="17"/>
        <v/>
      </c>
      <c r="K374" t="str">
        <f>IF($A374&lt;&gt;"",VLOOKUP($E374,'IT Structure'!A:C,3,0),"")</f>
        <v/>
      </c>
      <c r="L374" t="str">
        <f>IF($A374&lt;&gt;"",VLOOKUP($B374,'time target'!A:B,2,0),"")</f>
        <v/>
      </c>
    </row>
    <row r="375" spans="8:12">
      <c r="H375" t="str">
        <f t="shared" si="15"/>
        <v/>
      </c>
      <c r="I375" t="str">
        <f t="shared" si="16"/>
        <v/>
      </c>
      <c r="J375" t="str">
        <f t="shared" si="17"/>
        <v/>
      </c>
      <c r="K375" t="str">
        <f>IF($A375&lt;&gt;"",VLOOKUP($E375,'IT Structure'!A:C,3,0),"")</f>
        <v/>
      </c>
      <c r="L375" t="str">
        <f>IF($A375&lt;&gt;"",VLOOKUP($B375,'time target'!A:B,2,0),"")</f>
        <v/>
      </c>
    </row>
    <row r="376" spans="8:12">
      <c r="H376" t="str">
        <f t="shared" si="15"/>
        <v/>
      </c>
      <c r="I376" t="str">
        <f t="shared" si="16"/>
        <v/>
      </c>
      <c r="J376" t="str">
        <f t="shared" si="17"/>
        <v/>
      </c>
      <c r="K376" t="str">
        <f>IF($A376&lt;&gt;"",VLOOKUP($E376,'IT Structure'!A:C,3,0),"")</f>
        <v/>
      </c>
      <c r="L376" t="str">
        <f>IF($A376&lt;&gt;"",VLOOKUP($B376,'time target'!A:B,2,0),"")</f>
        <v/>
      </c>
    </row>
    <row r="377" spans="8:12">
      <c r="H377" t="str">
        <f t="shared" si="15"/>
        <v/>
      </c>
      <c r="I377" t="str">
        <f t="shared" si="16"/>
        <v/>
      </c>
      <c r="J377" t="str">
        <f t="shared" si="17"/>
        <v/>
      </c>
      <c r="K377" t="str">
        <f>IF($A377&lt;&gt;"",VLOOKUP($E377,'IT Structure'!A:C,3,0),"")</f>
        <v/>
      </c>
      <c r="L377" t="str">
        <f>IF($A377&lt;&gt;"",VLOOKUP($B377,'time target'!A:B,2,0),"")</f>
        <v/>
      </c>
    </row>
    <row r="378" spans="8:12">
      <c r="H378" t="str">
        <f t="shared" si="15"/>
        <v/>
      </c>
      <c r="I378" t="str">
        <f t="shared" si="16"/>
        <v/>
      </c>
      <c r="J378" t="str">
        <f t="shared" si="17"/>
        <v/>
      </c>
      <c r="K378" t="str">
        <f>IF($A378&lt;&gt;"",VLOOKUP($E378,'IT Structure'!A:C,3,0),"")</f>
        <v/>
      </c>
      <c r="L378" t="str">
        <f>IF($A378&lt;&gt;"",VLOOKUP($B378,'time target'!A:B,2,0),"")</f>
        <v/>
      </c>
    </row>
    <row r="379" spans="8:12">
      <c r="H379" t="str">
        <f t="shared" si="15"/>
        <v/>
      </c>
      <c r="I379" t="str">
        <f t="shared" si="16"/>
        <v/>
      </c>
      <c r="J379" t="str">
        <f t="shared" si="17"/>
        <v/>
      </c>
      <c r="K379" t="str">
        <f>IF($A379&lt;&gt;"",VLOOKUP($E379,'IT Structure'!A:C,3,0),"")</f>
        <v/>
      </c>
      <c r="L379" t="str">
        <f>IF($A379&lt;&gt;"",VLOOKUP($B379,'time target'!A:B,2,0),"")</f>
        <v/>
      </c>
    </row>
    <row r="380" spans="8:12">
      <c r="H380" t="str">
        <f t="shared" si="15"/>
        <v/>
      </c>
      <c r="I380" t="str">
        <f t="shared" si="16"/>
        <v/>
      </c>
      <c r="J380" t="str">
        <f t="shared" si="17"/>
        <v/>
      </c>
      <c r="K380" t="str">
        <f>IF($A380&lt;&gt;"",VLOOKUP($E380,'IT Structure'!A:C,3,0),"")</f>
        <v/>
      </c>
      <c r="L380" t="str">
        <f>IF($A380&lt;&gt;"",VLOOKUP($B380,'time target'!A:B,2,0),"")</f>
        <v/>
      </c>
    </row>
    <row r="381" spans="8:12">
      <c r="H381" t="str">
        <f t="shared" si="15"/>
        <v/>
      </c>
      <c r="I381" t="str">
        <f t="shared" si="16"/>
        <v/>
      </c>
      <c r="J381" t="str">
        <f t="shared" si="17"/>
        <v/>
      </c>
      <c r="K381" t="str">
        <f>IF($A381&lt;&gt;"",VLOOKUP($E381,'IT Structure'!A:C,3,0),"")</f>
        <v/>
      </c>
      <c r="L381" t="str">
        <f>IF($A381&lt;&gt;"",VLOOKUP($B381,'time target'!A:B,2,0),"")</f>
        <v/>
      </c>
    </row>
    <row r="382" spans="8:12">
      <c r="H382" t="str">
        <f t="shared" si="15"/>
        <v/>
      </c>
      <c r="I382" t="str">
        <f t="shared" si="16"/>
        <v/>
      </c>
      <c r="J382" t="str">
        <f t="shared" si="17"/>
        <v/>
      </c>
      <c r="K382" t="str">
        <f>IF($A382&lt;&gt;"",VLOOKUP($E382,'IT Structure'!A:C,3,0),"")</f>
        <v/>
      </c>
      <c r="L382" t="str">
        <f>IF($A382&lt;&gt;"",VLOOKUP($B382,'time target'!A:B,2,0),"")</f>
        <v/>
      </c>
    </row>
    <row r="383" spans="8:12">
      <c r="H383" t="str">
        <f t="shared" si="15"/>
        <v/>
      </c>
      <c r="I383" t="str">
        <f t="shared" si="16"/>
        <v/>
      </c>
      <c r="J383" t="str">
        <f t="shared" si="17"/>
        <v/>
      </c>
      <c r="K383" t="str">
        <f>IF($A383&lt;&gt;"",VLOOKUP($E383,'IT Structure'!A:C,3,0),"")</f>
        <v/>
      </c>
      <c r="L383" t="str">
        <f>IF($A383&lt;&gt;"",VLOOKUP($B383,'time target'!A:B,2,0),"")</f>
        <v/>
      </c>
    </row>
    <row r="384" spans="8:12">
      <c r="H384" t="str">
        <f t="shared" si="15"/>
        <v/>
      </c>
      <c r="I384" t="str">
        <f t="shared" si="16"/>
        <v/>
      </c>
      <c r="J384" t="str">
        <f t="shared" si="17"/>
        <v/>
      </c>
      <c r="K384" t="str">
        <f>IF($A384&lt;&gt;"",VLOOKUP($E384,'IT Structure'!A:C,3,0),"")</f>
        <v/>
      </c>
      <c r="L384" t="str">
        <f>IF($A384&lt;&gt;"",VLOOKUP($B384,'time target'!A:B,2,0),"")</f>
        <v/>
      </c>
    </row>
    <row r="385" spans="8:12">
      <c r="H385" t="str">
        <f t="shared" si="15"/>
        <v/>
      </c>
      <c r="I385" t="str">
        <f t="shared" si="16"/>
        <v/>
      </c>
      <c r="J385" t="str">
        <f t="shared" si="17"/>
        <v/>
      </c>
      <c r="K385" t="str">
        <f>IF($A385&lt;&gt;"",VLOOKUP($E385,'IT Structure'!A:C,3,0),"")</f>
        <v/>
      </c>
      <c r="L385" t="str">
        <f>IF($A385&lt;&gt;"",VLOOKUP($B385,'time target'!A:B,2,0),"")</f>
        <v/>
      </c>
    </row>
    <row r="386" spans="8:12">
      <c r="H386" t="str">
        <f t="shared" si="15"/>
        <v/>
      </c>
      <c r="I386" t="str">
        <f t="shared" si="16"/>
        <v/>
      </c>
      <c r="J386" t="str">
        <f t="shared" si="17"/>
        <v/>
      </c>
      <c r="K386" t="str">
        <f>IF($A386&lt;&gt;"",VLOOKUP($E386,'IT Structure'!A:C,3,0),"")</f>
        <v/>
      </c>
      <c r="L386" t="str">
        <f>IF($A386&lt;&gt;"",VLOOKUP($B386,'time target'!A:B,2,0),"")</f>
        <v/>
      </c>
    </row>
    <row r="387" spans="8:12">
      <c r="H387" t="str">
        <f t="shared" ref="H387:H418" si="18">IF($A387&lt;&gt;"",MONTH($G387),"")</f>
        <v/>
      </c>
      <c r="I387" t="str">
        <f t="shared" ref="I387:I450" si="19">IF($A387&lt;&gt;"",YEAR($G387),"")</f>
        <v/>
      </c>
      <c r="J387" t="str">
        <f t="shared" ref="J387:J450" si="20">IF($A387&lt;&gt;"",DAY($G387),"")</f>
        <v/>
      </c>
      <c r="K387" t="str">
        <f>IF($A387&lt;&gt;"",VLOOKUP($E387,'IT Structure'!A:C,3,0),"")</f>
        <v/>
      </c>
      <c r="L387" t="str">
        <f>IF($A387&lt;&gt;"",VLOOKUP($B387,'time target'!A:B,2,0),"")</f>
        <v/>
      </c>
    </row>
    <row r="388" spans="8:12">
      <c r="H388" t="str">
        <f t="shared" si="18"/>
        <v/>
      </c>
      <c r="I388" t="str">
        <f t="shared" si="19"/>
        <v/>
      </c>
      <c r="J388" t="str">
        <f t="shared" si="20"/>
        <v/>
      </c>
      <c r="K388" t="str">
        <f>IF($A388&lt;&gt;"",VLOOKUP($E388,'IT Structure'!A:C,3,0),"")</f>
        <v/>
      </c>
      <c r="L388" t="str">
        <f>IF($A388&lt;&gt;"",VLOOKUP($B388,'time target'!A:B,2,0),"")</f>
        <v/>
      </c>
    </row>
    <row r="389" spans="8:12">
      <c r="H389" t="str">
        <f t="shared" si="18"/>
        <v/>
      </c>
      <c r="I389" t="str">
        <f t="shared" si="19"/>
        <v/>
      </c>
      <c r="J389" t="str">
        <f t="shared" si="20"/>
        <v/>
      </c>
      <c r="K389" t="str">
        <f>IF($A389&lt;&gt;"",VLOOKUP($E389,'IT Structure'!A:C,3,0),"")</f>
        <v/>
      </c>
      <c r="L389" t="str">
        <f>IF($A389&lt;&gt;"",VLOOKUP($B389,'time target'!A:B,2,0),"")</f>
        <v/>
      </c>
    </row>
    <row r="390" spans="8:12">
      <c r="H390" t="str">
        <f t="shared" si="18"/>
        <v/>
      </c>
      <c r="I390" t="str">
        <f t="shared" si="19"/>
        <v/>
      </c>
      <c r="J390" t="str">
        <f t="shared" si="20"/>
        <v/>
      </c>
      <c r="K390" t="str">
        <f>IF($A390&lt;&gt;"",VLOOKUP($E390,'IT Structure'!A:C,3,0),"")</f>
        <v/>
      </c>
      <c r="L390" t="str">
        <f>IF($A390&lt;&gt;"",VLOOKUP($B390,'time target'!A:B,2,0),"")</f>
        <v/>
      </c>
    </row>
    <row r="391" spans="8:12">
      <c r="H391" t="str">
        <f t="shared" si="18"/>
        <v/>
      </c>
      <c r="I391" t="str">
        <f t="shared" si="19"/>
        <v/>
      </c>
      <c r="J391" t="str">
        <f t="shared" si="20"/>
        <v/>
      </c>
      <c r="K391" t="str">
        <f>IF($A391&lt;&gt;"",VLOOKUP($E391,'IT Structure'!A:C,3,0),"")</f>
        <v/>
      </c>
      <c r="L391" t="str">
        <f>IF($A391&lt;&gt;"",VLOOKUP($B391,'time target'!A:B,2,0),"")</f>
        <v/>
      </c>
    </row>
    <row r="392" spans="8:12">
      <c r="H392" t="str">
        <f t="shared" si="18"/>
        <v/>
      </c>
      <c r="I392" t="str">
        <f t="shared" si="19"/>
        <v/>
      </c>
      <c r="J392" t="str">
        <f t="shared" si="20"/>
        <v/>
      </c>
      <c r="K392" t="str">
        <f>IF($A392&lt;&gt;"",VLOOKUP($E392,'IT Structure'!A:C,3,0),"")</f>
        <v/>
      </c>
      <c r="L392" t="str">
        <f>IF($A392&lt;&gt;"",VLOOKUP($B392,'time target'!A:B,2,0),"")</f>
        <v/>
      </c>
    </row>
    <row r="393" spans="8:12">
      <c r="H393" t="str">
        <f t="shared" si="18"/>
        <v/>
      </c>
      <c r="I393" t="str">
        <f t="shared" si="19"/>
        <v/>
      </c>
      <c r="J393" t="str">
        <f t="shared" si="20"/>
        <v/>
      </c>
      <c r="K393" t="str">
        <f>IF($A393&lt;&gt;"",VLOOKUP($E393,'IT Structure'!A:C,3,0),"")</f>
        <v/>
      </c>
      <c r="L393" t="str">
        <f>IF($A393&lt;&gt;"",VLOOKUP($B393,'time target'!A:B,2,0),"")</f>
        <v/>
      </c>
    </row>
    <row r="394" spans="8:12">
      <c r="H394" t="str">
        <f t="shared" si="18"/>
        <v/>
      </c>
      <c r="I394" t="str">
        <f t="shared" si="19"/>
        <v/>
      </c>
      <c r="J394" t="str">
        <f t="shared" si="20"/>
        <v/>
      </c>
      <c r="K394" t="str">
        <f>IF($A394&lt;&gt;"",VLOOKUP($E394,'IT Structure'!A:C,3,0),"")</f>
        <v/>
      </c>
      <c r="L394" t="str">
        <f>IF($A394&lt;&gt;"",VLOOKUP($B394,'time target'!A:B,2,0),"")</f>
        <v/>
      </c>
    </row>
    <row r="395" spans="8:12">
      <c r="H395" t="str">
        <f t="shared" si="18"/>
        <v/>
      </c>
      <c r="I395" t="str">
        <f t="shared" si="19"/>
        <v/>
      </c>
      <c r="J395" t="str">
        <f t="shared" si="20"/>
        <v/>
      </c>
      <c r="K395" t="str">
        <f>IF($A395&lt;&gt;"",VLOOKUP($E395,'IT Structure'!A:C,3,0),"")</f>
        <v/>
      </c>
      <c r="L395" t="str">
        <f>IF($A395&lt;&gt;"",VLOOKUP($B395,'time target'!A:B,2,0),"")</f>
        <v/>
      </c>
    </row>
    <row r="396" spans="8:12">
      <c r="H396" t="str">
        <f t="shared" si="18"/>
        <v/>
      </c>
      <c r="I396" t="str">
        <f t="shared" si="19"/>
        <v/>
      </c>
      <c r="J396" t="str">
        <f t="shared" si="20"/>
        <v/>
      </c>
      <c r="K396" t="str">
        <f>IF($A396&lt;&gt;"",VLOOKUP($E396,'IT Structure'!A:C,3,0),"")</f>
        <v/>
      </c>
      <c r="L396" t="str">
        <f>IF($A396&lt;&gt;"",VLOOKUP($B396,'time target'!A:B,2,0),"")</f>
        <v/>
      </c>
    </row>
    <row r="397" spans="8:12">
      <c r="H397" t="str">
        <f t="shared" si="18"/>
        <v/>
      </c>
      <c r="I397" t="str">
        <f t="shared" si="19"/>
        <v/>
      </c>
      <c r="J397" t="str">
        <f t="shared" si="20"/>
        <v/>
      </c>
      <c r="K397" t="str">
        <f>IF($A397&lt;&gt;"",VLOOKUP($E397,'IT Structure'!A:C,3,0),"")</f>
        <v/>
      </c>
      <c r="L397" t="str">
        <f>IF($A397&lt;&gt;"",VLOOKUP($B397,'time target'!A:B,2,0),"")</f>
        <v/>
      </c>
    </row>
    <row r="398" spans="8:12">
      <c r="H398" t="str">
        <f t="shared" si="18"/>
        <v/>
      </c>
      <c r="I398" t="str">
        <f t="shared" si="19"/>
        <v/>
      </c>
      <c r="J398" t="str">
        <f t="shared" si="20"/>
        <v/>
      </c>
      <c r="K398" t="str">
        <f>IF($A398&lt;&gt;"",VLOOKUP($E398,'IT Structure'!A:C,3,0),"")</f>
        <v/>
      </c>
      <c r="L398" t="str">
        <f>IF($A398&lt;&gt;"",VLOOKUP($B398,'time target'!A:B,2,0),"")</f>
        <v/>
      </c>
    </row>
    <row r="399" spans="8:12">
      <c r="H399" t="str">
        <f t="shared" si="18"/>
        <v/>
      </c>
      <c r="I399" t="str">
        <f t="shared" si="19"/>
        <v/>
      </c>
      <c r="J399" t="str">
        <f t="shared" si="20"/>
        <v/>
      </c>
      <c r="K399" t="str">
        <f>IF($A399&lt;&gt;"",VLOOKUP($E399,'IT Structure'!A:C,3,0),"")</f>
        <v/>
      </c>
      <c r="L399" t="str">
        <f>IF($A399&lt;&gt;"",VLOOKUP($B399,'time target'!A:B,2,0),"")</f>
        <v/>
      </c>
    </row>
    <row r="400" spans="8:12">
      <c r="H400" t="str">
        <f t="shared" si="18"/>
        <v/>
      </c>
      <c r="I400" t="str">
        <f t="shared" si="19"/>
        <v/>
      </c>
      <c r="J400" t="str">
        <f t="shared" si="20"/>
        <v/>
      </c>
      <c r="K400" t="str">
        <f>IF($A400&lt;&gt;"",VLOOKUP($E400,'IT Structure'!A:C,3,0),"")</f>
        <v/>
      </c>
      <c r="L400" t="str">
        <f>IF($A400&lt;&gt;"",VLOOKUP($B400,'time target'!A:B,2,0),"")</f>
        <v/>
      </c>
    </row>
    <row r="401" spans="8:12">
      <c r="H401" t="str">
        <f t="shared" si="18"/>
        <v/>
      </c>
      <c r="I401" t="str">
        <f t="shared" si="19"/>
        <v/>
      </c>
      <c r="J401" t="str">
        <f t="shared" si="20"/>
        <v/>
      </c>
      <c r="K401" t="str">
        <f>IF($A401&lt;&gt;"",VLOOKUP($E401,'IT Structure'!A:C,3,0),"")</f>
        <v/>
      </c>
      <c r="L401" t="str">
        <f>IF($A401&lt;&gt;"",VLOOKUP($B401,'time target'!A:B,2,0),"")</f>
        <v/>
      </c>
    </row>
    <row r="402" spans="8:12">
      <c r="H402" t="str">
        <f t="shared" si="18"/>
        <v/>
      </c>
      <c r="I402" t="str">
        <f t="shared" si="19"/>
        <v/>
      </c>
      <c r="J402" t="str">
        <f t="shared" si="20"/>
        <v/>
      </c>
      <c r="K402" t="str">
        <f>IF($A402&lt;&gt;"",VLOOKUP($E402,'IT Structure'!A:C,3,0),"")</f>
        <v/>
      </c>
      <c r="L402" t="str">
        <f>IF($A402&lt;&gt;"",VLOOKUP($B402,'time target'!A:B,2,0),"")</f>
        <v/>
      </c>
    </row>
    <row r="403" spans="8:12">
      <c r="H403" t="str">
        <f t="shared" si="18"/>
        <v/>
      </c>
      <c r="I403" t="str">
        <f t="shared" si="19"/>
        <v/>
      </c>
      <c r="J403" t="str">
        <f t="shared" si="20"/>
        <v/>
      </c>
      <c r="K403" t="str">
        <f>IF($A403&lt;&gt;"",VLOOKUP($E403,'IT Structure'!A:C,3,0),"")</f>
        <v/>
      </c>
      <c r="L403" t="str">
        <f>IF($A403&lt;&gt;"",VLOOKUP($B403,'time target'!A:B,2,0),"")</f>
        <v/>
      </c>
    </row>
    <row r="404" spans="8:12">
      <c r="H404" t="str">
        <f t="shared" si="18"/>
        <v/>
      </c>
      <c r="I404" t="str">
        <f t="shared" si="19"/>
        <v/>
      </c>
      <c r="J404" t="str">
        <f t="shared" si="20"/>
        <v/>
      </c>
      <c r="K404" t="str">
        <f>IF($A404&lt;&gt;"",VLOOKUP($E404,'IT Structure'!A:C,3,0),"")</f>
        <v/>
      </c>
      <c r="L404" t="str">
        <f>IF($A404&lt;&gt;"",VLOOKUP($B404,'time target'!A:B,2,0),"")</f>
        <v/>
      </c>
    </row>
    <row r="405" spans="8:12">
      <c r="H405" t="str">
        <f t="shared" si="18"/>
        <v/>
      </c>
      <c r="I405" t="str">
        <f t="shared" si="19"/>
        <v/>
      </c>
      <c r="J405" t="str">
        <f t="shared" si="20"/>
        <v/>
      </c>
      <c r="K405" t="str">
        <f>IF($A405&lt;&gt;"",VLOOKUP($E405,'IT Structure'!A:C,3,0),"")</f>
        <v/>
      </c>
      <c r="L405" t="str">
        <f>IF($A405&lt;&gt;"",VLOOKUP($B405,'time target'!A:B,2,0),"")</f>
        <v/>
      </c>
    </row>
    <row r="406" spans="8:12">
      <c r="H406" t="str">
        <f t="shared" si="18"/>
        <v/>
      </c>
      <c r="I406" t="str">
        <f t="shared" si="19"/>
        <v/>
      </c>
      <c r="J406" t="str">
        <f t="shared" si="20"/>
        <v/>
      </c>
      <c r="K406" t="str">
        <f>IF($A406&lt;&gt;"",VLOOKUP($E406,'IT Structure'!A:C,3,0),"")</f>
        <v/>
      </c>
      <c r="L406" t="str">
        <f>IF($A406&lt;&gt;"",VLOOKUP($B406,'time target'!A:B,2,0),"")</f>
        <v/>
      </c>
    </row>
    <row r="407" spans="8:12">
      <c r="H407" t="str">
        <f t="shared" si="18"/>
        <v/>
      </c>
      <c r="I407" t="str">
        <f t="shared" si="19"/>
        <v/>
      </c>
      <c r="J407" t="str">
        <f t="shared" si="20"/>
        <v/>
      </c>
      <c r="K407" t="str">
        <f>IF($A407&lt;&gt;"",VLOOKUP($E407,'IT Structure'!A:C,3,0),"")</f>
        <v/>
      </c>
      <c r="L407" t="str">
        <f>IF($A407&lt;&gt;"",VLOOKUP($B407,'time target'!A:B,2,0),"")</f>
        <v/>
      </c>
    </row>
    <row r="408" spans="8:12">
      <c r="H408" t="str">
        <f t="shared" si="18"/>
        <v/>
      </c>
      <c r="I408" t="str">
        <f t="shared" si="19"/>
        <v/>
      </c>
      <c r="J408" t="str">
        <f t="shared" si="20"/>
        <v/>
      </c>
      <c r="K408" t="str">
        <f>IF($A408&lt;&gt;"",VLOOKUP($E408,'IT Structure'!A:C,3,0),"")</f>
        <v/>
      </c>
      <c r="L408" t="str">
        <f>IF($A408&lt;&gt;"",VLOOKUP($B408,'time target'!A:B,2,0),"")</f>
        <v/>
      </c>
    </row>
    <row r="409" spans="8:12">
      <c r="H409" t="str">
        <f t="shared" si="18"/>
        <v/>
      </c>
      <c r="I409" t="str">
        <f t="shared" si="19"/>
        <v/>
      </c>
      <c r="J409" t="str">
        <f t="shared" si="20"/>
        <v/>
      </c>
      <c r="K409" t="str">
        <f>IF($A409&lt;&gt;"",VLOOKUP($E409,'IT Structure'!A:C,3,0),"")</f>
        <v/>
      </c>
      <c r="L409" t="str">
        <f>IF($A409&lt;&gt;"",VLOOKUP($B409,'time target'!A:B,2,0),"")</f>
        <v/>
      </c>
    </row>
    <row r="410" spans="8:12">
      <c r="H410" t="str">
        <f t="shared" si="18"/>
        <v/>
      </c>
      <c r="I410" t="str">
        <f t="shared" si="19"/>
        <v/>
      </c>
      <c r="J410" t="str">
        <f t="shared" si="20"/>
        <v/>
      </c>
      <c r="K410" t="str">
        <f>IF($A410&lt;&gt;"",VLOOKUP($E410,'IT Structure'!A:C,3,0),"")</f>
        <v/>
      </c>
      <c r="L410" t="str">
        <f>IF($A410&lt;&gt;"",VLOOKUP($B410,'time target'!A:B,2,0),"")</f>
        <v/>
      </c>
    </row>
    <row r="411" spans="8:12">
      <c r="H411" t="str">
        <f t="shared" si="18"/>
        <v/>
      </c>
      <c r="I411" t="str">
        <f t="shared" si="19"/>
        <v/>
      </c>
      <c r="J411" t="str">
        <f t="shared" si="20"/>
        <v/>
      </c>
      <c r="K411" t="str">
        <f>IF($A411&lt;&gt;"",VLOOKUP($E411,'IT Structure'!A:C,3,0),"")</f>
        <v/>
      </c>
      <c r="L411" t="str">
        <f>IF($A411&lt;&gt;"",VLOOKUP($B411,'time target'!A:B,2,0),"")</f>
        <v/>
      </c>
    </row>
    <row r="412" spans="8:12">
      <c r="H412" t="str">
        <f t="shared" si="18"/>
        <v/>
      </c>
      <c r="I412" t="str">
        <f t="shared" si="19"/>
        <v/>
      </c>
      <c r="J412" t="str">
        <f t="shared" si="20"/>
        <v/>
      </c>
      <c r="K412" t="str">
        <f>IF($A412&lt;&gt;"",VLOOKUP($E412,'IT Structure'!A:C,3,0),"")</f>
        <v/>
      </c>
      <c r="L412" t="str">
        <f>IF($A412&lt;&gt;"",VLOOKUP($B412,'time target'!A:B,2,0),"")</f>
        <v/>
      </c>
    </row>
    <row r="413" spans="8:12">
      <c r="H413" t="str">
        <f t="shared" si="18"/>
        <v/>
      </c>
      <c r="I413" t="str">
        <f t="shared" si="19"/>
        <v/>
      </c>
      <c r="J413" t="str">
        <f t="shared" si="20"/>
        <v/>
      </c>
      <c r="K413" t="str">
        <f>IF($A413&lt;&gt;"",VLOOKUP($E413,'IT Structure'!A:C,3,0),"")</f>
        <v/>
      </c>
      <c r="L413" t="str">
        <f>IF($A413&lt;&gt;"",VLOOKUP($B413,'time target'!A:B,2,0),"")</f>
        <v/>
      </c>
    </row>
    <row r="414" spans="8:12">
      <c r="H414" t="str">
        <f t="shared" si="18"/>
        <v/>
      </c>
      <c r="I414" t="str">
        <f t="shared" si="19"/>
        <v/>
      </c>
      <c r="J414" t="str">
        <f t="shared" si="20"/>
        <v/>
      </c>
      <c r="K414" t="str">
        <f>IF($A414&lt;&gt;"",VLOOKUP($E414,'IT Structure'!A:C,3,0),"")</f>
        <v/>
      </c>
      <c r="L414" t="str">
        <f>IF($A414&lt;&gt;"",VLOOKUP($B414,'time target'!A:B,2,0),"")</f>
        <v/>
      </c>
    </row>
    <row r="415" spans="8:12">
      <c r="H415" t="str">
        <f t="shared" si="18"/>
        <v/>
      </c>
      <c r="I415" t="str">
        <f t="shared" si="19"/>
        <v/>
      </c>
      <c r="J415" t="str">
        <f t="shared" si="20"/>
        <v/>
      </c>
      <c r="K415" t="str">
        <f>IF($A415&lt;&gt;"",VLOOKUP($E415,'IT Structure'!A:C,3,0),"")</f>
        <v/>
      </c>
      <c r="L415" t="str">
        <f>IF($A415&lt;&gt;"",VLOOKUP($B415,'time target'!A:B,2,0),"")</f>
        <v/>
      </c>
    </row>
    <row r="416" spans="8:12">
      <c r="H416" t="str">
        <f t="shared" si="18"/>
        <v/>
      </c>
      <c r="I416" t="str">
        <f t="shared" si="19"/>
        <v/>
      </c>
      <c r="J416" t="str">
        <f t="shared" si="20"/>
        <v/>
      </c>
      <c r="K416" t="str">
        <f>IF($A416&lt;&gt;"",VLOOKUP($E416,'IT Structure'!A:C,3,0),"")</f>
        <v/>
      </c>
      <c r="L416" t="str">
        <f>IF($A416&lt;&gt;"",VLOOKUP($B416,'time target'!A:B,2,0),"")</f>
        <v/>
      </c>
    </row>
    <row r="417" spans="8:12">
      <c r="H417" t="str">
        <f t="shared" si="18"/>
        <v/>
      </c>
      <c r="I417" t="str">
        <f t="shared" si="19"/>
        <v/>
      </c>
      <c r="J417" t="str">
        <f t="shared" si="20"/>
        <v/>
      </c>
      <c r="K417" t="str">
        <f>IF($A417&lt;&gt;"",VLOOKUP($E417,'IT Structure'!A:C,3,0),"")</f>
        <v/>
      </c>
      <c r="L417" t="str">
        <f>IF($A417&lt;&gt;"",VLOOKUP($B417,'time target'!A:B,2,0),"")</f>
        <v/>
      </c>
    </row>
    <row r="418" spans="8:12">
      <c r="H418" t="str">
        <f t="shared" si="18"/>
        <v/>
      </c>
      <c r="I418" t="str">
        <f t="shared" si="19"/>
        <v/>
      </c>
      <c r="J418" t="str">
        <f t="shared" si="20"/>
        <v/>
      </c>
      <c r="K418" t="str">
        <f>IF($A418&lt;&gt;"",VLOOKUP($E418,'IT Structure'!A:C,3,0),"")</f>
        <v/>
      </c>
      <c r="L418" t="str">
        <f>IF($A418&lt;&gt;"",VLOOKUP($B418,'time target'!A:B,2,0),"")</f>
        <v/>
      </c>
    </row>
    <row r="419" spans="8:12">
      <c r="H419" t="str">
        <f t="shared" ref="H419:H450" si="21">IF($A419&lt;&gt;"",MONTH($G419),"")</f>
        <v/>
      </c>
      <c r="I419" t="str">
        <f t="shared" si="19"/>
        <v/>
      </c>
      <c r="J419" t="str">
        <f t="shared" si="20"/>
        <v/>
      </c>
      <c r="K419" t="str">
        <f>IF($A419&lt;&gt;"",VLOOKUP($E419,'IT Structure'!A:C,3,0),"")</f>
        <v/>
      </c>
      <c r="L419" t="str">
        <f>IF($A419&lt;&gt;"",VLOOKUP($B419,'time target'!A:B,2,0),"")</f>
        <v/>
      </c>
    </row>
    <row r="420" spans="8:12">
      <c r="H420" t="str">
        <f t="shared" si="21"/>
        <v/>
      </c>
      <c r="I420" t="str">
        <f t="shared" si="19"/>
        <v/>
      </c>
      <c r="J420" t="str">
        <f t="shared" si="20"/>
        <v/>
      </c>
      <c r="K420" t="str">
        <f>IF($A420&lt;&gt;"",VLOOKUP($E420,'IT Structure'!A:C,3,0),"")</f>
        <v/>
      </c>
      <c r="L420" t="str">
        <f>IF($A420&lt;&gt;"",VLOOKUP($B420,'time target'!A:B,2,0),"")</f>
        <v/>
      </c>
    </row>
    <row r="421" spans="8:12">
      <c r="H421" t="str">
        <f t="shared" si="21"/>
        <v/>
      </c>
      <c r="I421" t="str">
        <f t="shared" si="19"/>
        <v/>
      </c>
      <c r="J421" t="str">
        <f t="shared" si="20"/>
        <v/>
      </c>
      <c r="K421" t="str">
        <f>IF($A421&lt;&gt;"",VLOOKUP($E421,'IT Structure'!A:C,3,0),"")</f>
        <v/>
      </c>
      <c r="L421" t="str">
        <f>IF($A421&lt;&gt;"",VLOOKUP($B421,'time target'!A:B,2,0),"")</f>
        <v/>
      </c>
    </row>
    <row r="422" spans="8:12">
      <c r="H422" t="str">
        <f t="shared" si="21"/>
        <v/>
      </c>
      <c r="I422" t="str">
        <f t="shared" si="19"/>
        <v/>
      </c>
      <c r="J422" t="str">
        <f t="shared" si="20"/>
        <v/>
      </c>
      <c r="K422" t="str">
        <f>IF($A422&lt;&gt;"",VLOOKUP($E422,'IT Structure'!A:C,3,0),"")</f>
        <v/>
      </c>
      <c r="L422" t="str">
        <f>IF($A422&lt;&gt;"",VLOOKUP($B422,'time target'!A:B,2,0),"")</f>
        <v/>
      </c>
    </row>
    <row r="423" spans="8:12">
      <c r="H423" t="str">
        <f t="shared" si="21"/>
        <v/>
      </c>
      <c r="I423" t="str">
        <f t="shared" si="19"/>
        <v/>
      </c>
      <c r="J423" t="str">
        <f t="shared" si="20"/>
        <v/>
      </c>
      <c r="K423" t="str">
        <f>IF($A423&lt;&gt;"",VLOOKUP($E423,'IT Structure'!A:C,3,0),"")</f>
        <v/>
      </c>
      <c r="L423" t="str">
        <f>IF($A423&lt;&gt;"",VLOOKUP($B423,'time target'!A:B,2,0),"")</f>
        <v/>
      </c>
    </row>
    <row r="424" spans="8:12">
      <c r="H424" t="str">
        <f t="shared" si="21"/>
        <v/>
      </c>
      <c r="I424" t="str">
        <f t="shared" si="19"/>
        <v/>
      </c>
      <c r="J424" t="str">
        <f t="shared" si="20"/>
        <v/>
      </c>
      <c r="K424" t="str">
        <f>IF($A424&lt;&gt;"",VLOOKUP($E424,'IT Structure'!A:C,3,0),"")</f>
        <v/>
      </c>
      <c r="L424" t="str">
        <f>IF($A424&lt;&gt;"",VLOOKUP($B424,'time target'!A:B,2,0),"")</f>
        <v/>
      </c>
    </row>
    <row r="425" spans="8:12">
      <c r="H425" t="str">
        <f t="shared" si="21"/>
        <v/>
      </c>
      <c r="I425" t="str">
        <f t="shared" si="19"/>
        <v/>
      </c>
      <c r="J425" t="str">
        <f t="shared" si="20"/>
        <v/>
      </c>
      <c r="K425" t="str">
        <f>IF($A425&lt;&gt;"",VLOOKUP($E425,'IT Structure'!A:C,3,0),"")</f>
        <v/>
      </c>
      <c r="L425" t="str">
        <f>IF($A425&lt;&gt;"",VLOOKUP($B425,'time target'!A:B,2,0),"")</f>
        <v/>
      </c>
    </row>
    <row r="426" spans="8:12">
      <c r="H426" t="str">
        <f t="shared" si="21"/>
        <v/>
      </c>
      <c r="I426" t="str">
        <f t="shared" si="19"/>
        <v/>
      </c>
      <c r="J426" t="str">
        <f t="shared" si="20"/>
        <v/>
      </c>
      <c r="K426" t="str">
        <f>IF($A426&lt;&gt;"",VLOOKUP($E426,'IT Structure'!A:C,3,0),"")</f>
        <v/>
      </c>
      <c r="L426" t="str">
        <f>IF($A426&lt;&gt;"",VLOOKUP($B426,'time target'!A:B,2,0),"")</f>
        <v/>
      </c>
    </row>
    <row r="427" spans="8:12">
      <c r="H427" t="str">
        <f t="shared" si="21"/>
        <v/>
      </c>
      <c r="I427" t="str">
        <f t="shared" si="19"/>
        <v/>
      </c>
      <c r="J427" t="str">
        <f t="shared" si="20"/>
        <v/>
      </c>
      <c r="K427" t="str">
        <f>IF($A427&lt;&gt;"",VLOOKUP($E427,'IT Structure'!A:C,3,0),"")</f>
        <v/>
      </c>
      <c r="L427" t="str">
        <f>IF($A427&lt;&gt;"",VLOOKUP($B427,'time target'!A:B,2,0),"")</f>
        <v/>
      </c>
    </row>
    <row r="428" spans="8:12">
      <c r="H428" t="str">
        <f t="shared" si="21"/>
        <v/>
      </c>
      <c r="I428" t="str">
        <f t="shared" si="19"/>
        <v/>
      </c>
      <c r="J428" t="str">
        <f t="shared" si="20"/>
        <v/>
      </c>
      <c r="K428" t="str">
        <f>IF($A428&lt;&gt;"",VLOOKUP($E428,'IT Structure'!A:C,3,0),"")</f>
        <v/>
      </c>
      <c r="L428" t="str">
        <f>IF($A428&lt;&gt;"",VLOOKUP($B428,'time target'!A:B,2,0),"")</f>
        <v/>
      </c>
    </row>
    <row r="429" spans="8:12">
      <c r="H429" t="str">
        <f t="shared" si="21"/>
        <v/>
      </c>
      <c r="I429" t="str">
        <f t="shared" si="19"/>
        <v/>
      </c>
      <c r="J429" t="str">
        <f t="shared" si="20"/>
        <v/>
      </c>
      <c r="K429" t="str">
        <f>IF($A429&lt;&gt;"",VLOOKUP($E429,'IT Structure'!A:C,3,0),"")</f>
        <v/>
      </c>
      <c r="L429" t="str">
        <f>IF($A429&lt;&gt;"",VLOOKUP($B429,'time target'!A:B,2,0),"")</f>
        <v/>
      </c>
    </row>
    <row r="430" spans="8:12">
      <c r="H430" t="str">
        <f t="shared" si="21"/>
        <v/>
      </c>
      <c r="I430" t="str">
        <f t="shared" si="19"/>
        <v/>
      </c>
      <c r="J430" t="str">
        <f t="shared" si="20"/>
        <v/>
      </c>
      <c r="K430" t="str">
        <f>IF($A430&lt;&gt;"",VLOOKUP($E430,'IT Structure'!A:C,3,0),"")</f>
        <v/>
      </c>
      <c r="L430" t="str">
        <f>IF($A430&lt;&gt;"",VLOOKUP($B430,'time target'!A:B,2,0),"")</f>
        <v/>
      </c>
    </row>
    <row r="431" spans="8:12">
      <c r="H431" t="str">
        <f t="shared" si="21"/>
        <v/>
      </c>
      <c r="I431" t="str">
        <f t="shared" si="19"/>
        <v/>
      </c>
      <c r="J431" t="str">
        <f t="shared" si="20"/>
        <v/>
      </c>
      <c r="K431" t="str">
        <f>IF($A431&lt;&gt;"",VLOOKUP($E431,'IT Structure'!A:C,3,0),"")</f>
        <v/>
      </c>
      <c r="L431" t="str">
        <f>IF($A431&lt;&gt;"",VLOOKUP($B431,'time target'!A:B,2,0),"")</f>
        <v/>
      </c>
    </row>
    <row r="432" spans="8:12">
      <c r="H432" t="str">
        <f t="shared" si="21"/>
        <v/>
      </c>
      <c r="I432" t="str">
        <f t="shared" si="19"/>
        <v/>
      </c>
      <c r="J432" t="str">
        <f t="shared" si="20"/>
        <v/>
      </c>
      <c r="K432" t="str">
        <f>IF($A432&lt;&gt;"",VLOOKUP($E432,'IT Structure'!A:C,3,0),"")</f>
        <v/>
      </c>
      <c r="L432" t="str">
        <f>IF($A432&lt;&gt;"",VLOOKUP($B432,'time target'!A:B,2,0),"")</f>
        <v/>
      </c>
    </row>
    <row r="433" spans="8:12">
      <c r="H433" t="str">
        <f t="shared" si="21"/>
        <v/>
      </c>
      <c r="I433" t="str">
        <f t="shared" si="19"/>
        <v/>
      </c>
      <c r="J433" t="str">
        <f t="shared" si="20"/>
        <v/>
      </c>
      <c r="K433" t="str">
        <f>IF($A433&lt;&gt;"",VLOOKUP($E433,'IT Structure'!A:C,3,0),"")</f>
        <v/>
      </c>
      <c r="L433" t="str">
        <f>IF($A433&lt;&gt;"",VLOOKUP($B433,'time target'!A:B,2,0),"")</f>
        <v/>
      </c>
    </row>
    <row r="434" spans="8:12">
      <c r="H434" t="str">
        <f t="shared" si="21"/>
        <v/>
      </c>
      <c r="I434" t="str">
        <f t="shared" si="19"/>
        <v/>
      </c>
      <c r="J434" t="str">
        <f t="shared" si="20"/>
        <v/>
      </c>
      <c r="K434" t="str">
        <f>IF($A434&lt;&gt;"",VLOOKUP($E434,'IT Structure'!A:C,3,0),"")</f>
        <v/>
      </c>
      <c r="L434" t="str">
        <f>IF($A434&lt;&gt;"",VLOOKUP($B434,'time target'!A:B,2,0),"")</f>
        <v/>
      </c>
    </row>
    <row r="435" spans="8:12">
      <c r="H435" t="str">
        <f t="shared" si="21"/>
        <v/>
      </c>
      <c r="I435" t="str">
        <f t="shared" si="19"/>
        <v/>
      </c>
      <c r="J435" t="str">
        <f t="shared" si="20"/>
        <v/>
      </c>
      <c r="K435" t="str">
        <f>IF($A435&lt;&gt;"",VLOOKUP($E435,'IT Structure'!A:C,3,0),"")</f>
        <v/>
      </c>
      <c r="L435" t="str">
        <f>IF($A435&lt;&gt;"",VLOOKUP($B435,'time target'!A:B,2,0),"")</f>
        <v/>
      </c>
    </row>
    <row r="436" spans="8:12">
      <c r="H436" t="str">
        <f t="shared" si="21"/>
        <v/>
      </c>
      <c r="I436" t="str">
        <f t="shared" si="19"/>
        <v/>
      </c>
      <c r="J436" t="str">
        <f t="shared" si="20"/>
        <v/>
      </c>
      <c r="K436" t="str">
        <f>IF($A436&lt;&gt;"",VLOOKUP($E436,'IT Structure'!A:C,3,0),"")</f>
        <v/>
      </c>
      <c r="L436" t="str">
        <f>IF($A436&lt;&gt;"",VLOOKUP($B436,'time target'!A:B,2,0),"")</f>
        <v/>
      </c>
    </row>
    <row r="437" spans="8:12">
      <c r="H437" t="str">
        <f t="shared" si="21"/>
        <v/>
      </c>
      <c r="I437" t="str">
        <f t="shared" si="19"/>
        <v/>
      </c>
      <c r="J437" t="str">
        <f t="shared" si="20"/>
        <v/>
      </c>
      <c r="K437" t="str">
        <f>IF($A437&lt;&gt;"",VLOOKUP($E437,'IT Structure'!A:C,3,0),"")</f>
        <v/>
      </c>
      <c r="L437" t="str">
        <f>IF($A437&lt;&gt;"",VLOOKUP($B437,'time target'!A:B,2,0),"")</f>
        <v/>
      </c>
    </row>
    <row r="438" spans="8:12">
      <c r="H438" t="str">
        <f t="shared" si="21"/>
        <v/>
      </c>
      <c r="I438" t="str">
        <f t="shared" si="19"/>
        <v/>
      </c>
      <c r="J438" t="str">
        <f t="shared" si="20"/>
        <v/>
      </c>
      <c r="K438" t="str">
        <f>IF($A438&lt;&gt;"",VLOOKUP($E438,'IT Structure'!A:C,3,0),"")</f>
        <v/>
      </c>
      <c r="L438" t="str">
        <f>IF($A438&lt;&gt;"",VLOOKUP($B438,'time target'!A:B,2,0),"")</f>
        <v/>
      </c>
    </row>
    <row r="439" spans="8:12">
      <c r="H439" t="str">
        <f t="shared" si="21"/>
        <v/>
      </c>
      <c r="I439" t="str">
        <f t="shared" si="19"/>
        <v/>
      </c>
      <c r="J439" t="str">
        <f t="shared" si="20"/>
        <v/>
      </c>
      <c r="K439" t="str">
        <f>IF($A439&lt;&gt;"",VLOOKUP($E439,'IT Structure'!A:C,3,0),"")</f>
        <v/>
      </c>
      <c r="L439" t="str">
        <f>IF($A439&lt;&gt;"",VLOOKUP($B439,'time target'!A:B,2,0),"")</f>
        <v/>
      </c>
    </row>
    <row r="440" spans="8:12">
      <c r="H440" t="str">
        <f t="shared" si="21"/>
        <v/>
      </c>
      <c r="I440" t="str">
        <f t="shared" si="19"/>
        <v/>
      </c>
      <c r="J440" t="str">
        <f t="shared" si="20"/>
        <v/>
      </c>
      <c r="K440" t="str">
        <f>IF($A440&lt;&gt;"",VLOOKUP($E440,'IT Structure'!A:C,3,0),"")</f>
        <v/>
      </c>
      <c r="L440" t="str">
        <f>IF($A440&lt;&gt;"",VLOOKUP($B440,'time target'!A:B,2,0),"")</f>
        <v/>
      </c>
    </row>
    <row r="441" spans="8:12">
      <c r="H441" t="str">
        <f t="shared" si="21"/>
        <v/>
      </c>
      <c r="I441" t="str">
        <f t="shared" si="19"/>
        <v/>
      </c>
      <c r="J441" t="str">
        <f t="shared" si="20"/>
        <v/>
      </c>
      <c r="K441" t="str">
        <f>IF($A441&lt;&gt;"",VLOOKUP($E441,'IT Structure'!A:C,3,0),"")</f>
        <v/>
      </c>
      <c r="L441" t="str">
        <f>IF($A441&lt;&gt;"",VLOOKUP($B441,'time target'!A:B,2,0),"")</f>
        <v/>
      </c>
    </row>
    <row r="442" spans="8:12">
      <c r="H442" t="str">
        <f t="shared" si="21"/>
        <v/>
      </c>
      <c r="I442" t="str">
        <f t="shared" si="19"/>
        <v/>
      </c>
      <c r="J442" t="str">
        <f t="shared" si="20"/>
        <v/>
      </c>
      <c r="K442" t="str">
        <f>IF($A442&lt;&gt;"",VLOOKUP($E442,'IT Structure'!A:C,3,0),"")</f>
        <v/>
      </c>
      <c r="L442" t="str">
        <f>IF($A442&lt;&gt;"",VLOOKUP($B442,'time target'!A:B,2,0),"")</f>
        <v/>
      </c>
    </row>
    <row r="443" spans="8:12">
      <c r="H443" t="str">
        <f t="shared" si="21"/>
        <v/>
      </c>
      <c r="I443" t="str">
        <f t="shared" si="19"/>
        <v/>
      </c>
      <c r="J443" t="str">
        <f t="shared" si="20"/>
        <v/>
      </c>
      <c r="K443" t="str">
        <f>IF($A443&lt;&gt;"",VLOOKUP($E443,'IT Structure'!A:C,3,0),"")</f>
        <v/>
      </c>
      <c r="L443" t="str">
        <f>IF($A443&lt;&gt;"",VLOOKUP($B443,'time target'!A:B,2,0),"")</f>
        <v/>
      </c>
    </row>
    <row r="444" spans="8:12">
      <c r="H444" t="str">
        <f t="shared" si="21"/>
        <v/>
      </c>
      <c r="I444" t="str">
        <f t="shared" si="19"/>
        <v/>
      </c>
      <c r="J444" t="str">
        <f t="shared" si="20"/>
        <v/>
      </c>
      <c r="K444" t="str">
        <f>IF($A444&lt;&gt;"",VLOOKUP($E444,'IT Structure'!A:C,3,0),"")</f>
        <v/>
      </c>
      <c r="L444" t="str">
        <f>IF($A444&lt;&gt;"",VLOOKUP($B444,'time target'!A:B,2,0),"")</f>
        <v/>
      </c>
    </row>
    <row r="445" spans="8:12">
      <c r="H445" t="str">
        <f t="shared" si="21"/>
        <v/>
      </c>
      <c r="I445" t="str">
        <f t="shared" si="19"/>
        <v/>
      </c>
      <c r="J445" t="str">
        <f t="shared" si="20"/>
        <v/>
      </c>
      <c r="K445" t="str">
        <f>IF($A445&lt;&gt;"",VLOOKUP($E445,'IT Structure'!A:C,3,0),"")</f>
        <v/>
      </c>
      <c r="L445" t="str">
        <f>IF($A445&lt;&gt;"",VLOOKUP($B445,'time target'!A:B,2,0),"")</f>
        <v/>
      </c>
    </row>
    <row r="446" spans="8:12">
      <c r="H446" t="str">
        <f t="shared" si="21"/>
        <v/>
      </c>
      <c r="I446" t="str">
        <f t="shared" si="19"/>
        <v/>
      </c>
      <c r="J446" t="str">
        <f t="shared" si="20"/>
        <v/>
      </c>
      <c r="K446" t="str">
        <f>IF($A446&lt;&gt;"",VLOOKUP($E446,'IT Structure'!A:C,3,0),"")</f>
        <v/>
      </c>
      <c r="L446" t="str">
        <f>IF($A446&lt;&gt;"",VLOOKUP($B446,'time target'!A:B,2,0),"")</f>
        <v/>
      </c>
    </row>
    <row r="447" spans="8:12">
      <c r="H447" t="str">
        <f t="shared" si="21"/>
        <v/>
      </c>
      <c r="I447" t="str">
        <f t="shared" si="19"/>
        <v/>
      </c>
      <c r="J447" t="str">
        <f t="shared" si="20"/>
        <v/>
      </c>
      <c r="K447" t="str">
        <f>IF($A447&lt;&gt;"",VLOOKUP($E447,'IT Structure'!A:C,3,0),"")</f>
        <v/>
      </c>
      <c r="L447" t="str">
        <f>IF($A447&lt;&gt;"",VLOOKUP($B447,'time target'!A:B,2,0),"")</f>
        <v/>
      </c>
    </row>
    <row r="448" spans="8:12">
      <c r="H448" t="str">
        <f t="shared" si="21"/>
        <v/>
      </c>
      <c r="I448" t="str">
        <f t="shared" si="19"/>
        <v/>
      </c>
      <c r="J448" t="str">
        <f t="shared" si="20"/>
        <v/>
      </c>
      <c r="K448" t="str">
        <f>IF($A448&lt;&gt;"",VLOOKUP($E448,'IT Structure'!A:C,3,0),"")</f>
        <v/>
      </c>
      <c r="L448" t="str">
        <f>IF($A448&lt;&gt;"",VLOOKUP($B448,'time target'!A:B,2,0),"")</f>
        <v/>
      </c>
    </row>
    <row r="449" spans="8:12">
      <c r="H449" t="str">
        <f t="shared" si="21"/>
        <v/>
      </c>
      <c r="I449" t="str">
        <f t="shared" si="19"/>
        <v/>
      </c>
      <c r="J449" t="str">
        <f t="shared" si="20"/>
        <v/>
      </c>
      <c r="K449" t="str">
        <f>IF($A449&lt;&gt;"",VLOOKUP($E449,'IT Structure'!A:C,3,0),"")</f>
        <v/>
      </c>
      <c r="L449" t="str">
        <f>IF($A449&lt;&gt;"",VLOOKUP($B449,'time target'!A:B,2,0),"")</f>
        <v/>
      </c>
    </row>
    <row r="450" spans="8:12">
      <c r="H450" t="str">
        <f t="shared" si="21"/>
        <v/>
      </c>
      <c r="I450" t="str">
        <f t="shared" si="19"/>
        <v/>
      </c>
      <c r="J450" t="str">
        <f t="shared" si="20"/>
        <v/>
      </c>
      <c r="K450" t="str">
        <f>IF($A450&lt;&gt;"",VLOOKUP($E450,'IT Structure'!A:C,3,0),"")</f>
        <v/>
      </c>
      <c r="L450" t="str">
        <f>IF($A450&lt;&gt;"",VLOOKUP($B450,'time target'!A:B,2,0),"")</f>
        <v/>
      </c>
    </row>
    <row r="451" spans="8:12">
      <c r="H451" t="str">
        <f t="shared" ref="H451:H482" si="22">IF($A451&lt;&gt;"",MONTH($G451),"")</f>
        <v/>
      </c>
      <c r="I451" t="str">
        <f t="shared" ref="I451:I514" si="23">IF($A451&lt;&gt;"",YEAR($G451),"")</f>
        <v/>
      </c>
      <c r="J451" t="str">
        <f t="shared" ref="J451:J514" si="24">IF($A451&lt;&gt;"",DAY($G451),"")</f>
        <v/>
      </c>
      <c r="K451" t="str">
        <f>IF($A451&lt;&gt;"",VLOOKUP($E451,'IT Structure'!A:C,3,0),"")</f>
        <v/>
      </c>
      <c r="L451" t="str">
        <f>IF($A451&lt;&gt;"",VLOOKUP($B451,'time target'!A:B,2,0),"")</f>
        <v/>
      </c>
    </row>
    <row r="452" spans="8:12">
      <c r="H452" t="str">
        <f t="shared" si="22"/>
        <v/>
      </c>
      <c r="I452" t="str">
        <f t="shared" si="23"/>
        <v/>
      </c>
      <c r="J452" t="str">
        <f t="shared" si="24"/>
        <v/>
      </c>
      <c r="K452" t="str">
        <f>IF($A452&lt;&gt;"",VLOOKUP($E452,'IT Structure'!A:C,3,0),"")</f>
        <v/>
      </c>
      <c r="L452" t="str">
        <f>IF($A452&lt;&gt;"",VLOOKUP($B452,'time target'!A:B,2,0),"")</f>
        <v/>
      </c>
    </row>
    <row r="453" spans="8:12">
      <c r="H453" t="str">
        <f t="shared" si="22"/>
        <v/>
      </c>
      <c r="I453" t="str">
        <f t="shared" si="23"/>
        <v/>
      </c>
      <c r="J453" t="str">
        <f t="shared" si="24"/>
        <v/>
      </c>
      <c r="K453" t="str">
        <f>IF($A453&lt;&gt;"",VLOOKUP($E453,'IT Structure'!A:C,3,0),"")</f>
        <v/>
      </c>
      <c r="L453" t="str">
        <f>IF($A453&lt;&gt;"",VLOOKUP($B453,'time target'!A:B,2,0),"")</f>
        <v/>
      </c>
    </row>
    <row r="454" spans="8:12">
      <c r="H454" t="str">
        <f t="shared" si="22"/>
        <v/>
      </c>
      <c r="I454" t="str">
        <f t="shared" si="23"/>
        <v/>
      </c>
      <c r="J454" t="str">
        <f t="shared" si="24"/>
        <v/>
      </c>
      <c r="K454" t="str">
        <f>IF($A454&lt;&gt;"",VLOOKUP($E454,'IT Structure'!A:C,3,0),"")</f>
        <v/>
      </c>
      <c r="L454" t="str">
        <f>IF($A454&lt;&gt;"",VLOOKUP($B454,'time target'!A:B,2,0),"")</f>
        <v/>
      </c>
    </row>
    <row r="455" spans="8:12">
      <c r="H455" t="str">
        <f t="shared" si="22"/>
        <v/>
      </c>
      <c r="I455" t="str">
        <f t="shared" si="23"/>
        <v/>
      </c>
      <c r="J455" t="str">
        <f t="shared" si="24"/>
        <v/>
      </c>
      <c r="K455" t="str">
        <f>IF($A455&lt;&gt;"",VLOOKUP($E455,'IT Structure'!A:C,3,0),"")</f>
        <v/>
      </c>
      <c r="L455" t="str">
        <f>IF($A455&lt;&gt;"",VLOOKUP($B455,'time target'!A:B,2,0),"")</f>
        <v/>
      </c>
    </row>
    <row r="456" spans="8:12">
      <c r="H456" t="str">
        <f t="shared" si="22"/>
        <v/>
      </c>
      <c r="I456" t="str">
        <f t="shared" si="23"/>
        <v/>
      </c>
      <c r="J456" t="str">
        <f t="shared" si="24"/>
        <v/>
      </c>
      <c r="K456" t="str">
        <f>IF($A456&lt;&gt;"",VLOOKUP($E456,'IT Structure'!A:C,3,0),"")</f>
        <v/>
      </c>
      <c r="L456" t="str">
        <f>IF($A456&lt;&gt;"",VLOOKUP($B456,'time target'!A:B,2,0),"")</f>
        <v/>
      </c>
    </row>
    <row r="457" spans="8:12">
      <c r="H457" t="str">
        <f t="shared" si="22"/>
        <v/>
      </c>
      <c r="I457" t="str">
        <f t="shared" si="23"/>
        <v/>
      </c>
      <c r="J457" t="str">
        <f t="shared" si="24"/>
        <v/>
      </c>
      <c r="K457" t="str">
        <f>IF($A457&lt;&gt;"",VLOOKUP($E457,'IT Structure'!A:C,3,0),"")</f>
        <v/>
      </c>
      <c r="L457" t="str">
        <f>IF($A457&lt;&gt;"",VLOOKUP($B457,'time target'!A:B,2,0),"")</f>
        <v/>
      </c>
    </row>
    <row r="458" spans="8:12">
      <c r="H458" t="str">
        <f t="shared" si="22"/>
        <v/>
      </c>
      <c r="I458" t="str">
        <f t="shared" si="23"/>
        <v/>
      </c>
      <c r="J458" t="str">
        <f t="shared" si="24"/>
        <v/>
      </c>
      <c r="K458" t="str">
        <f>IF($A458&lt;&gt;"",VLOOKUP($E458,'IT Structure'!A:C,3,0),"")</f>
        <v/>
      </c>
      <c r="L458" t="str">
        <f>IF($A458&lt;&gt;"",VLOOKUP($B458,'time target'!A:B,2,0),"")</f>
        <v/>
      </c>
    </row>
    <row r="459" spans="8:12">
      <c r="H459" t="str">
        <f t="shared" si="22"/>
        <v/>
      </c>
      <c r="I459" t="str">
        <f t="shared" si="23"/>
        <v/>
      </c>
      <c r="J459" t="str">
        <f t="shared" si="24"/>
        <v/>
      </c>
      <c r="K459" t="str">
        <f>IF($A459&lt;&gt;"",VLOOKUP($E459,'IT Structure'!A:C,3,0),"")</f>
        <v/>
      </c>
      <c r="L459" t="str">
        <f>IF($A459&lt;&gt;"",VLOOKUP($B459,'time target'!A:B,2,0),"")</f>
        <v/>
      </c>
    </row>
    <row r="460" spans="8:12">
      <c r="H460" t="str">
        <f t="shared" si="22"/>
        <v/>
      </c>
      <c r="I460" t="str">
        <f t="shared" si="23"/>
        <v/>
      </c>
      <c r="J460" t="str">
        <f t="shared" si="24"/>
        <v/>
      </c>
      <c r="K460" t="str">
        <f>IF($A460&lt;&gt;"",VLOOKUP($E460,'IT Structure'!A:C,3,0),"")</f>
        <v/>
      </c>
      <c r="L460" t="str">
        <f>IF($A460&lt;&gt;"",VLOOKUP($B460,'time target'!A:B,2,0),"")</f>
        <v/>
      </c>
    </row>
    <row r="461" spans="8:12">
      <c r="H461" t="str">
        <f t="shared" si="22"/>
        <v/>
      </c>
      <c r="I461" t="str">
        <f t="shared" si="23"/>
        <v/>
      </c>
      <c r="J461" t="str">
        <f t="shared" si="24"/>
        <v/>
      </c>
      <c r="K461" t="str">
        <f>IF($A461&lt;&gt;"",VLOOKUP($E461,'IT Structure'!A:C,3,0),"")</f>
        <v/>
      </c>
      <c r="L461" t="str">
        <f>IF($A461&lt;&gt;"",VLOOKUP($B461,'time target'!A:B,2,0),"")</f>
        <v/>
      </c>
    </row>
    <row r="462" spans="8:12">
      <c r="H462" t="str">
        <f t="shared" si="22"/>
        <v/>
      </c>
      <c r="I462" t="str">
        <f t="shared" si="23"/>
        <v/>
      </c>
      <c r="J462" t="str">
        <f t="shared" si="24"/>
        <v/>
      </c>
      <c r="K462" t="str">
        <f>IF($A462&lt;&gt;"",VLOOKUP($E462,'IT Structure'!A:C,3,0),"")</f>
        <v/>
      </c>
      <c r="L462" t="str">
        <f>IF($A462&lt;&gt;"",VLOOKUP($B462,'time target'!A:B,2,0),"")</f>
        <v/>
      </c>
    </row>
    <row r="463" spans="8:12">
      <c r="H463" t="str">
        <f t="shared" si="22"/>
        <v/>
      </c>
      <c r="I463" t="str">
        <f t="shared" si="23"/>
        <v/>
      </c>
      <c r="J463" t="str">
        <f t="shared" si="24"/>
        <v/>
      </c>
      <c r="K463" t="str">
        <f>IF($A463&lt;&gt;"",VLOOKUP($E463,'IT Structure'!A:C,3,0),"")</f>
        <v/>
      </c>
      <c r="L463" t="str">
        <f>IF($A463&lt;&gt;"",VLOOKUP($B463,'time target'!A:B,2,0),"")</f>
        <v/>
      </c>
    </row>
    <row r="464" spans="8:12">
      <c r="H464" t="str">
        <f t="shared" si="22"/>
        <v/>
      </c>
      <c r="I464" t="str">
        <f t="shared" si="23"/>
        <v/>
      </c>
      <c r="J464" t="str">
        <f t="shared" si="24"/>
        <v/>
      </c>
      <c r="K464" t="str">
        <f>IF($A464&lt;&gt;"",VLOOKUP($E464,'IT Structure'!A:C,3,0),"")</f>
        <v/>
      </c>
      <c r="L464" t="str">
        <f>IF($A464&lt;&gt;"",VLOOKUP($B464,'time target'!A:B,2,0),"")</f>
        <v/>
      </c>
    </row>
    <row r="465" spans="8:12">
      <c r="H465" t="str">
        <f t="shared" si="22"/>
        <v/>
      </c>
      <c r="I465" t="str">
        <f t="shared" si="23"/>
        <v/>
      </c>
      <c r="J465" t="str">
        <f t="shared" si="24"/>
        <v/>
      </c>
      <c r="K465" t="str">
        <f>IF($A465&lt;&gt;"",VLOOKUP($E465,'IT Structure'!A:C,3,0),"")</f>
        <v/>
      </c>
      <c r="L465" t="str">
        <f>IF($A465&lt;&gt;"",VLOOKUP($B465,'time target'!A:B,2,0),"")</f>
        <v/>
      </c>
    </row>
    <row r="466" spans="8:12">
      <c r="H466" t="str">
        <f t="shared" si="22"/>
        <v/>
      </c>
      <c r="I466" t="str">
        <f t="shared" si="23"/>
        <v/>
      </c>
      <c r="J466" t="str">
        <f t="shared" si="24"/>
        <v/>
      </c>
      <c r="K466" t="str">
        <f>IF($A466&lt;&gt;"",VLOOKUP($E466,'IT Structure'!A:C,3,0),"")</f>
        <v/>
      </c>
      <c r="L466" t="str">
        <f>IF($A466&lt;&gt;"",VLOOKUP($B466,'time target'!A:B,2,0),"")</f>
        <v/>
      </c>
    </row>
    <row r="467" spans="8:12">
      <c r="H467" t="str">
        <f t="shared" si="22"/>
        <v/>
      </c>
      <c r="I467" t="str">
        <f t="shared" si="23"/>
        <v/>
      </c>
      <c r="J467" t="str">
        <f t="shared" si="24"/>
        <v/>
      </c>
      <c r="K467" t="str">
        <f>IF($A467&lt;&gt;"",VLOOKUP($E467,'IT Structure'!A:C,3,0),"")</f>
        <v/>
      </c>
      <c r="L467" t="str">
        <f>IF($A467&lt;&gt;"",VLOOKUP($B467,'time target'!A:B,2,0),"")</f>
        <v/>
      </c>
    </row>
    <row r="468" spans="8:12">
      <c r="H468" t="str">
        <f t="shared" si="22"/>
        <v/>
      </c>
      <c r="I468" t="str">
        <f t="shared" si="23"/>
        <v/>
      </c>
      <c r="J468" t="str">
        <f t="shared" si="24"/>
        <v/>
      </c>
      <c r="K468" t="str">
        <f>IF($A468&lt;&gt;"",VLOOKUP($E468,'IT Structure'!A:C,3,0),"")</f>
        <v/>
      </c>
      <c r="L468" t="str">
        <f>IF($A468&lt;&gt;"",VLOOKUP($B468,'time target'!A:B,2,0),"")</f>
        <v/>
      </c>
    </row>
    <row r="469" spans="8:12">
      <c r="H469" t="str">
        <f t="shared" si="22"/>
        <v/>
      </c>
      <c r="I469" t="str">
        <f t="shared" si="23"/>
        <v/>
      </c>
      <c r="J469" t="str">
        <f t="shared" si="24"/>
        <v/>
      </c>
      <c r="K469" t="str">
        <f>IF($A469&lt;&gt;"",VLOOKUP($E469,'IT Structure'!A:C,3,0),"")</f>
        <v/>
      </c>
      <c r="L469" t="str">
        <f>IF($A469&lt;&gt;"",VLOOKUP($B469,'time target'!A:B,2,0),"")</f>
        <v/>
      </c>
    </row>
    <row r="470" spans="8:12">
      <c r="H470" t="str">
        <f t="shared" si="22"/>
        <v/>
      </c>
      <c r="I470" t="str">
        <f t="shared" si="23"/>
        <v/>
      </c>
      <c r="J470" t="str">
        <f t="shared" si="24"/>
        <v/>
      </c>
      <c r="K470" t="str">
        <f>IF($A470&lt;&gt;"",VLOOKUP($E470,'IT Structure'!A:C,3,0),"")</f>
        <v/>
      </c>
      <c r="L470" t="str">
        <f>IF($A470&lt;&gt;"",VLOOKUP($B470,'time target'!A:B,2,0),"")</f>
        <v/>
      </c>
    </row>
    <row r="471" spans="8:12">
      <c r="H471" t="str">
        <f t="shared" si="22"/>
        <v/>
      </c>
      <c r="I471" t="str">
        <f t="shared" si="23"/>
        <v/>
      </c>
      <c r="J471" t="str">
        <f t="shared" si="24"/>
        <v/>
      </c>
      <c r="K471" t="str">
        <f>IF($A471&lt;&gt;"",VLOOKUP($E471,'IT Structure'!A:C,3,0),"")</f>
        <v/>
      </c>
      <c r="L471" t="str">
        <f>IF($A471&lt;&gt;"",VLOOKUP($B471,'time target'!A:B,2,0),"")</f>
        <v/>
      </c>
    </row>
    <row r="472" spans="8:12">
      <c r="H472" t="str">
        <f t="shared" si="22"/>
        <v/>
      </c>
      <c r="I472" t="str">
        <f t="shared" si="23"/>
        <v/>
      </c>
      <c r="J472" t="str">
        <f t="shared" si="24"/>
        <v/>
      </c>
      <c r="K472" t="str">
        <f>IF($A472&lt;&gt;"",VLOOKUP($E472,'IT Structure'!A:C,3,0),"")</f>
        <v/>
      </c>
      <c r="L472" t="str">
        <f>IF($A472&lt;&gt;"",VLOOKUP($B472,'time target'!A:B,2,0),"")</f>
        <v/>
      </c>
    </row>
    <row r="473" spans="8:12">
      <c r="H473" t="str">
        <f t="shared" si="22"/>
        <v/>
      </c>
      <c r="I473" t="str">
        <f t="shared" si="23"/>
        <v/>
      </c>
      <c r="J473" t="str">
        <f t="shared" si="24"/>
        <v/>
      </c>
      <c r="K473" t="str">
        <f>IF($A473&lt;&gt;"",VLOOKUP($E473,'IT Structure'!A:C,3,0),"")</f>
        <v/>
      </c>
      <c r="L473" t="str">
        <f>IF($A473&lt;&gt;"",VLOOKUP($B473,'time target'!A:B,2,0),"")</f>
        <v/>
      </c>
    </row>
    <row r="474" spans="8:12">
      <c r="H474" t="str">
        <f t="shared" si="22"/>
        <v/>
      </c>
      <c r="I474" t="str">
        <f t="shared" si="23"/>
        <v/>
      </c>
      <c r="J474" t="str">
        <f t="shared" si="24"/>
        <v/>
      </c>
      <c r="K474" t="str">
        <f>IF($A474&lt;&gt;"",VLOOKUP($E474,'IT Structure'!A:C,3,0),"")</f>
        <v/>
      </c>
      <c r="L474" t="str">
        <f>IF($A474&lt;&gt;"",VLOOKUP($B474,'time target'!A:B,2,0),"")</f>
        <v/>
      </c>
    </row>
    <row r="475" spans="8:12">
      <c r="H475" t="str">
        <f t="shared" si="22"/>
        <v/>
      </c>
      <c r="I475" t="str">
        <f t="shared" si="23"/>
        <v/>
      </c>
      <c r="J475" t="str">
        <f t="shared" si="24"/>
        <v/>
      </c>
      <c r="K475" t="str">
        <f>IF($A475&lt;&gt;"",VLOOKUP($E475,'IT Structure'!A:C,3,0),"")</f>
        <v/>
      </c>
      <c r="L475" t="str">
        <f>IF($A475&lt;&gt;"",VLOOKUP($B475,'time target'!A:B,2,0),"")</f>
        <v/>
      </c>
    </row>
    <row r="476" spans="8:12">
      <c r="H476" t="str">
        <f t="shared" si="22"/>
        <v/>
      </c>
      <c r="I476" t="str">
        <f t="shared" si="23"/>
        <v/>
      </c>
      <c r="J476" t="str">
        <f t="shared" si="24"/>
        <v/>
      </c>
      <c r="K476" t="str">
        <f>IF($A476&lt;&gt;"",VLOOKUP($E476,'IT Structure'!A:C,3,0),"")</f>
        <v/>
      </c>
      <c r="L476" t="str">
        <f>IF($A476&lt;&gt;"",VLOOKUP($B476,'time target'!A:B,2,0),"")</f>
        <v/>
      </c>
    </row>
    <row r="477" spans="8:12">
      <c r="H477" t="str">
        <f t="shared" si="22"/>
        <v/>
      </c>
      <c r="I477" t="str">
        <f t="shared" si="23"/>
        <v/>
      </c>
      <c r="J477" t="str">
        <f t="shared" si="24"/>
        <v/>
      </c>
      <c r="K477" t="str">
        <f>IF($A477&lt;&gt;"",VLOOKUP($E477,'IT Structure'!A:C,3,0),"")</f>
        <v/>
      </c>
      <c r="L477" t="str">
        <f>IF($A477&lt;&gt;"",VLOOKUP($B477,'time target'!A:B,2,0),"")</f>
        <v/>
      </c>
    </row>
    <row r="478" spans="8:12">
      <c r="H478" t="str">
        <f t="shared" si="22"/>
        <v/>
      </c>
      <c r="I478" t="str">
        <f t="shared" si="23"/>
        <v/>
      </c>
      <c r="J478" t="str">
        <f t="shared" si="24"/>
        <v/>
      </c>
      <c r="K478" t="str">
        <f>IF($A478&lt;&gt;"",VLOOKUP($E478,'IT Structure'!A:C,3,0),"")</f>
        <v/>
      </c>
      <c r="L478" t="str">
        <f>IF($A478&lt;&gt;"",VLOOKUP($B478,'time target'!A:B,2,0),"")</f>
        <v/>
      </c>
    </row>
    <row r="479" spans="8:12">
      <c r="H479" t="str">
        <f t="shared" si="22"/>
        <v/>
      </c>
      <c r="I479" t="str">
        <f t="shared" si="23"/>
        <v/>
      </c>
      <c r="J479" t="str">
        <f t="shared" si="24"/>
        <v/>
      </c>
      <c r="K479" t="str">
        <f>IF($A479&lt;&gt;"",VLOOKUP($E479,'IT Structure'!A:C,3,0),"")</f>
        <v/>
      </c>
      <c r="L479" t="str">
        <f>IF($A479&lt;&gt;"",VLOOKUP($B479,'time target'!A:B,2,0),"")</f>
        <v/>
      </c>
    </row>
    <row r="480" spans="8:12">
      <c r="H480" t="str">
        <f t="shared" si="22"/>
        <v/>
      </c>
      <c r="I480" t="str">
        <f t="shared" si="23"/>
        <v/>
      </c>
      <c r="J480" t="str">
        <f t="shared" si="24"/>
        <v/>
      </c>
      <c r="K480" t="str">
        <f>IF($A480&lt;&gt;"",VLOOKUP($E480,'IT Structure'!A:C,3,0),"")</f>
        <v/>
      </c>
      <c r="L480" t="str">
        <f>IF($A480&lt;&gt;"",VLOOKUP($B480,'time target'!A:B,2,0),"")</f>
        <v/>
      </c>
    </row>
    <row r="481" spans="8:12">
      <c r="H481" t="str">
        <f t="shared" si="22"/>
        <v/>
      </c>
      <c r="I481" t="str">
        <f t="shared" si="23"/>
        <v/>
      </c>
      <c r="J481" t="str">
        <f t="shared" si="24"/>
        <v/>
      </c>
      <c r="K481" t="str">
        <f>IF($A481&lt;&gt;"",VLOOKUP($E481,'IT Structure'!A:C,3,0),"")</f>
        <v/>
      </c>
      <c r="L481" t="str">
        <f>IF($A481&lt;&gt;"",VLOOKUP($B481,'time target'!A:B,2,0),"")</f>
        <v/>
      </c>
    </row>
    <row r="482" spans="8:12">
      <c r="H482" t="str">
        <f t="shared" si="22"/>
        <v/>
      </c>
      <c r="I482" t="str">
        <f t="shared" si="23"/>
        <v/>
      </c>
      <c r="J482" t="str">
        <f t="shared" si="24"/>
        <v/>
      </c>
      <c r="K482" t="str">
        <f>IF($A482&lt;&gt;"",VLOOKUP($E482,'IT Structure'!A:C,3,0),"")</f>
        <v/>
      </c>
      <c r="L482" t="str">
        <f>IF($A482&lt;&gt;"",VLOOKUP($B482,'time target'!A:B,2,0),"")</f>
        <v/>
      </c>
    </row>
    <row r="483" spans="8:12">
      <c r="H483" t="str">
        <f t="shared" ref="H483:H514" si="25">IF($A483&lt;&gt;"",MONTH($G483),"")</f>
        <v/>
      </c>
      <c r="I483" t="str">
        <f t="shared" si="23"/>
        <v/>
      </c>
      <c r="J483" t="str">
        <f t="shared" si="24"/>
        <v/>
      </c>
      <c r="K483" t="str">
        <f>IF($A483&lt;&gt;"",VLOOKUP($E483,'IT Structure'!A:C,3,0),"")</f>
        <v/>
      </c>
      <c r="L483" t="str">
        <f>IF($A483&lt;&gt;"",VLOOKUP($B483,'time target'!A:B,2,0),"")</f>
        <v/>
      </c>
    </row>
    <row r="484" spans="8:12">
      <c r="H484" t="str">
        <f t="shared" si="25"/>
        <v/>
      </c>
      <c r="I484" t="str">
        <f t="shared" si="23"/>
        <v/>
      </c>
      <c r="J484" t="str">
        <f t="shared" si="24"/>
        <v/>
      </c>
      <c r="K484" t="str">
        <f>IF($A484&lt;&gt;"",VLOOKUP($E484,'IT Structure'!A:C,3,0),"")</f>
        <v/>
      </c>
      <c r="L484" t="str">
        <f>IF($A484&lt;&gt;"",VLOOKUP($B484,'time target'!A:B,2,0),"")</f>
        <v/>
      </c>
    </row>
    <row r="485" spans="8:12">
      <c r="H485" t="str">
        <f t="shared" si="25"/>
        <v/>
      </c>
      <c r="I485" t="str">
        <f t="shared" si="23"/>
        <v/>
      </c>
      <c r="J485" t="str">
        <f t="shared" si="24"/>
        <v/>
      </c>
      <c r="K485" t="str">
        <f>IF($A485&lt;&gt;"",VLOOKUP($E485,'IT Structure'!A:C,3,0),"")</f>
        <v/>
      </c>
      <c r="L485" t="str">
        <f>IF($A485&lt;&gt;"",VLOOKUP($B485,'time target'!A:B,2,0),"")</f>
        <v/>
      </c>
    </row>
    <row r="486" spans="8:12">
      <c r="H486" t="str">
        <f t="shared" si="25"/>
        <v/>
      </c>
      <c r="I486" t="str">
        <f t="shared" si="23"/>
        <v/>
      </c>
      <c r="J486" t="str">
        <f t="shared" si="24"/>
        <v/>
      </c>
      <c r="K486" t="str">
        <f>IF($A486&lt;&gt;"",VLOOKUP($E486,'IT Structure'!A:C,3,0),"")</f>
        <v/>
      </c>
      <c r="L486" t="str">
        <f>IF($A486&lt;&gt;"",VLOOKUP($B486,'time target'!A:B,2,0),"")</f>
        <v/>
      </c>
    </row>
    <row r="487" spans="8:12">
      <c r="H487" t="str">
        <f t="shared" si="25"/>
        <v/>
      </c>
      <c r="I487" t="str">
        <f t="shared" si="23"/>
        <v/>
      </c>
      <c r="J487" t="str">
        <f t="shared" si="24"/>
        <v/>
      </c>
      <c r="K487" t="str">
        <f>IF($A487&lt;&gt;"",VLOOKUP($E487,'IT Structure'!A:C,3,0),"")</f>
        <v/>
      </c>
      <c r="L487" t="str">
        <f>IF($A487&lt;&gt;"",VLOOKUP($B487,'time target'!A:B,2,0),"")</f>
        <v/>
      </c>
    </row>
    <row r="488" spans="8:12">
      <c r="H488" t="str">
        <f t="shared" si="25"/>
        <v/>
      </c>
      <c r="I488" t="str">
        <f t="shared" si="23"/>
        <v/>
      </c>
      <c r="J488" t="str">
        <f t="shared" si="24"/>
        <v/>
      </c>
      <c r="K488" t="str">
        <f>IF($A488&lt;&gt;"",VLOOKUP($E488,'IT Structure'!A:C,3,0),"")</f>
        <v/>
      </c>
      <c r="L488" t="str">
        <f>IF($A488&lt;&gt;"",VLOOKUP($B488,'time target'!A:B,2,0),"")</f>
        <v/>
      </c>
    </row>
    <row r="489" spans="8:12">
      <c r="H489" t="str">
        <f t="shared" si="25"/>
        <v/>
      </c>
      <c r="I489" t="str">
        <f t="shared" si="23"/>
        <v/>
      </c>
      <c r="J489" t="str">
        <f t="shared" si="24"/>
        <v/>
      </c>
      <c r="K489" t="str">
        <f>IF($A489&lt;&gt;"",VLOOKUP($E489,'IT Structure'!A:C,3,0),"")</f>
        <v/>
      </c>
      <c r="L489" t="str">
        <f>IF($A489&lt;&gt;"",VLOOKUP($B489,'time target'!A:B,2,0),"")</f>
        <v/>
      </c>
    </row>
    <row r="490" spans="8:12">
      <c r="H490" t="str">
        <f t="shared" si="25"/>
        <v/>
      </c>
      <c r="I490" t="str">
        <f t="shared" si="23"/>
        <v/>
      </c>
      <c r="J490" t="str">
        <f t="shared" si="24"/>
        <v/>
      </c>
      <c r="K490" t="str">
        <f>IF($A490&lt;&gt;"",VLOOKUP($E490,'IT Structure'!A:C,3,0),"")</f>
        <v/>
      </c>
      <c r="L490" t="str">
        <f>IF($A490&lt;&gt;"",VLOOKUP($B490,'time target'!A:B,2,0),"")</f>
        <v/>
      </c>
    </row>
    <row r="491" spans="8:12">
      <c r="H491" t="str">
        <f t="shared" si="25"/>
        <v/>
      </c>
      <c r="I491" t="str">
        <f t="shared" si="23"/>
        <v/>
      </c>
      <c r="J491" t="str">
        <f t="shared" si="24"/>
        <v/>
      </c>
      <c r="K491" t="str">
        <f>IF($A491&lt;&gt;"",VLOOKUP($E491,'IT Structure'!A:C,3,0),"")</f>
        <v/>
      </c>
      <c r="L491" t="str">
        <f>IF($A491&lt;&gt;"",VLOOKUP($B491,'time target'!A:B,2,0),"")</f>
        <v/>
      </c>
    </row>
    <row r="492" spans="8:12">
      <c r="H492" t="str">
        <f t="shared" si="25"/>
        <v/>
      </c>
      <c r="I492" t="str">
        <f t="shared" si="23"/>
        <v/>
      </c>
      <c r="J492" t="str">
        <f t="shared" si="24"/>
        <v/>
      </c>
      <c r="K492" t="str">
        <f>IF($A492&lt;&gt;"",VLOOKUP($E492,'IT Structure'!A:C,3,0),"")</f>
        <v/>
      </c>
      <c r="L492" t="str">
        <f>IF($A492&lt;&gt;"",VLOOKUP($B492,'time target'!A:B,2,0),"")</f>
        <v/>
      </c>
    </row>
    <row r="493" spans="8:12">
      <c r="H493" t="str">
        <f t="shared" si="25"/>
        <v/>
      </c>
      <c r="I493" t="str">
        <f t="shared" si="23"/>
        <v/>
      </c>
      <c r="J493" t="str">
        <f t="shared" si="24"/>
        <v/>
      </c>
      <c r="K493" t="str">
        <f>IF($A493&lt;&gt;"",VLOOKUP($E493,'IT Structure'!A:C,3,0),"")</f>
        <v/>
      </c>
      <c r="L493" t="str">
        <f>IF($A493&lt;&gt;"",VLOOKUP($B493,'time target'!A:B,2,0),"")</f>
        <v/>
      </c>
    </row>
    <row r="494" spans="8:12">
      <c r="H494" t="str">
        <f t="shared" si="25"/>
        <v/>
      </c>
      <c r="I494" t="str">
        <f t="shared" si="23"/>
        <v/>
      </c>
      <c r="J494" t="str">
        <f t="shared" si="24"/>
        <v/>
      </c>
      <c r="K494" t="str">
        <f>IF($A494&lt;&gt;"",VLOOKUP($E494,'IT Structure'!A:C,3,0),"")</f>
        <v/>
      </c>
      <c r="L494" t="str">
        <f>IF($A494&lt;&gt;"",VLOOKUP($B494,'time target'!A:B,2,0),"")</f>
        <v/>
      </c>
    </row>
    <row r="495" spans="8:12">
      <c r="H495" t="str">
        <f t="shared" si="25"/>
        <v/>
      </c>
      <c r="I495" t="str">
        <f t="shared" si="23"/>
        <v/>
      </c>
      <c r="J495" t="str">
        <f t="shared" si="24"/>
        <v/>
      </c>
      <c r="K495" t="str">
        <f>IF($A495&lt;&gt;"",VLOOKUP($E495,'IT Structure'!A:C,3,0),"")</f>
        <v/>
      </c>
      <c r="L495" t="str">
        <f>IF($A495&lt;&gt;"",VLOOKUP($B495,'time target'!A:B,2,0),"")</f>
        <v/>
      </c>
    </row>
    <row r="496" spans="8:12">
      <c r="H496" t="str">
        <f t="shared" si="25"/>
        <v/>
      </c>
      <c r="I496" t="str">
        <f t="shared" si="23"/>
        <v/>
      </c>
      <c r="J496" t="str">
        <f t="shared" si="24"/>
        <v/>
      </c>
      <c r="K496" t="str">
        <f>IF($A496&lt;&gt;"",VLOOKUP($E496,'IT Structure'!A:C,3,0),"")</f>
        <v/>
      </c>
      <c r="L496" t="str">
        <f>IF($A496&lt;&gt;"",VLOOKUP($B496,'time target'!A:B,2,0),"")</f>
        <v/>
      </c>
    </row>
    <row r="497" spans="8:12">
      <c r="H497" t="str">
        <f t="shared" si="25"/>
        <v/>
      </c>
      <c r="I497" t="str">
        <f t="shared" si="23"/>
        <v/>
      </c>
      <c r="J497" t="str">
        <f t="shared" si="24"/>
        <v/>
      </c>
      <c r="K497" t="str">
        <f>IF($A497&lt;&gt;"",VLOOKUP($E497,'IT Structure'!A:C,3,0),"")</f>
        <v/>
      </c>
      <c r="L497" t="str">
        <f>IF($A497&lt;&gt;"",VLOOKUP($B497,'time target'!A:B,2,0),"")</f>
        <v/>
      </c>
    </row>
    <row r="498" spans="8:12">
      <c r="H498" t="str">
        <f t="shared" si="25"/>
        <v/>
      </c>
      <c r="I498" t="str">
        <f t="shared" si="23"/>
        <v/>
      </c>
      <c r="J498" t="str">
        <f t="shared" si="24"/>
        <v/>
      </c>
      <c r="K498" t="str">
        <f>IF($A498&lt;&gt;"",VLOOKUP($E498,'IT Structure'!A:C,3,0),"")</f>
        <v/>
      </c>
      <c r="L498" t="str">
        <f>IF($A498&lt;&gt;"",VLOOKUP($B498,'time target'!A:B,2,0),"")</f>
        <v/>
      </c>
    </row>
    <row r="499" spans="8:12">
      <c r="H499" t="str">
        <f t="shared" si="25"/>
        <v/>
      </c>
      <c r="I499" t="str">
        <f t="shared" si="23"/>
        <v/>
      </c>
      <c r="J499" t="str">
        <f t="shared" si="24"/>
        <v/>
      </c>
      <c r="K499" t="str">
        <f>IF($A499&lt;&gt;"",VLOOKUP($E499,'IT Structure'!A:C,3,0),"")</f>
        <v/>
      </c>
      <c r="L499" t="str">
        <f>IF($A499&lt;&gt;"",VLOOKUP($B499,'time target'!A:B,2,0),"")</f>
        <v/>
      </c>
    </row>
    <row r="500" spans="8:12">
      <c r="H500" t="str">
        <f t="shared" si="25"/>
        <v/>
      </c>
      <c r="I500" t="str">
        <f t="shared" si="23"/>
        <v/>
      </c>
      <c r="J500" t="str">
        <f t="shared" si="24"/>
        <v/>
      </c>
      <c r="K500" t="str">
        <f>IF($A500&lt;&gt;"",VLOOKUP($E500,'IT Structure'!A:C,3,0),"")</f>
        <v/>
      </c>
      <c r="L500" t="str">
        <f>IF($A500&lt;&gt;"",VLOOKUP($B500,'time target'!A:B,2,0),"")</f>
        <v/>
      </c>
    </row>
    <row r="501" spans="8:12">
      <c r="H501" t="str">
        <f t="shared" si="25"/>
        <v/>
      </c>
      <c r="I501" t="str">
        <f t="shared" si="23"/>
        <v/>
      </c>
      <c r="J501" t="str">
        <f t="shared" si="24"/>
        <v/>
      </c>
      <c r="K501" t="str">
        <f>IF($A501&lt;&gt;"",VLOOKUP($E501,'IT Structure'!A:C,3,0),"")</f>
        <v/>
      </c>
      <c r="L501" t="str">
        <f>IF($A501&lt;&gt;"",VLOOKUP($B501,'time target'!A:B,2,0),"")</f>
        <v/>
      </c>
    </row>
    <row r="502" spans="8:12">
      <c r="H502" t="str">
        <f t="shared" si="25"/>
        <v/>
      </c>
      <c r="I502" t="str">
        <f t="shared" si="23"/>
        <v/>
      </c>
      <c r="J502" t="str">
        <f t="shared" si="24"/>
        <v/>
      </c>
      <c r="K502" t="str">
        <f>IF($A502&lt;&gt;"",VLOOKUP($E502,'IT Structure'!A:C,3,0),"")</f>
        <v/>
      </c>
      <c r="L502" t="str">
        <f>IF($A502&lt;&gt;"",VLOOKUP($B502,'time target'!A:B,2,0),"")</f>
        <v/>
      </c>
    </row>
    <row r="503" spans="8:12">
      <c r="H503" t="str">
        <f t="shared" si="25"/>
        <v/>
      </c>
      <c r="I503" t="str">
        <f t="shared" si="23"/>
        <v/>
      </c>
      <c r="J503" t="str">
        <f t="shared" si="24"/>
        <v/>
      </c>
      <c r="K503" t="str">
        <f>IF($A503&lt;&gt;"",VLOOKUP($E503,'IT Structure'!A:C,3,0),"")</f>
        <v/>
      </c>
      <c r="L503" t="str">
        <f>IF($A503&lt;&gt;"",VLOOKUP($B503,'time target'!A:B,2,0),"")</f>
        <v/>
      </c>
    </row>
    <row r="504" spans="8:12">
      <c r="H504" t="str">
        <f t="shared" si="25"/>
        <v/>
      </c>
      <c r="I504" t="str">
        <f t="shared" si="23"/>
        <v/>
      </c>
      <c r="J504" t="str">
        <f t="shared" si="24"/>
        <v/>
      </c>
      <c r="K504" t="str">
        <f>IF($A504&lt;&gt;"",VLOOKUP($E504,'IT Structure'!A:C,3,0),"")</f>
        <v/>
      </c>
      <c r="L504" t="str">
        <f>IF($A504&lt;&gt;"",VLOOKUP($B504,'time target'!A:B,2,0),"")</f>
        <v/>
      </c>
    </row>
    <row r="505" spans="8:12">
      <c r="H505" t="str">
        <f t="shared" si="25"/>
        <v/>
      </c>
      <c r="I505" t="str">
        <f t="shared" si="23"/>
        <v/>
      </c>
      <c r="J505" t="str">
        <f t="shared" si="24"/>
        <v/>
      </c>
      <c r="K505" t="str">
        <f>IF($A505&lt;&gt;"",VLOOKUP($E505,'IT Structure'!A:C,3,0),"")</f>
        <v/>
      </c>
      <c r="L505" t="str">
        <f>IF($A505&lt;&gt;"",VLOOKUP($B505,'time target'!A:B,2,0),"")</f>
        <v/>
      </c>
    </row>
    <row r="506" spans="8:12">
      <c r="H506" t="str">
        <f t="shared" si="25"/>
        <v/>
      </c>
      <c r="I506" t="str">
        <f t="shared" si="23"/>
        <v/>
      </c>
      <c r="J506" t="str">
        <f t="shared" si="24"/>
        <v/>
      </c>
      <c r="K506" t="str">
        <f>IF($A506&lt;&gt;"",VLOOKUP($E506,'IT Structure'!A:C,3,0),"")</f>
        <v/>
      </c>
      <c r="L506" t="str">
        <f>IF($A506&lt;&gt;"",VLOOKUP($B506,'time target'!A:B,2,0),"")</f>
        <v/>
      </c>
    </row>
    <row r="507" spans="8:12">
      <c r="H507" t="str">
        <f t="shared" si="25"/>
        <v/>
      </c>
      <c r="I507" t="str">
        <f t="shared" si="23"/>
        <v/>
      </c>
      <c r="J507" t="str">
        <f t="shared" si="24"/>
        <v/>
      </c>
      <c r="K507" t="str">
        <f>IF($A507&lt;&gt;"",VLOOKUP($E507,'IT Structure'!A:C,3,0),"")</f>
        <v/>
      </c>
      <c r="L507" t="str">
        <f>IF($A507&lt;&gt;"",VLOOKUP($B507,'time target'!A:B,2,0),"")</f>
        <v/>
      </c>
    </row>
    <row r="508" spans="8:12">
      <c r="H508" t="str">
        <f t="shared" si="25"/>
        <v/>
      </c>
      <c r="I508" t="str">
        <f t="shared" si="23"/>
        <v/>
      </c>
      <c r="J508" t="str">
        <f t="shared" si="24"/>
        <v/>
      </c>
      <c r="K508" t="str">
        <f>IF($A508&lt;&gt;"",VLOOKUP($E508,'IT Structure'!A:C,3,0),"")</f>
        <v/>
      </c>
      <c r="L508" t="str">
        <f>IF($A508&lt;&gt;"",VLOOKUP($B508,'time target'!A:B,2,0),"")</f>
        <v/>
      </c>
    </row>
    <row r="509" spans="8:12">
      <c r="H509" t="str">
        <f t="shared" si="25"/>
        <v/>
      </c>
      <c r="I509" t="str">
        <f t="shared" si="23"/>
        <v/>
      </c>
      <c r="J509" t="str">
        <f t="shared" si="24"/>
        <v/>
      </c>
      <c r="K509" t="str">
        <f>IF($A509&lt;&gt;"",VLOOKUP($E509,'IT Structure'!A:C,3,0),"")</f>
        <v/>
      </c>
      <c r="L509" t="str">
        <f>IF($A509&lt;&gt;"",VLOOKUP($B509,'time target'!A:B,2,0),"")</f>
        <v/>
      </c>
    </row>
    <row r="510" spans="8:12">
      <c r="H510" t="str">
        <f t="shared" si="25"/>
        <v/>
      </c>
      <c r="I510" t="str">
        <f t="shared" si="23"/>
        <v/>
      </c>
      <c r="J510" t="str">
        <f t="shared" si="24"/>
        <v/>
      </c>
      <c r="K510" t="str">
        <f>IF($A510&lt;&gt;"",VLOOKUP($E510,'IT Structure'!A:C,3,0),"")</f>
        <v/>
      </c>
      <c r="L510" t="str">
        <f>IF($A510&lt;&gt;"",VLOOKUP($B510,'time target'!A:B,2,0),"")</f>
        <v/>
      </c>
    </row>
    <row r="511" spans="8:12">
      <c r="H511" t="str">
        <f t="shared" si="25"/>
        <v/>
      </c>
      <c r="I511" t="str">
        <f t="shared" si="23"/>
        <v/>
      </c>
      <c r="J511" t="str">
        <f t="shared" si="24"/>
        <v/>
      </c>
      <c r="K511" t="str">
        <f>IF($A511&lt;&gt;"",VLOOKUP($E511,'IT Structure'!A:C,3,0),"")</f>
        <v/>
      </c>
      <c r="L511" t="str">
        <f>IF($A511&lt;&gt;"",VLOOKUP($B511,'time target'!A:B,2,0),"")</f>
        <v/>
      </c>
    </row>
    <row r="512" spans="8:12">
      <c r="H512" t="str">
        <f t="shared" si="25"/>
        <v/>
      </c>
      <c r="I512" t="str">
        <f t="shared" si="23"/>
        <v/>
      </c>
      <c r="J512" t="str">
        <f t="shared" si="24"/>
        <v/>
      </c>
      <c r="K512" t="str">
        <f>IF($A512&lt;&gt;"",VLOOKUP($E512,'IT Structure'!A:C,3,0),"")</f>
        <v/>
      </c>
      <c r="L512" t="str">
        <f>IF($A512&lt;&gt;"",VLOOKUP($B512,'time target'!A:B,2,0),"")</f>
        <v/>
      </c>
    </row>
    <row r="513" spans="8:12">
      <c r="H513" t="str">
        <f t="shared" si="25"/>
        <v/>
      </c>
      <c r="I513" t="str">
        <f t="shared" si="23"/>
        <v/>
      </c>
      <c r="J513" t="str">
        <f t="shared" si="24"/>
        <v/>
      </c>
      <c r="K513" t="str">
        <f>IF($A513&lt;&gt;"",VLOOKUP($E513,'IT Structure'!A:C,3,0),"")</f>
        <v/>
      </c>
      <c r="L513" t="str">
        <f>IF($A513&lt;&gt;"",VLOOKUP($B513,'time target'!A:B,2,0),"")</f>
        <v/>
      </c>
    </row>
    <row r="514" spans="8:12">
      <c r="H514" t="str">
        <f t="shared" si="25"/>
        <v/>
      </c>
      <c r="I514" t="str">
        <f t="shared" si="23"/>
        <v/>
      </c>
      <c r="J514" t="str">
        <f t="shared" si="24"/>
        <v/>
      </c>
      <c r="K514" t="str">
        <f>IF($A514&lt;&gt;"",VLOOKUP($E514,'IT Structure'!A:C,3,0),"")</f>
        <v/>
      </c>
      <c r="L514" t="str">
        <f>IF($A514&lt;&gt;"",VLOOKUP($B514,'time target'!A:B,2,0),"")</f>
        <v/>
      </c>
    </row>
    <row r="515" spans="8:12">
      <c r="H515" t="str">
        <f t="shared" ref="H515:H546" si="26">IF($A515&lt;&gt;"",MONTH($G515),"")</f>
        <v/>
      </c>
      <c r="I515" t="str">
        <f t="shared" ref="I515:I563" si="27">IF($A515&lt;&gt;"",YEAR($G515),"")</f>
        <v/>
      </c>
      <c r="J515" t="str">
        <f t="shared" ref="J515:J563" si="28">IF($A515&lt;&gt;"",DAY($G515),"")</f>
        <v/>
      </c>
      <c r="K515" t="str">
        <f>IF($A515&lt;&gt;"",VLOOKUP($E515,'IT Structure'!A:C,3,0),"")</f>
        <v/>
      </c>
      <c r="L515" t="str">
        <f>IF($A515&lt;&gt;"",VLOOKUP($B515,'time target'!A:B,2,0),"")</f>
        <v/>
      </c>
    </row>
    <row r="516" spans="8:12">
      <c r="H516" t="str">
        <f t="shared" si="26"/>
        <v/>
      </c>
      <c r="I516" t="str">
        <f t="shared" si="27"/>
        <v/>
      </c>
      <c r="J516" t="str">
        <f t="shared" si="28"/>
        <v/>
      </c>
      <c r="K516" t="str">
        <f>IF($A516&lt;&gt;"",VLOOKUP($E516,'IT Structure'!A:C,3,0),"")</f>
        <v/>
      </c>
      <c r="L516" t="str">
        <f>IF($A516&lt;&gt;"",VLOOKUP($B516,'time target'!A:B,2,0),"")</f>
        <v/>
      </c>
    </row>
    <row r="517" spans="8:12">
      <c r="H517" t="str">
        <f t="shared" si="26"/>
        <v/>
      </c>
      <c r="I517" t="str">
        <f t="shared" si="27"/>
        <v/>
      </c>
      <c r="J517" t="str">
        <f t="shared" si="28"/>
        <v/>
      </c>
      <c r="K517" t="str">
        <f>IF($A517&lt;&gt;"",VLOOKUP($E517,'IT Structure'!A:C,3,0),"")</f>
        <v/>
      </c>
      <c r="L517" t="str">
        <f>IF($A517&lt;&gt;"",VLOOKUP($B517,'time target'!A:B,2,0),"")</f>
        <v/>
      </c>
    </row>
    <row r="518" spans="8:12">
      <c r="H518" t="str">
        <f t="shared" si="26"/>
        <v/>
      </c>
      <c r="I518" t="str">
        <f t="shared" si="27"/>
        <v/>
      </c>
      <c r="J518" t="str">
        <f t="shared" si="28"/>
        <v/>
      </c>
      <c r="K518" t="str">
        <f>IF($A518&lt;&gt;"",VLOOKUP($E518,'IT Structure'!A:C,3,0),"")</f>
        <v/>
      </c>
      <c r="L518" t="str">
        <f>IF($A518&lt;&gt;"",VLOOKUP($B518,'time target'!A:B,2,0),"")</f>
        <v/>
      </c>
    </row>
    <row r="519" spans="8:12">
      <c r="H519" t="str">
        <f t="shared" si="26"/>
        <v/>
      </c>
      <c r="I519" t="str">
        <f t="shared" si="27"/>
        <v/>
      </c>
      <c r="J519" t="str">
        <f t="shared" si="28"/>
        <v/>
      </c>
      <c r="K519" t="str">
        <f>IF($A519&lt;&gt;"",VLOOKUP($E519,'IT Structure'!A:C,3,0),"")</f>
        <v/>
      </c>
      <c r="L519" t="str">
        <f>IF($A519&lt;&gt;"",VLOOKUP($B519,'time target'!A:B,2,0),"")</f>
        <v/>
      </c>
    </row>
    <row r="520" spans="8:12">
      <c r="H520" t="str">
        <f t="shared" si="26"/>
        <v/>
      </c>
      <c r="I520" t="str">
        <f t="shared" si="27"/>
        <v/>
      </c>
      <c r="J520" t="str">
        <f t="shared" si="28"/>
        <v/>
      </c>
      <c r="K520" t="str">
        <f>IF($A520&lt;&gt;"",VLOOKUP($E520,'IT Structure'!A:C,3,0),"")</f>
        <v/>
      </c>
      <c r="L520" t="str">
        <f>IF($A520&lt;&gt;"",VLOOKUP($B520,'time target'!A:B,2,0),"")</f>
        <v/>
      </c>
    </row>
    <row r="521" spans="8:12">
      <c r="H521" t="str">
        <f t="shared" si="26"/>
        <v/>
      </c>
      <c r="I521" t="str">
        <f t="shared" si="27"/>
        <v/>
      </c>
      <c r="J521" t="str">
        <f t="shared" si="28"/>
        <v/>
      </c>
      <c r="K521" t="str">
        <f>IF($A521&lt;&gt;"",VLOOKUP($E521,'IT Structure'!A:C,3,0),"")</f>
        <v/>
      </c>
      <c r="L521" t="str">
        <f>IF($A521&lt;&gt;"",VLOOKUP($B521,'time target'!A:B,2,0),"")</f>
        <v/>
      </c>
    </row>
    <row r="522" spans="8:12">
      <c r="H522" t="str">
        <f t="shared" si="26"/>
        <v/>
      </c>
      <c r="I522" t="str">
        <f t="shared" si="27"/>
        <v/>
      </c>
      <c r="J522" t="str">
        <f t="shared" si="28"/>
        <v/>
      </c>
      <c r="K522" t="str">
        <f>IF($A522&lt;&gt;"",VLOOKUP($E522,'IT Structure'!A:C,3,0),"")</f>
        <v/>
      </c>
      <c r="L522" t="str">
        <f>IF($A522&lt;&gt;"",VLOOKUP($B522,'time target'!A:B,2,0),"")</f>
        <v/>
      </c>
    </row>
    <row r="523" spans="8:12">
      <c r="H523" t="str">
        <f t="shared" si="26"/>
        <v/>
      </c>
      <c r="I523" t="str">
        <f t="shared" si="27"/>
        <v/>
      </c>
      <c r="J523" t="str">
        <f t="shared" si="28"/>
        <v/>
      </c>
      <c r="K523" t="str">
        <f>IF($A523&lt;&gt;"",VLOOKUP($E523,'IT Structure'!A:C,3,0),"")</f>
        <v/>
      </c>
      <c r="L523" t="str">
        <f>IF($A523&lt;&gt;"",VLOOKUP($B523,'time target'!A:B,2,0),"")</f>
        <v/>
      </c>
    </row>
    <row r="524" spans="8:12">
      <c r="H524" t="str">
        <f t="shared" si="26"/>
        <v/>
      </c>
      <c r="I524" t="str">
        <f t="shared" si="27"/>
        <v/>
      </c>
      <c r="J524" t="str">
        <f t="shared" si="28"/>
        <v/>
      </c>
      <c r="K524" t="str">
        <f>IF($A524&lt;&gt;"",VLOOKUP($E524,'IT Structure'!A:C,3,0),"")</f>
        <v/>
      </c>
      <c r="L524" t="str">
        <f>IF($A524&lt;&gt;"",VLOOKUP($B524,'time target'!A:B,2,0),"")</f>
        <v/>
      </c>
    </row>
    <row r="525" spans="8:12">
      <c r="H525" t="str">
        <f t="shared" si="26"/>
        <v/>
      </c>
      <c r="I525" t="str">
        <f t="shared" si="27"/>
        <v/>
      </c>
      <c r="J525" t="str">
        <f t="shared" si="28"/>
        <v/>
      </c>
      <c r="K525" t="str">
        <f>IF($A525&lt;&gt;"",VLOOKUP($E525,'IT Structure'!A:C,3,0),"")</f>
        <v/>
      </c>
      <c r="L525" t="str">
        <f>IF($A525&lt;&gt;"",VLOOKUP($B525,'time target'!A:B,2,0),"")</f>
        <v/>
      </c>
    </row>
    <row r="526" spans="8:12">
      <c r="H526" t="str">
        <f t="shared" si="26"/>
        <v/>
      </c>
      <c r="I526" t="str">
        <f t="shared" si="27"/>
        <v/>
      </c>
      <c r="J526" t="str">
        <f t="shared" si="28"/>
        <v/>
      </c>
      <c r="K526" t="str">
        <f>IF($A526&lt;&gt;"",VLOOKUP($E526,'IT Structure'!A:C,3,0),"")</f>
        <v/>
      </c>
      <c r="L526" t="str">
        <f>IF($A526&lt;&gt;"",VLOOKUP($B526,'time target'!A:B,2,0),"")</f>
        <v/>
      </c>
    </row>
    <row r="527" spans="8:12">
      <c r="H527" t="str">
        <f t="shared" si="26"/>
        <v/>
      </c>
      <c r="I527" t="str">
        <f t="shared" si="27"/>
        <v/>
      </c>
      <c r="J527" t="str">
        <f t="shared" si="28"/>
        <v/>
      </c>
      <c r="K527" t="str">
        <f>IF($A527&lt;&gt;"",VLOOKUP($E527,'IT Structure'!A:C,3,0),"")</f>
        <v/>
      </c>
      <c r="L527" t="str">
        <f>IF($A527&lt;&gt;"",VLOOKUP($B527,'time target'!A:B,2,0),"")</f>
        <v/>
      </c>
    </row>
    <row r="528" spans="8:12">
      <c r="H528" t="str">
        <f t="shared" si="26"/>
        <v/>
      </c>
      <c r="I528" t="str">
        <f t="shared" si="27"/>
        <v/>
      </c>
      <c r="J528" t="str">
        <f t="shared" si="28"/>
        <v/>
      </c>
      <c r="K528" t="str">
        <f>IF($A528&lt;&gt;"",VLOOKUP($E528,'IT Structure'!A:C,3,0),"")</f>
        <v/>
      </c>
      <c r="L528" t="str">
        <f>IF($A528&lt;&gt;"",VLOOKUP($B528,'time target'!A:B,2,0),"")</f>
        <v/>
      </c>
    </row>
    <row r="529" spans="8:12">
      <c r="H529" t="str">
        <f t="shared" si="26"/>
        <v/>
      </c>
      <c r="I529" t="str">
        <f t="shared" si="27"/>
        <v/>
      </c>
      <c r="J529" t="str">
        <f t="shared" si="28"/>
        <v/>
      </c>
      <c r="K529" t="str">
        <f>IF($A529&lt;&gt;"",VLOOKUP($E529,'IT Structure'!A:C,3,0),"")</f>
        <v/>
      </c>
      <c r="L529" t="str">
        <f>IF($A529&lt;&gt;"",VLOOKUP($B529,'time target'!A:B,2,0),"")</f>
        <v/>
      </c>
    </row>
    <row r="530" spans="8:12">
      <c r="H530" t="str">
        <f t="shared" si="26"/>
        <v/>
      </c>
      <c r="I530" t="str">
        <f t="shared" si="27"/>
        <v/>
      </c>
      <c r="J530" t="str">
        <f t="shared" si="28"/>
        <v/>
      </c>
      <c r="K530" t="str">
        <f>IF($A530&lt;&gt;"",VLOOKUP($E530,'IT Structure'!A:C,3,0),"")</f>
        <v/>
      </c>
      <c r="L530" t="str">
        <f>IF($A530&lt;&gt;"",VLOOKUP($B530,'time target'!A:B,2,0),"")</f>
        <v/>
      </c>
    </row>
    <row r="531" spans="8:12">
      <c r="H531" t="str">
        <f t="shared" si="26"/>
        <v/>
      </c>
      <c r="I531" t="str">
        <f t="shared" si="27"/>
        <v/>
      </c>
      <c r="J531" t="str">
        <f t="shared" si="28"/>
        <v/>
      </c>
      <c r="K531" t="str">
        <f>IF($A531&lt;&gt;"",VLOOKUP($E531,'IT Structure'!A:C,3,0),"")</f>
        <v/>
      </c>
      <c r="L531" t="str">
        <f>IF($A531&lt;&gt;"",VLOOKUP($B531,'time target'!A:B,2,0),"")</f>
        <v/>
      </c>
    </row>
    <row r="532" spans="8:12">
      <c r="H532" t="str">
        <f t="shared" si="26"/>
        <v/>
      </c>
      <c r="I532" t="str">
        <f t="shared" si="27"/>
        <v/>
      </c>
      <c r="J532" t="str">
        <f t="shared" si="28"/>
        <v/>
      </c>
      <c r="K532" t="str">
        <f>IF($A532&lt;&gt;"",VLOOKUP($E532,'IT Structure'!A:C,3,0),"")</f>
        <v/>
      </c>
      <c r="L532" t="str">
        <f>IF($A532&lt;&gt;"",VLOOKUP($B532,'time target'!A:B,2,0),"")</f>
        <v/>
      </c>
    </row>
    <row r="533" spans="8:12">
      <c r="H533" t="str">
        <f t="shared" si="26"/>
        <v/>
      </c>
      <c r="I533" t="str">
        <f t="shared" si="27"/>
        <v/>
      </c>
      <c r="J533" t="str">
        <f t="shared" si="28"/>
        <v/>
      </c>
      <c r="K533" t="str">
        <f>IF($A533&lt;&gt;"",VLOOKUP($E533,'IT Structure'!A:C,3,0),"")</f>
        <v/>
      </c>
      <c r="L533" t="str">
        <f>IF($A533&lt;&gt;"",VLOOKUP($B533,'time target'!A:B,2,0),"")</f>
        <v/>
      </c>
    </row>
    <row r="534" spans="8:12">
      <c r="H534" t="str">
        <f t="shared" si="26"/>
        <v/>
      </c>
      <c r="I534" t="str">
        <f t="shared" si="27"/>
        <v/>
      </c>
      <c r="J534" t="str">
        <f t="shared" si="28"/>
        <v/>
      </c>
      <c r="K534" t="str">
        <f>IF($A534&lt;&gt;"",VLOOKUP($E534,'IT Structure'!A:C,3,0),"")</f>
        <v/>
      </c>
      <c r="L534" t="str">
        <f>IF($A534&lt;&gt;"",VLOOKUP($B534,'time target'!A:B,2,0),"")</f>
        <v/>
      </c>
    </row>
    <row r="535" spans="8:12">
      <c r="H535" t="str">
        <f t="shared" si="26"/>
        <v/>
      </c>
      <c r="I535" t="str">
        <f t="shared" si="27"/>
        <v/>
      </c>
      <c r="J535" t="str">
        <f t="shared" si="28"/>
        <v/>
      </c>
      <c r="K535" t="str">
        <f>IF($A535&lt;&gt;"",VLOOKUP($E535,'IT Structure'!A:C,3,0),"")</f>
        <v/>
      </c>
      <c r="L535" t="str">
        <f>IF($A535&lt;&gt;"",VLOOKUP($B535,'time target'!A:B,2,0),"")</f>
        <v/>
      </c>
    </row>
    <row r="536" spans="8:12">
      <c r="H536" t="str">
        <f t="shared" si="26"/>
        <v/>
      </c>
      <c r="I536" t="str">
        <f t="shared" si="27"/>
        <v/>
      </c>
      <c r="J536" t="str">
        <f t="shared" si="28"/>
        <v/>
      </c>
      <c r="K536" t="str">
        <f>IF($A536&lt;&gt;"",VLOOKUP($E536,'IT Structure'!A:C,3,0),"")</f>
        <v/>
      </c>
      <c r="L536" t="str">
        <f>IF($A536&lt;&gt;"",VLOOKUP($B536,'time target'!A:B,2,0),"")</f>
        <v/>
      </c>
    </row>
    <row r="537" spans="8:12">
      <c r="H537" t="str">
        <f t="shared" si="26"/>
        <v/>
      </c>
      <c r="I537" t="str">
        <f t="shared" si="27"/>
        <v/>
      </c>
      <c r="J537" t="str">
        <f t="shared" si="28"/>
        <v/>
      </c>
      <c r="K537" t="str">
        <f>IF($A537&lt;&gt;"",VLOOKUP($E537,'IT Structure'!A:C,3,0),"")</f>
        <v/>
      </c>
      <c r="L537" t="str">
        <f>IF($A537&lt;&gt;"",VLOOKUP($B537,'time target'!A:B,2,0),"")</f>
        <v/>
      </c>
    </row>
    <row r="538" spans="8:12">
      <c r="H538" t="str">
        <f t="shared" si="26"/>
        <v/>
      </c>
      <c r="I538" t="str">
        <f t="shared" si="27"/>
        <v/>
      </c>
      <c r="J538" t="str">
        <f t="shared" si="28"/>
        <v/>
      </c>
      <c r="K538" t="str">
        <f>IF($A538&lt;&gt;"",VLOOKUP($E538,'IT Structure'!A:C,3,0),"")</f>
        <v/>
      </c>
      <c r="L538" t="str">
        <f>IF($A538&lt;&gt;"",VLOOKUP($B538,'time target'!A:B,2,0),"")</f>
        <v/>
      </c>
    </row>
    <row r="539" spans="8:12">
      <c r="H539" t="str">
        <f t="shared" si="26"/>
        <v/>
      </c>
      <c r="I539" t="str">
        <f t="shared" si="27"/>
        <v/>
      </c>
      <c r="J539" t="str">
        <f t="shared" si="28"/>
        <v/>
      </c>
      <c r="K539" t="str">
        <f>IF($A539&lt;&gt;"",VLOOKUP($E539,'IT Structure'!A:C,3,0),"")</f>
        <v/>
      </c>
      <c r="L539" t="str">
        <f>IF($A539&lt;&gt;"",VLOOKUP($B539,'time target'!A:B,2,0),"")</f>
        <v/>
      </c>
    </row>
    <row r="540" spans="8:12">
      <c r="H540" t="str">
        <f t="shared" si="26"/>
        <v/>
      </c>
      <c r="I540" t="str">
        <f t="shared" si="27"/>
        <v/>
      </c>
      <c r="J540" t="str">
        <f t="shared" si="28"/>
        <v/>
      </c>
      <c r="K540" t="str">
        <f>IF($A540&lt;&gt;"",VLOOKUP($E540,'IT Structure'!A:C,3,0),"")</f>
        <v/>
      </c>
      <c r="L540" t="str">
        <f>IF($A540&lt;&gt;"",VLOOKUP($B540,'time target'!A:B,2,0),"")</f>
        <v/>
      </c>
    </row>
    <row r="541" spans="8:12">
      <c r="H541" t="str">
        <f t="shared" si="26"/>
        <v/>
      </c>
      <c r="I541" t="str">
        <f t="shared" si="27"/>
        <v/>
      </c>
      <c r="J541" t="str">
        <f t="shared" si="28"/>
        <v/>
      </c>
      <c r="K541" t="str">
        <f>IF($A541&lt;&gt;"",VLOOKUP($E541,'IT Structure'!A:C,3,0),"")</f>
        <v/>
      </c>
      <c r="L541" t="str">
        <f>IF($A541&lt;&gt;"",VLOOKUP($B541,'time target'!A:B,2,0),"")</f>
        <v/>
      </c>
    </row>
    <row r="542" spans="8:12">
      <c r="H542" t="str">
        <f t="shared" si="26"/>
        <v/>
      </c>
      <c r="I542" t="str">
        <f t="shared" si="27"/>
        <v/>
      </c>
      <c r="J542" t="str">
        <f t="shared" si="28"/>
        <v/>
      </c>
      <c r="K542" t="str">
        <f>IF($A542&lt;&gt;"",VLOOKUP($E542,'IT Structure'!A:C,3,0),"")</f>
        <v/>
      </c>
      <c r="L542" t="str">
        <f>IF($A542&lt;&gt;"",VLOOKUP($B542,'time target'!A:B,2,0),"")</f>
        <v/>
      </c>
    </row>
    <row r="543" spans="8:12">
      <c r="H543" t="str">
        <f t="shared" si="26"/>
        <v/>
      </c>
      <c r="I543" t="str">
        <f t="shared" si="27"/>
        <v/>
      </c>
      <c r="J543" t="str">
        <f t="shared" si="28"/>
        <v/>
      </c>
      <c r="K543" t="str">
        <f>IF($A543&lt;&gt;"",VLOOKUP($E543,'IT Structure'!A:C,3,0),"")</f>
        <v/>
      </c>
      <c r="L543" t="str">
        <f>IF($A543&lt;&gt;"",VLOOKUP($B543,'time target'!A:B,2,0),"")</f>
        <v/>
      </c>
    </row>
    <row r="544" spans="8:12">
      <c r="H544" t="str">
        <f t="shared" si="26"/>
        <v/>
      </c>
      <c r="I544" t="str">
        <f t="shared" si="27"/>
        <v/>
      </c>
      <c r="J544" t="str">
        <f t="shared" si="28"/>
        <v/>
      </c>
      <c r="K544" t="str">
        <f>IF($A544&lt;&gt;"",VLOOKUP($E544,'IT Structure'!A:C,3,0),"")</f>
        <v/>
      </c>
      <c r="L544" t="str">
        <f>IF($A544&lt;&gt;"",VLOOKUP($B544,'time target'!A:B,2,0),"")</f>
        <v/>
      </c>
    </row>
    <row r="545" spans="8:12">
      <c r="H545" t="str">
        <f t="shared" si="26"/>
        <v/>
      </c>
      <c r="I545" t="str">
        <f t="shared" si="27"/>
        <v/>
      </c>
      <c r="J545" t="str">
        <f t="shared" si="28"/>
        <v/>
      </c>
      <c r="K545" t="str">
        <f>IF($A545&lt;&gt;"",VLOOKUP($E545,'IT Structure'!A:C,3,0),"")</f>
        <v/>
      </c>
      <c r="L545" t="str">
        <f>IF($A545&lt;&gt;"",VLOOKUP($B545,'time target'!A:B,2,0),"")</f>
        <v/>
      </c>
    </row>
    <row r="546" spans="8:12">
      <c r="H546" t="str">
        <f t="shared" si="26"/>
        <v/>
      </c>
      <c r="I546" t="str">
        <f t="shared" si="27"/>
        <v/>
      </c>
      <c r="J546" t="str">
        <f t="shared" si="28"/>
        <v/>
      </c>
      <c r="K546" t="str">
        <f>IF($A546&lt;&gt;"",VLOOKUP($E546,'IT Structure'!A:C,3,0),"")</f>
        <v/>
      </c>
      <c r="L546" t="str">
        <f>IF($A546&lt;&gt;"",VLOOKUP($B546,'time target'!A:B,2,0),"")</f>
        <v/>
      </c>
    </row>
    <row r="547" spans="8:12">
      <c r="H547" t="str">
        <f t="shared" ref="H547:H563" si="29">IF($A547&lt;&gt;"",MONTH($G547),"")</f>
        <v/>
      </c>
      <c r="I547" t="str">
        <f t="shared" si="27"/>
        <v/>
      </c>
      <c r="J547" t="str">
        <f t="shared" si="28"/>
        <v/>
      </c>
      <c r="K547" t="str">
        <f>IF($A547&lt;&gt;"",VLOOKUP($E547,'IT Structure'!A:C,3,0),"")</f>
        <v/>
      </c>
      <c r="L547" t="str">
        <f>IF($A547&lt;&gt;"",VLOOKUP($B547,'time target'!A:B,2,0),"")</f>
        <v/>
      </c>
    </row>
    <row r="548" spans="8:12">
      <c r="H548" t="str">
        <f t="shared" si="29"/>
        <v/>
      </c>
      <c r="I548" t="str">
        <f t="shared" si="27"/>
        <v/>
      </c>
      <c r="J548" t="str">
        <f t="shared" si="28"/>
        <v/>
      </c>
      <c r="K548" t="str">
        <f>IF($A548&lt;&gt;"",VLOOKUP($E548,'IT Structure'!A:C,3,0),"")</f>
        <v/>
      </c>
      <c r="L548" t="str">
        <f>IF($A548&lt;&gt;"",VLOOKUP($B548,'time target'!A:B,2,0),"")</f>
        <v/>
      </c>
    </row>
    <row r="549" spans="8:12">
      <c r="H549" t="str">
        <f t="shared" si="29"/>
        <v/>
      </c>
      <c r="I549" t="str">
        <f t="shared" si="27"/>
        <v/>
      </c>
      <c r="J549" t="str">
        <f t="shared" si="28"/>
        <v/>
      </c>
      <c r="K549" t="str">
        <f>IF($A549&lt;&gt;"",VLOOKUP($E549,'IT Structure'!A:C,3,0),"")</f>
        <v/>
      </c>
      <c r="L549" t="str">
        <f>IF($A549&lt;&gt;"",VLOOKUP($B549,'time target'!A:B,2,0),"")</f>
        <v/>
      </c>
    </row>
    <row r="550" spans="8:12">
      <c r="H550" t="str">
        <f t="shared" si="29"/>
        <v/>
      </c>
      <c r="I550" t="str">
        <f t="shared" si="27"/>
        <v/>
      </c>
      <c r="J550" t="str">
        <f t="shared" si="28"/>
        <v/>
      </c>
      <c r="K550" t="str">
        <f>IF($A550&lt;&gt;"",VLOOKUP($E550,'IT Structure'!A:C,3,0),"")</f>
        <v/>
      </c>
      <c r="L550" t="str">
        <f>IF($A550&lt;&gt;"",VLOOKUP($B550,'time target'!A:B,2,0),"")</f>
        <v/>
      </c>
    </row>
    <row r="551" spans="8:12">
      <c r="H551" t="str">
        <f t="shared" si="29"/>
        <v/>
      </c>
      <c r="I551" t="str">
        <f t="shared" si="27"/>
        <v/>
      </c>
      <c r="J551" t="str">
        <f t="shared" si="28"/>
        <v/>
      </c>
      <c r="K551" t="str">
        <f>IF($A551&lt;&gt;"",VLOOKUP($E551,'IT Structure'!A:C,3,0),"")</f>
        <v/>
      </c>
      <c r="L551" t="str">
        <f>IF($A551&lt;&gt;"",VLOOKUP($B551,'time target'!A:B,2,0),"")</f>
        <v/>
      </c>
    </row>
    <row r="552" spans="8:12">
      <c r="H552" t="str">
        <f t="shared" si="29"/>
        <v/>
      </c>
      <c r="I552" t="str">
        <f t="shared" si="27"/>
        <v/>
      </c>
      <c r="J552" t="str">
        <f t="shared" si="28"/>
        <v/>
      </c>
      <c r="K552" t="str">
        <f>IF($A552&lt;&gt;"",VLOOKUP($E552,'IT Structure'!A:C,3,0),"")</f>
        <v/>
      </c>
      <c r="L552" t="str">
        <f>IF($A552&lt;&gt;"",VLOOKUP($B552,'time target'!A:B,2,0),"")</f>
        <v/>
      </c>
    </row>
    <row r="553" spans="8:12">
      <c r="H553" t="str">
        <f t="shared" si="29"/>
        <v/>
      </c>
      <c r="I553" t="str">
        <f t="shared" si="27"/>
        <v/>
      </c>
      <c r="J553" t="str">
        <f t="shared" si="28"/>
        <v/>
      </c>
      <c r="K553" t="str">
        <f>IF($A553&lt;&gt;"",VLOOKUP($E553,'IT Structure'!A:C,3,0),"")</f>
        <v/>
      </c>
      <c r="L553" t="str">
        <f>IF($A553&lt;&gt;"",VLOOKUP($B553,'time target'!A:B,2,0),"")</f>
        <v/>
      </c>
    </row>
    <row r="554" spans="8:12">
      <c r="H554" t="str">
        <f t="shared" si="29"/>
        <v/>
      </c>
      <c r="I554" t="str">
        <f t="shared" si="27"/>
        <v/>
      </c>
      <c r="J554" t="str">
        <f t="shared" si="28"/>
        <v/>
      </c>
      <c r="K554" t="str">
        <f>IF($A554&lt;&gt;"",VLOOKUP($E554,'IT Structure'!A:C,3,0),"")</f>
        <v/>
      </c>
      <c r="L554" t="str">
        <f>IF($A554&lt;&gt;"",VLOOKUP($B554,'time target'!A:B,2,0),"")</f>
        <v/>
      </c>
    </row>
    <row r="555" spans="8:12">
      <c r="H555" t="str">
        <f t="shared" si="29"/>
        <v/>
      </c>
      <c r="I555" t="str">
        <f t="shared" si="27"/>
        <v/>
      </c>
      <c r="J555" t="str">
        <f t="shared" si="28"/>
        <v/>
      </c>
      <c r="K555" t="str">
        <f>IF($A555&lt;&gt;"",VLOOKUP($E555,'IT Structure'!A:C,3,0),"")</f>
        <v/>
      </c>
      <c r="L555" t="str">
        <f>IF($A555&lt;&gt;"",VLOOKUP($B555,'time target'!A:B,2,0),"")</f>
        <v/>
      </c>
    </row>
    <row r="556" spans="8:12">
      <c r="H556" t="str">
        <f t="shared" si="29"/>
        <v/>
      </c>
      <c r="I556" t="str">
        <f t="shared" si="27"/>
        <v/>
      </c>
      <c r="J556" t="str">
        <f t="shared" si="28"/>
        <v/>
      </c>
      <c r="K556" t="str">
        <f>IF($A556&lt;&gt;"",VLOOKUP($E556,'IT Structure'!A:C,3,0),"")</f>
        <v/>
      </c>
      <c r="L556" t="str">
        <f>IF($A556&lt;&gt;"",VLOOKUP($B556,'time target'!A:B,2,0),"")</f>
        <v/>
      </c>
    </row>
    <row r="557" spans="8:12">
      <c r="H557" t="str">
        <f t="shared" si="29"/>
        <v/>
      </c>
      <c r="I557" t="str">
        <f t="shared" si="27"/>
        <v/>
      </c>
      <c r="J557" t="str">
        <f t="shared" si="28"/>
        <v/>
      </c>
      <c r="K557" t="str">
        <f>IF($A557&lt;&gt;"",VLOOKUP($E557,'IT Structure'!A:C,3,0),"")</f>
        <v/>
      </c>
      <c r="L557" t="str">
        <f>IF($A557&lt;&gt;"",VLOOKUP($B557,'time target'!A:B,2,0),"")</f>
        <v/>
      </c>
    </row>
    <row r="558" spans="8:12">
      <c r="H558" t="str">
        <f t="shared" si="29"/>
        <v/>
      </c>
      <c r="I558" t="str">
        <f t="shared" si="27"/>
        <v/>
      </c>
      <c r="J558" t="str">
        <f t="shared" si="28"/>
        <v/>
      </c>
      <c r="K558" t="str">
        <f>IF($A558&lt;&gt;"",VLOOKUP($E558,'IT Structure'!A:C,3,0),"")</f>
        <v/>
      </c>
      <c r="L558" t="str">
        <f>IF($A558&lt;&gt;"",VLOOKUP($B558,'time target'!A:B,2,0),"")</f>
        <v/>
      </c>
    </row>
    <row r="559" spans="8:12">
      <c r="H559" t="str">
        <f t="shared" si="29"/>
        <v/>
      </c>
      <c r="I559" t="str">
        <f t="shared" si="27"/>
        <v/>
      </c>
      <c r="J559" t="str">
        <f t="shared" si="28"/>
        <v/>
      </c>
      <c r="K559" t="str">
        <f>IF($A559&lt;&gt;"",VLOOKUP($E559,'IT Structure'!A:C,3,0),"")</f>
        <v/>
      </c>
      <c r="L559" t="str">
        <f>IF($A559&lt;&gt;"",VLOOKUP($B559,'time target'!A:B,2,0),"")</f>
        <v/>
      </c>
    </row>
    <row r="560" spans="8:12">
      <c r="H560" t="str">
        <f t="shared" si="29"/>
        <v/>
      </c>
      <c r="I560" t="str">
        <f t="shared" si="27"/>
        <v/>
      </c>
      <c r="J560" t="str">
        <f t="shared" si="28"/>
        <v/>
      </c>
      <c r="K560" t="str">
        <f>IF($A560&lt;&gt;"",VLOOKUP($E560,'IT Structure'!A:C,3,0),"")</f>
        <v/>
      </c>
      <c r="L560" t="str">
        <f>IF($A560&lt;&gt;"",VLOOKUP($B560,'time target'!A:B,2,0),"")</f>
        <v/>
      </c>
    </row>
    <row r="561" spans="8:12">
      <c r="H561" t="str">
        <f t="shared" si="29"/>
        <v/>
      </c>
      <c r="I561" t="str">
        <f t="shared" si="27"/>
        <v/>
      </c>
      <c r="J561" t="str">
        <f t="shared" si="28"/>
        <v/>
      </c>
      <c r="K561" t="str">
        <f>IF($A561&lt;&gt;"",VLOOKUP($E561,'IT Structure'!A:C,3,0),"")</f>
        <v/>
      </c>
      <c r="L561" t="str">
        <f>IF($A561&lt;&gt;"",VLOOKUP($B561,'time target'!A:B,2,0),"")</f>
        <v/>
      </c>
    </row>
    <row r="562" spans="8:12">
      <c r="H562" t="str">
        <f t="shared" si="29"/>
        <v/>
      </c>
      <c r="I562" t="str">
        <f t="shared" si="27"/>
        <v/>
      </c>
      <c r="J562" t="str">
        <f t="shared" si="28"/>
        <v/>
      </c>
      <c r="K562" t="str">
        <f>IF($A562&lt;&gt;"",VLOOKUP($E562,'IT Structure'!A:C,3,0),"")</f>
        <v/>
      </c>
      <c r="L562" t="str">
        <f>IF($A562&lt;&gt;"",VLOOKUP($B562,'time target'!A:B,2,0),"")</f>
        <v/>
      </c>
    </row>
    <row r="563" spans="8:12">
      <c r="H563" t="str">
        <f t="shared" si="29"/>
        <v/>
      </c>
      <c r="I563" t="str">
        <f t="shared" si="27"/>
        <v/>
      </c>
      <c r="J563" t="str">
        <f t="shared" si="28"/>
        <v/>
      </c>
      <c r="K563" t="str">
        <f>IF($A563&lt;&gt;"",VLOOKUP($E563,'IT Structure'!A:C,3,0),"")</f>
        <v/>
      </c>
      <c r="L563" t="str">
        <f>IF($A563&lt;&gt;"",VLOOKUP($B563,'time target'!A:B,2,0),"")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7"/>
  <sheetViews>
    <sheetView workbookViewId="0">
      <selection activeCell="F22" sqref="F22"/>
    </sheetView>
  </sheetViews>
  <sheetFormatPr defaultColWidth="9.140625" defaultRowHeight="15"/>
  <cols>
    <col min="1" max="1" width="20.140625" style="2" bestFit="1" customWidth="1"/>
    <col min="2" max="2" width="15.5703125" style="2" customWidth="1"/>
    <col min="3" max="3" width="9.140625" style="2"/>
    <col min="4" max="4" width="13" style="2" customWidth="1"/>
    <col min="5" max="16384" width="9.140625" style="2"/>
  </cols>
  <sheetData>
    <row r="1" spans="1:4">
      <c r="A1" s="2" t="s">
        <v>135</v>
      </c>
      <c r="B1" s="2" t="s">
        <v>53</v>
      </c>
      <c r="C1" s="2" t="s">
        <v>54</v>
      </c>
      <c r="D1" s="2" t="s">
        <v>55</v>
      </c>
    </row>
    <row r="2" spans="1:4">
      <c r="A2" s="1" t="s">
        <v>57</v>
      </c>
      <c r="B2" s="1">
        <v>20.75</v>
      </c>
      <c r="C2" s="1">
        <v>8</v>
      </c>
      <c r="D2" s="1">
        <f t="shared" ref="D2:D13" si="0">B2*C2</f>
        <v>166</v>
      </c>
    </row>
    <row r="3" spans="1:4">
      <c r="A3" s="1" t="s">
        <v>48</v>
      </c>
      <c r="B3" s="1">
        <v>20.75</v>
      </c>
      <c r="C3" s="1">
        <v>8</v>
      </c>
      <c r="D3" s="1">
        <f t="shared" si="0"/>
        <v>166</v>
      </c>
    </row>
    <row r="4" spans="1:4">
      <c r="A4" s="1" t="s">
        <v>59</v>
      </c>
      <c r="B4" s="1">
        <v>20.75</v>
      </c>
      <c r="C4" s="1">
        <v>8</v>
      </c>
      <c r="D4" s="1">
        <f t="shared" si="0"/>
        <v>166</v>
      </c>
    </row>
    <row r="5" spans="1:4">
      <c r="A5" s="1" t="s">
        <v>60</v>
      </c>
      <c r="B5" s="1">
        <v>21.75</v>
      </c>
      <c r="C5" s="1">
        <v>8</v>
      </c>
      <c r="D5" s="1">
        <f t="shared" si="0"/>
        <v>174</v>
      </c>
    </row>
    <row r="6" spans="1:4">
      <c r="A6" s="1" t="s">
        <v>61</v>
      </c>
      <c r="B6" s="1">
        <v>21.75</v>
      </c>
      <c r="C6" s="1">
        <v>8</v>
      </c>
      <c r="D6" s="1">
        <f>B6*C6</f>
        <v>174</v>
      </c>
    </row>
    <row r="7" spans="1:4">
      <c r="A7" s="1" t="s">
        <v>62</v>
      </c>
      <c r="B7" s="1">
        <v>19.75</v>
      </c>
      <c r="C7" s="1">
        <v>8</v>
      </c>
      <c r="D7" s="1">
        <f t="shared" si="0"/>
        <v>158</v>
      </c>
    </row>
    <row r="8" spans="1:4">
      <c r="A8" s="1" t="s">
        <v>63</v>
      </c>
      <c r="B8" s="1">
        <v>18.75</v>
      </c>
      <c r="C8" s="1">
        <v>8</v>
      </c>
      <c r="D8" s="1">
        <f t="shared" si="0"/>
        <v>150</v>
      </c>
    </row>
    <row r="9" spans="1:4">
      <c r="A9" s="1" t="s">
        <v>64</v>
      </c>
      <c r="B9" s="1">
        <v>21.75</v>
      </c>
      <c r="C9" s="1">
        <v>8</v>
      </c>
      <c r="D9" s="1">
        <f t="shared" si="0"/>
        <v>174</v>
      </c>
    </row>
    <row r="10" spans="1:4">
      <c r="A10" s="1" t="s">
        <v>65</v>
      </c>
      <c r="B10" s="1">
        <v>21.75</v>
      </c>
      <c r="C10" s="1">
        <v>8</v>
      </c>
      <c r="D10" s="1">
        <f t="shared" si="0"/>
        <v>174</v>
      </c>
    </row>
    <row r="11" spans="1:4">
      <c r="A11" s="1" t="s">
        <v>58</v>
      </c>
      <c r="B11" s="1">
        <v>20.75</v>
      </c>
      <c r="C11" s="1">
        <v>8</v>
      </c>
      <c r="D11" s="1">
        <f t="shared" si="0"/>
        <v>166</v>
      </c>
    </row>
    <row r="12" spans="1:4">
      <c r="A12" s="1" t="s">
        <v>66</v>
      </c>
      <c r="B12" s="2">
        <f>21.75-3</f>
        <v>18.75</v>
      </c>
      <c r="C12" s="2">
        <v>8</v>
      </c>
      <c r="D12" s="1">
        <f t="shared" si="0"/>
        <v>150</v>
      </c>
    </row>
    <row r="13" spans="1:4">
      <c r="A13" t="s">
        <v>92</v>
      </c>
      <c r="B13" s="2">
        <v>23</v>
      </c>
      <c r="C13" s="2">
        <v>8</v>
      </c>
      <c r="D13" s="1">
        <f t="shared" si="0"/>
        <v>184</v>
      </c>
    </row>
    <row r="18" spans="1:2">
      <c r="A18" t="s">
        <v>1</v>
      </c>
      <c r="B18" t="s">
        <v>36</v>
      </c>
    </row>
    <row r="19" spans="1:2">
      <c r="A19" t="s">
        <v>6</v>
      </c>
      <c r="B19" t="s">
        <v>50</v>
      </c>
    </row>
    <row r="20" spans="1:2">
      <c r="A20" t="s">
        <v>15</v>
      </c>
      <c r="B20" t="s">
        <v>50</v>
      </c>
    </row>
    <row r="21" spans="1:2">
      <c r="A21" t="s">
        <v>33</v>
      </c>
      <c r="B21" t="s">
        <v>50</v>
      </c>
    </row>
    <row r="22" spans="1:2">
      <c r="A22" t="s">
        <v>23</v>
      </c>
      <c r="B22" t="s">
        <v>50</v>
      </c>
    </row>
    <row r="23" spans="1:2">
      <c r="A23" t="s">
        <v>20</v>
      </c>
      <c r="B23" t="s">
        <v>56</v>
      </c>
    </row>
    <row r="24" spans="1:2">
      <c r="A24" t="s">
        <v>16</v>
      </c>
      <c r="B24" t="s">
        <v>50</v>
      </c>
    </row>
    <row r="25" spans="1:2">
      <c r="A25" t="s">
        <v>26</v>
      </c>
      <c r="B25" t="s">
        <v>56</v>
      </c>
    </row>
    <row r="26" spans="1:2">
      <c r="A26" t="s">
        <v>56</v>
      </c>
      <c r="B26" t="s">
        <v>56</v>
      </c>
    </row>
    <row r="27" spans="1:2">
      <c r="A27" t="s">
        <v>23</v>
      </c>
      <c r="B27" t="s">
        <v>56</v>
      </c>
    </row>
    <row r="28" spans="1:2">
      <c r="A28" t="s">
        <v>67</v>
      </c>
      <c r="B28" t="s">
        <v>50</v>
      </c>
    </row>
    <row r="31" spans="1:2">
      <c r="A31" s="2" t="s">
        <v>136</v>
      </c>
      <c r="B31" s="2" t="s">
        <v>137</v>
      </c>
    </row>
    <row r="32" spans="1:2">
      <c r="A32" s="4" t="s">
        <v>83</v>
      </c>
      <c r="B32" s="3">
        <v>0.85</v>
      </c>
    </row>
    <row r="33" spans="1:2">
      <c r="A33" s="4" t="s">
        <v>84</v>
      </c>
      <c r="B33" s="3">
        <v>0.85</v>
      </c>
    </row>
    <row r="34" spans="1:2">
      <c r="A34" s="4" t="s">
        <v>86</v>
      </c>
      <c r="B34" s="3">
        <v>0.5</v>
      </c>
    </row>
    <row r="35" spans="1:2">
      <c r="A35" s="4" t="s">
        <v>127</v>
      </c>
      <c r="B35" s="3">
        <v>0.5</v>
      </c>
    </row>
    <row r="36" spans="1:2">
      <c r="A36" s="4" t="s">
        <v>87</v>
      </c>
      <c r="B36" s="3">
        <v>0.85</v>
      </c>
    </row>
    <row r="37" spans="1:2">
      <c r="A37" s="4" t="s">
        <v>85</v>
      </c>
      <c r="B37" s="3">
        <v>0.85</v>
      </c>
    </row>
  </sheetData>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40"/>
  <sheetViews>
    <sheetView workbookViewId="0">
      <selection activeCell="G9" sqref="G9"/>
    </sheetView>
  </sheetViews>
  <sheetFormatPr defaultRowHeight="15"/>
  <cols>
    <col min="1" max="1" width="20.85546875" bestFit="1" customWidth="1"/>
    <col min="2" max="2" width="14.5703125" bestFit="1" customWidth="1"/>
    <col min="3" max="3" width="16.140625" bestFit="1" customWidth="1"/>
    <col min="5" max="5" width="15.28515625" bestFit="1" customWidth="1"/>
    <col min="6" max="6" width="13.42578125" bestFit="1" customWidth="1"/>
  </cols>
  <sheetData>
    <row r="1" spans="1:5">
      <c r="A1" t="s">
        <v>80</v>
      </c>
      <c r="B1" t="s">
        <v>75</v>
      </c>
      <c r="C1" t="s">
        <v>82</v>
      </c>
      <c r="D1" t="s">
        <v>126</v>
      </c>
      <c r="E1" t="s">
        <v>105</v>
      </c>
    </row>
    <row r="2" spans="1:5">
      <c r="A2" t="s">
        <v>32</v>
      </c>
      <c r="B2" t="s">
        <v>76</v>
      </c>
      <c r="C2" t="s">
        <v>83</v>
      </c>
      <c r="D2">
        <f>VLOOKUP(C2, 'time target'!$A$32:$B$37, 2, FALSE)</f>
        <v>0.85</v>
      </c>
      <c r="E2" s="75">
        <v>42226</v>
      </c>
    </row>
    <row r="3" spans="1:5">
      <c r="A3" t="s">
        <v>24</v>
      </c>
      <c r="B3" t="s">
        <v>9</v>
      </c>
      <c r="C3" t="s">
        <v>85</v>
      </c>
      <c r="D3">
        <f>VLOOKUP(C3, 'time target'!$A$32:$B$37, 2, FALSE)</f>
        <v>0.85</v>
      </c>
      <c r="E3" s="74" t="s">
        <v>99</v>
      </c>
    </row>
    <row r="4" spans="1:5">
      <c r="A4" t="s">
        <v>9</v>
      </c>
      <c r="B4" t="s">
        <v>9</v>
      </c>
      <c r="C4" t="s">
        <v>85</v>
      </c>
      <c r="D4">
        <f>VLOOKUP(C4, 'time target'!$A$32:$B$37, 2, FALSE)</f>
        <v>0.85</v>
      </c>
      <c r="E4" s="75">
        <v>42262</v>
      </c>
    </row>
    <row r="5" spans="1:5">
      <c r="A5" t="s">
        <v>19</v>
      </c>
      <c r="B5" t="s">
        <v>9</v>
      </c>
      <c r="C5" t="s">
        <v>85</v>
      </c>
      <c r="D5">
        <f>VLOOKUP(C5, 'time target'!$A$32:$B$37, 2, FALSE)</f>
        <v>0.85</v>
      </c>
      <c r="E5" s="75">
        <v>41932</v>
      </c>
    </row>
    <row r="6" spans="1:5">
      <c r="A6" t="s">
        <v>22</v>
      </c>
      <c r="B6" t="s">
        <v>77</v>
      </c>
      <c r="C6" t="s">
        <v>86</v>
      </c>
      <c r="D6">
        <f>VLOOKUP(C6, 'time target'!$A$32:$B$37, 2, FALSE)</f>
        <v>0.5</v>
      </c>
      <c r="E6" s="75">
        <v>42205</v>
      </c>
    </row>
    <row r="7" spans="1:5">
      <c r="A7" t="s">
        <v>28</v>
      </c>
      <c r="B7" t="s">
        <v>28</v>
      </c>
      <c r="C7" t="s">
        <v>127</v>
      </c>
      <c r="D7">
        <f>VLOOKUP(C7, 'time target'!$A$32:$B$37, 2, FALSE)</f>
        <v>0.5</v>
      </c>
      <c r="E7" s="75">
        <v>42240</v>
      </c>
    </row>
    <row r="8" spans="1:5">
      <c r="A8" t="s">
        <v>44</v>
      </c>
      <c r="B8" t="s">
        <v>76</v>
      </c>
      <c r="C8" t="s">
        <v>83</v>
      </c>
      <c r="D8">
        <f>VLOOKUP(C8, 'time target'!$A$32:$B$37, 2, FALSE)</f>
        <v>0.85</v>
      </c>
    </row>
    <row r="9" spans="1:5">
      <c r="A9" t="s">
        <v>18</v>
      </c>
      <c r="B9" t="s">
        <v>9</v>
      </c>
      <c r="C9" t="s">
        <v>85</v>
      </c>
      <c r="D9">
        <f>VLOOKUP(C9, 'time target'!$A$32:$B$37, 2, FALSE)</f>
        <v>0.85</v>
      </c>
      <c r="E9" s="74" t="s">
        <v>98</v>
      </c>
    </row>
    <row r="10" spans="1:5">
      <c r="A10" t="s">
        <v>14</v>
      </c>
      <c r="B10" t="s">
        <v>77</v>
      </c>
      <c r="C10" t="s">
        <v>84</v>
      </c>
      <c r="D10">
        <f>VLOOKUP(C10, 'time target'!$A$32:$B$37, 2, FALSE)</f>
        <v>0.85</v>
      </c>
      <c r="E10" s="75">
        <v>42135</v>
      </c>
    </row>
    <row r="11" spans="1:5">
      <c r="A11" t="s">
        <v>40</v>
      </c>
      <c r="B11" t="s">
        <v>9</v>
      </c>
      <c r="C11" t="s">
        <v>85</v>
      </c>
      <c r="D11">
        <f>VLOOKUP(C11, 'time target'!$A$32:$B$37, 2, FALSE)</f>
        <v>0.85</v>
      </c>
    </row>
    <row r="12" spans="1:5">
      <c r="A12" t="s">
        <v>7</v>
      </c>
      <c r="B12" t="s">
        <v>77</v>
      </c>
      <c r="C12" t="s">
        <v>86</v>
      </c>
      <c r="D12">
        <f>VLOOKUP(C12, 'time target'!$A$32:$B$37, 2, FALSE)</f>
        <v>0.5</v>
      </c>
      <c r="E12" s="75">
        <v>42180</v>
      </c>
    </row>
    <row r="13" spans="1:5">
      <c r="A13" t="s">
        <v>17</v>
      </c>
      <c r="B13" t="s">
        <v>77</v>
      </c>
      <c r="C13" t="s">
        <v>84</v>
      </c>
      <c r="D13">
        <f>VLOOKUP(C13, 'time target'!$A$32:$B$37, 2, FALSE)</f>
        <v>0.85</v>
      </c>
      <c r="E13" s="75">
        <v>41169</v>
      </c>
    </row>
    <row r="14" spans="1:5">
      <c r="A14" t="s">
        <v>25</v>
      </c>
      <c r="B14" t="s">
        <v>77</v>
      </c>
      <c r="C14" t="s">
        <v>84</v>
      </c>
      <c r="D14">
        <f>VLOOKUP(C14, 'time target'!$A$32:$B$37, 2, FALSE)</f>
        <v>0.85</v>
      </c>
      <c r="E14" s="75">
        <v>42268</v>
      </c>
    </row>
    <row r="15" spans="1:5">
      <c r="A15" t="s">
        <v>8</v>
      </c>
      <c r="B15" t="s">
        <v>77</v>
      </c>
      <c r="C15" t="s">
        <v>84</v>
      </c>
      <c r="D15">
        <f>VLOOKUP(C15, 'time target'!$A$32:$B$37, 2, FALSE)</f>
        <v>0.85</v>
      </c>
      <c r="E15" s="75">
        <v>42123</v>
      </c>
    </row>
    <row r="16" spans="1:5">
      <c r="A16" t="s">
        <v>27</v>
      </c>
      <c r="B16" t="s">
        <v>76</v>
      </c>
      <c r="C16" t="s">
        <v>83</v>
      </c>
      <c r="D16">
        <f>VLOOKUP(C16, 'time target'!$A$32:$B$37, 2, FALSE)</f>
        <v>0.85</v>
      </c>
      <c r="E16" s="75">
        <v>41372</v>
      </c>
    </row>
    <row r="17" spans="1:5">
      <c r="A17" t="s">
        <v>29</v>
      </c>
      <c r="B17" t="s">
        <v>28</v>
      </c>
      <c r="C17" t="s">
        <v>127</v>
      </c>
      <c r="D17">
        <f>VLOOKUP(C17, 'time target'!$A$32:$B$37, 2, FALSE)</f>
        <v>0.5</v>
      </c>
      <c r="E17" s="74" t="s">
        <v>97</v>
      </c>
    </row>
    <row r="18" spans="1:5">
      <c r="A18" t="s">
        <v>41</v>
      </c>
      <c r="B18" t="s">
        <v>77</v>
      </c>
      <c r="C18" t="s">
        <v>84</v>
      </c>
      <c r="D18">
        <f>VLOOKUP(C18, 'time target'!$A$32:$B$37, 2, FALSE)</f>
        <v>0.85</v>
      </c>
    </row>
    <row r="19" spans="1:5">
      <c r="A19" t="s">
        <v>38</v>
      </c>
      <c r="B19" t="s">
        <v>77</v>
      </c>
      <c r="C19" t="s">
        <v>84</v>
      </c>
      <c r="D19">
        <f>VLOOKUP(C19, 'time target'!$A$32:$B$37, 2, FALSE)</f>
        <v>0.85</v>
      </c>
    </row>
    <row r="20" spans="1:5">
      <c r="A20" t="s">
        <v>43</v>
      </c>
      <c r="B20" t="s">
        <v>77</v>
      </c>
      <c r="C20" t="s">
        <v>84</v>
      </c>
      <c r="D20">
        <f>VLOOKUP(C20, 'time target'!$A$32:$B$37, 2, FALSE)</f>
        <v>0.85</v>
      </c>
    </row>
    <row r="21" spans="1:5">
      <c r="A21" t="s">
        <v>11</v>
      </c>
      <c r="B21" t="s">
        <v>9</v>
      </c>
      <c r="C21" t="s">
        <v>85</v>
      </c>
      <c r="D21">
        <f>VLOOKUP(C21, 'time target'!$A$32:$B$37, 2, FALSE)</f>
        <v>0.85</v>
      </c>
      <c r="E21" s="75">
        <v>42170</v>
      </c>
    </row>
    <row r="22" spans="1:5">
      <c r="A22" t="s">
        <v>35</v>
      </c>
      <c r="B22" t="s">
        <v>76</v>
      </c>
      <c r="C22" t="s">
        <v>83</v>
      </c>
      <c r="D22">
        <f>VLOOKUP(C22, 'time target'!$A$32:$B$37, 2, FALSE)</f>
        <v>0.85</v>
      </c>
      <c r="E22" s="75">
        <v>42061</v>
      </c>
    </row>
    <row r="23" spans="1:5">
      <c r="A23" t="s">
        <v>30</v>
      </c>
      <c r="B23" t="s">
        <v>77</v>
      </c>
      <c r="C23" t="s">
        <v>84</v>
      </c>
      <c r="D23">
        <f>VLOOKUP(C23, 'time target'!$A$32:$B$37, 2, FALSE)</f>
        <v>0.85</v>
      </c>
      <c r="E23" s="75">
        <v>42207</v>
      </c>
    </row>
    <row r="24" spans="1:5">
      <c r="A24" t="s">
        <v>47</v>
      </c>
      <c r="B24" t="s">
        <v>28</v>
      </c>
      <c r="C24" t="s">
        <v>127</v>
      </c>
      <c r="D24">
        <f>VLOOKUP(C24, 'time target'!$A$32:$B$37, 2, FALSE)</f>
        <v>0.5</v>
      </c>
    </row>
    <row r="25" spans="1:5">
      <c r="A25" t="s">
        <v>42</v>
      </c>
      <c r="B25" t="s">
        <v>77</v>
      </c>
      <c r="C25" t="s">
        <v>84</v>
      </c>
      <c r="D25">
        <f>VLOOKUP(C25, 'time target'!$A$32:$B$37, 2, FALSE)</f>
        <v>0.85</v>
      </c>
      <c r="E25" s="75">
        <v>42339</v>
      </c>
    </row>
    <row r="26" spans="1:5">
      <c r="A26" t="s">
        <v>21</v>
      </c>
      <c r="B26" t="s">
        <v>77</v>
      </c>
      <c r="C26" t="s">
        <v>86</v>
      </c>
      <c r="D26">
        <f>VLOOKUP(C26, 'time target'!$A$32:$B$37, 2, FALSE)</f>
        <v>0.5</v>
      </c>
      <c r="E26" s="75">
        <v>42247</v>
      </c>
    </row>
    <row r="27" spans="1:5">
      <c r="A27" t="s">
        <v>39</v>
      </c>
      <c r="B27" t="s">
        <v>78</v>
      </c>
      <c r="C27" t="s">
        <v>87</v>
      </c>
      <c r="D27">
        <f>VLOOKUP(C27, 'time target'!$A$32:$B$37, 2, FALSE)</f>
        <v>0.85</v>
      </c>
    </row>
    <row r="28" spans="1:5">
      <c r="A28" t="s">
        <v>79</v>
      </c>
      <c r="B28" t="s">
        <v>9</v>
      </c>
      <c r="C28" t="s">
        <v>85</v>
      </c>
      <c r="D28">
        <f>VLOOKUP(C28, 'time target'!$A$32:$B$37, 2, FALSE)</f>
        <v>0.85</v>
      </c>
    </row>
    <row r="29" spans="1:5">
      <c r="A29" t="s">
        <v>12</v>
      </c>
      <c r="B29" t="s">
        <v>77</v>
      </c>
      <c r="C29" t="s">
        <v>84</v>
      </c>
      <c r="D29">
        <f>VLOOKUP(C29, 'time target'!$A$32:$B$37, 2, FALSE)</f>
        <v>0.85</v>
      </c>
      <c r="E29" s="75">
        <v>42150</v>
      </c>
    </row>
    <row r="30" spans="1:5">
      <c r="A30" t="s">
        <v>10</v>
      </c>
      <c r="B30" t="s">
        <v>77</v>
      </c>
      <c r="C30" t="s">
        <v>84</v>
      </c>
      <c r="D30">
        <f>VLOOKUP(C30, 'time target'!$A$32:$B$37, 2, FALSE)</f>
        <v>0.85</v>
      </c>
      <c r="E30" s="75">
        <v>42184</v>
      </c>
    </row>
    <row r="31" spans="1:5">
      <c r="A31" t="s">
        <v>34</v>
      </c>
      <c r="B31" t="s">
        <v>76</v>
      </c>
      <c r="C31" t="s">
        <v>83</v>
      </c>
      <c r="D31">
        <f>VLOOKUP(C31, 'time target'!$A$32:$B$37, 2, FALSE)</f>
        <v>0.85</v>
      </c>
      <c r="E31" s="75">
        <v>42233</v>
      </c>
    </row>
    <row r="32" spans="1:5">
      <c r="A32" t="s">
        <v>45</v>
      </c>
      <c r="B32" t="s">
        <v>28</v>
      </c>
      <c r="C32" t="s">
        <v>127</v>
      </c>
      <c r="D32">
        <f>VLOOKUP(C32, 'time target'!$A$32:$B$37, 2, FALSE)</f>
        <v>0.5</v>
      </c>
    </row>
    <row r="33" spans="1:5">
      <c r="A33" t="s">
        <v>49</v>
      </c>
      <c r="B33" t="s">
        <v>77</v>
      </c>
      <c r="C33" t="s">
        <v>84</v>
      </c>
      <c r="D33">
        <f>VLOOKUP(C33, 'time target'!$A$32:$B$37, 2, FALSE)</f>
        <v>0.85</v>
      </c>
      <c r="E33" s="75">
        <v>42184</v>
      </c>
    </row>
    <row r="34" spans="1:5">
      <c r="A34" t="s">
        <v>81</v>
      </c>
      <c r="B34" t="s">
        <v>77</v>
      </c>
      <c r="C34" t="s">
        <v>84</v>
      </c>
      <c r="D34">
        <f>VLOOKUP(C34, 'time target'!$A$32:$B$37, 2, FALSE)</f>
        <v>0.85</v>
      </c>
      <c r="E34" s="75">
        <v>42289</v>
      </c>
    </row>
    <row r="35" spans="1:5">
      <c r="A35" t="s">
        <v>46</v>
      </c>
      <c r="B35" t="s">
        <v>78</v>
      </c>
      <c r="C35" t="s">
        <v>87</v>
      </c>
      <c r="D35">
        <f>VLOOKUP(C35, 'time target'!$A$32:$B$37, 2, FALSE)</f>
        <v>0.85</v>
      </c>
    </row>
    <row r="36" spans="1:5">
      <c r="A36" t="s">
        <v>51</v>
      </c>
      <c r="B36" t="s">
        <v>28</v>
      </c>
      <c r="C36" t="s">
        <v>127</v>
      </c>
      <c r="D36">
        <f>VLOOKUP(C36, 'time target'!$A$32:$B$37, 2, FALSE)</f>
        <v>0.5</v>
      </c>
    </row>
    <row r="37" spans="1:5">
      <c r="A37" t="s">
        <v>13</v>
      </c>
      <c r="B37" t="s">
        <v>9</v>
      </c>
      <c r="C37" t="s">
        <v>85</v>
      </c>
      <c r="D37">
        <f>VLOOKUP(C37, 'time target'!$A$32:$B$37, 2, FALSE)</f>
        <v>0.85</v>
      </c>
      <c r="E37" s="75">
        <v>42226</v>
      </c>
    </row>
    <row r="38" spans="1:5">
      <c r="A38" t="s">
        <v>31</v>
      </c>
      <c r="B38" t="s">
        <v>76</v>
      </c>
      <c r="C38" t="s">
        <v>83</v>
      </c>
      <c r="D38">
        <f>VLOOKUP(C38, 'time target'!$A$32:$B$37, 2, FALSE)</f>
        <v>0.85</v>
      </c>
      <c r="E38" s="74" t="s">
        <v>96</v>
      </c>
    </row>
    <row r="39" spans="1:5">
      <c r="A39" t="s">
        <v>128</v>
      </c>
      <c r="B39" t="s">
        <v>9</v>
      </c>
      <c r="C39" t="s">
        <v>85</v>
      </c>
      <c r="D39">
        <f>VLOOKUP(C39, 'time target'!$A$32:$B$37, 2, FALSE)</f>
        <v>0.85</v>
      </c>
      <c r="E39" s="75">
        <v>42437</v>
      </c>
    </row>
    <row r="40" spans="1:5">
      <c r="A40" t="s">
        <v>46</v>
      </c>
      <c r="B40" t="s">
        <v>46</v>
      </c>
      <c r="C40" t="s">
        <v>87</v>
      </c>
      <c r="D40">
        <f>VLOOKUP(C40, 'time target'!$A$32:$B$37, 2, FALSE)</f>
        <v>0.85</v>
      </c>
      <c r="E40" s="75">
        <v>42044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C31"/>
  <sheetViews>
    <sheetView workbookViewId="0">
      <selection activeCell="F9" sqref="F9"/>
    </sheetView>
  </sheetViews>
  <sheetFormatPr defaultRowHeight="15"/>
  <cols>
    <col min="1" max="1" width="26.28515625" bestFit="1" customWidth="1"/>
    <col min="2" max="2" width="9" bestFit="1" customWidth="1"/>
    <col min="3" max="3" width="11.7109375" bestFit="1" customWidth="1"/>
  </cols>
  <sheetData>
    <row r="3" spans="1:3">
      <c r="A3" s="78" t="s">
        <v>104</v>
      </c>
      <c r="B3" s="78" t="s">
        <v>37</v>
      </c>
      <c r="C3" t="s">
        <v>106</v>
      </c>
    </row>
    <row r="4" spans="1:3">
      <c r="A4" t="s">
        <v>107</v>
      </c>
      <c r="B4">
        <v>2</v>
      </c>
      <c r="C4" s="77">
        <v>-7</v>
      </c>
    </row>
    <row r="5" spans="1:3">
      <c r="A5" t="s">
        <v>108</v>
      </c>
      <c r="B5">
        <v>2</v>
      </c>
      <c r="C5" s="77">
        <v>-0.5</v>
      </c>
    </row>
    <row r="6" spans="1:3">
      <c r="A6" t="s">
        <v>109</v>
      </c>
      <c r="B6">
        <v>2</v>
      </c>
      <c r="C6" s="77">
        <v>-1</v>
      </c>
    </row>
    <row r="7" spans="1:3">
      <c r="A7" t="s">
        <v>110</v>
      </c>
      <c r="B7">
        <v>2</v>
      </c>
      <c r="C7" s="77">
        <v>-1</v>
      </c>
    </row>
    <row r="8" spans="1:3">
      <c r="A8" t="s">
        <v>111</v>
      </c>
      <c r="B8">
        <v>2</v>
      </c>
      <c r="C8" s="77">
        <v>-17</v>
      </c>
    </row>
    <row r="9" spans="1:3">
      <c r="A9" t="s">
        <v>112</v>
      </c>
      <c r="B9">
        <v>2</v>
      </c>
      <c r="C9" s="77">
        <v>-2</v>
      </c>
    </row>
    <row r="10" spans="1:3">
      <c r="A10" t="s">
        <v>113</v>
      </c>
      <c r="B10">
        <v>2</v>
      </c>
      <c r="C10" s="77">
        <v>-0.5</v>
      </c>
    </row>
    <row r="11" spans="1:3">
      <c r="A11" t="s">
        <v>100</v>
      </c>
      <c r="B11">
        <v>2</v>
      </c>
      <c r="C11" s="77">
        <v>-4</v>
      </c>
    </row>
    <row r="12" spans="1:3">
      <c r="B12">
        <v>3</v>
      </c>
      <c r="C12" s="77">
        <v>-0.5</v>
      </c>
    </row>
    <row r="13" spans="1:3">
      <c r="A13" t="s">
        <v>103</v>
      </c>
      <c r="B13">
        <v>2</v>
      </c>
      <c r="C13" s="77">
        <v>-6</v>
      </c>
    </row>
    <row r="14" spans="1:3">
      <c r="A14" t="s">
        <v>95</v>
      </c>
      <c r="B14">
        <v>2</v>
      </c>
      <c r="C14" s="77">
        <v>-1</v>
      </c>
    </row>
    <row r="15" spans="1:3">
      <c r="A15" t="s">
        <v>114</v>
      </c>
      <c r="B15">
        <v>2</v>
      </c>
      <c r="C15" s="77">
        <v>-8</v>
      </c>
    </row>
    <row r="16" spans="1:3">
      <c r="A16" t="s">
        <v>115</v>
      </c>
      <c r="B16">
        <v>2</v>
      </c>
      <c r="C16" s="77">
        <v>1.5</v>
      </c>
    </row>
    <row r="17" spans="1:3">
      <c r="A17" t="s">
        <v>116</v>
      </c>
      <c r="B17">
        <v>2</v>
      </c>
      <c r="C17" s="77">
        <v>-5</v>
      </c>
    </row>
    <row r="18" spans="1:3">
      <c r="A18" t="s">
        <v>117</v>
      </c>
      <c r="B18">
        <v>2</v>
      </c>
      <c r="C18" s="77">
        <v>-3</v>
      </c>
    </row>
    <row r="19" spans="1:3">
      <c r="A19" t="s">
        <v>118</v>
      </c>
      <c r="B19">
        <v>2</v>
      </c>
      <c r="C19" s="77">
        <v>-1</v>
      </c>
    </row>
    <row r="20" spans="1:3">
      <c r="A20" t="s">
        <v>119</v>
      </c>
      <c r="B20">
        <v>2</v>
      </c>
      <c r="C20" s="77">
        <v>-5</v>
      </c>
    </row>
    <row r="21" spans="1:3">
      <c r="A21" t="s">
        <v>30</v>
      </c>
      <c r="B21">
        <v>2</v>
      </c>
      <c r="C21" s="77">
        <v>-8</v>
      </c>
    </row>
    <row r="22" spans="1:3">
      <c r="A22" t="s">
        <v>120</v>
      </c>
      <c r="B22">
        <v>2</v>
      </c>
      <c r="C22" s="77">
        <v>0</v>
      </c>
    </row>
    <row r="23" spans="1:3">
      <c r="A23" t="s">
        <v>102</v>
      </c>
      <c r="B23">
        <v>2</v>
      </c>
      <c r="C23" s="77">
        <v>-5</v>
      </c>
    </row>
    <row r="24" spans="1:3">
      <c r="A24" t="s">
        <v>101</v>
      </c>
      <c r="B24">
        <v>2</v>
      </c>
      <c r="C24" s="77">
        <v>-2</v>
      </c>
    </row>
    <row r="25" spans="1:3">
      <c r="A25" t="s">
        <v>121</v>
      </c>
      <c r="B25">
        <v>2</v>
      </c>
      <c r="C25" s="77">
        <v>-3</v>
      </c>
    </row>
    <row r="26" spans="1:3">
      <c r="A26" t="s">
        <v>122</v>
      </c>
      <c r="B26">
        <v>2</v>
      </c>
      <c r="C26" s="77">
        <v>-2</v>
      </c>
    </row>
    <row r="27" spans="1:3">
      <c r="A27" t="s">
        <v>123</v>
      </c>
      <c r="B27">
        <v>2</v>
      </c>
      <c r="C27" s="77">
        <v>-3</v>
      </c>
    </row>
    <row r="28" spans="1:3">
      <c r="A28" t="s">
        <v>34</v>
      </c>
      <c r="B28">
        <v>2</v>
      </c>
      <c r="C28" s="77">
        <v>-2</v>
      </c>
    </row>
    <row r="29" spans="1:3">
      <c r="A29" t="s">
        <v>124</v>
      </c>
      <c r="B29">
        <v>2</v>
      </c>
      <c r="C29" s="77">
        <v>-2</v>
      </c>
    </row>
    <row r="30" spans="1:3">
      <c r="A30" t="s">
        <v>125</v>
      </c>
      <c r="B30">
        <v>2</v>
      </c>
      <c r="C30" s="77">
        <v>-3</v>
      </c>
    </row>
    <row r="31" spans="1:3">
      <c r="A31" t="s">
        <v>68</v>
      </c>
      <c r="C31" s="77">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Home Page</vt:lpstr>
      <vt:lpstr>Summary-Full</vt:lpstr>
      <vt:lpstr>Summary-Daily</vt:lpstr>
      <vt:lpstr>raw data</vt:lpstr>
      <vt:lpstr>time target</vt:lpstr>
      <vt:lpstr>IT Structure</vt:lpstr>
      <vt:lpstr>Leave</vt:lpstr>
      <vt:lpstr>'raw data'!timesheet_1</vt:lpstr>
      <vt:lpstr>'raw data'!timesheet_2</vt:lpstr>
      <vt:lpstr>'raw data'!timesheet_3</vt:lpstr>
      <vt:lpstr>'raw data'!timesheet_4</vt:lpstr>
      <vt:lpstr>'raw data'!timesheet_5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Pivot Report</dc:title>
  <dc:creator>allen.liu@motionglobal.com</dc:creator>
  <cp:lastModifiedBy>Allen.Liu</cp:lastModifiedBy>
  <dcterms:created xsi:type="dcterms:W3CDTF">2016-03-01T06:54:48Z</dcterms:created>
  <dcterms:modified xsi:type="dcterms:W3CDTF">2016-06-03T04:40:07Z</dcterms:modified>
</cp:coreProperties>
</file>